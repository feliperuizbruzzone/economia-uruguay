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e Anual" sheetId="1" r:id="rId5"/>
    <sheet state="visible" name="Serie Trimestral" sheetId="2" r:id="rId6"/>
    <sheet state="visible" name="Metodología" sheetId="3" r:id="rId7"/>
  </sheets>
  <definedNames/>
  <calcPr/>
</workbook>
</file>

<file path=xl/sharedStrings.xml><?xml version="1.0" encoding="utf-8"?>
<sst xmlns="http://schemas.openxmlformats.org/spreadsheetml/2006/main" count="185" uniqueCount="101">
  <si>
    <t>Stock de Capital Fijo en Maquinaria y Equipos – Industria Uruguay</t>
  </si>
  <si>
    <t>Serie Anual  |  Excluye refinería ANCAP y empresas de zonas francas</t>
  </si>
  <si>
    <t>Año</t>
  </si>
  <si>
    <t>Stock (Mill USD corrientes)</t>
  </si>
  <si>
    <t>Índice (Dic-2008=100)</t>
  </si>
  <si>
    <t>Fuente</t>
  </si>
  <si>
    <t>METODOLOGÍA</t>
  </si>
  <si>
    <t>CIU/DEE en base a INE, SmartDATA</t>
  </si>
  <si>
    <t>Serie Trimestral continua  |  Mar-2011 – Dic-2025  |  Excluye refinería ANCAP (CIIU 1549), CIIU 2101 y zonas francas  |  Base Dic-2008 = 100</t>
  </si>
  <si>
    <t>Trimestre</t>
  </si>
  <si>
    <t>Stock est. (Mill USD)</t>
  </si>
  <si>
    <t>Variación a/a</t>
  </si>
  <si>
    <t>Mar-11</t>
  </si>
  <si>
    <t>Fuente principal</t>
  </si>
  <si>
    <t>Importaciones de bienes de capital de la industria en dólares corrientes (Dirección Nacional de Aduanas), clasificadas por subpartidas del Sistema Armonizado para el IMEQ.</t>
  </si>
  <si>
    <t>Deflactor</t>
  </si>
  <si>
    <t>Índice de Precios de Bienes de Capital (IPI) utilizado para construir el IMEQ (CIU/DEE).</t>
  </si>
  <si>
    <t>Depreciación</t>
  </si>
  <si>
    <t>Método de amortización lineal, tasa fija del 10% anual.</t>
  </si>
  <si>
    <t>Base del índice</t>
  </si>
  <si>
    <t>Diciembre 2008 = 100.</t>
  </si>
  <si>
    <t>Exclusiones</t>
  </si>
  <si>
    <t>Refinería ANCAP (CIIU 1549), empresas de zonas francas, CIIU 2101.</t>
  </si>
  <si>
    <t>Nivel ancla</t>
  </si>
  <si>
    <t>Dic-2008: 1.731 Mill USD (fuente: INE – EAE e estimaciones CIU/DEE).</t>
  </si>
  <si>
    <t>Cobertura anual</t>
  </si>
  <si>
    <t>1988–2011 (Cuadro 2 – Metodología CIU/DEE, publicada en 2012).</t>
  </si>
  <si>
    <t>Cobertura trimestral (A)</t>
  </si>
  <si>
    <t>Mar-2004 – Mar-2012 (Metodología CIU/DEE, base 2008=100, convertida a base Dic-2008=100).</t>
  </si>
  <si>
    <t>Cobertura trimestral (B)</t>
  </si>
  <si>
    <t>CIU/DEE – Monitoreo Industrial 2018/2019</t>
  </si>
  <si>
    <t>Mar-2017 – Dic-2025 (Monitoreo Industrial CIU, febrero 2026, base Dic-2008=100).</t>
  </si>
  <si>
    <t>Jun-11</t>
  </si>
  <si>
    <t>Set-11</t>
  </si>
  <si>
    <t>Dic-11</t>
  </si>
  <si>
    <t>Conversión a nivel</t>
  </si>
  <si>
    <t>Stock (Mill USD) = Índice (Dic-2008=100) × 17,31  [= 1.731 Mill USD / 100].</t>
  </si>
  <si>
    <t>Mar-12</t>
  </si>
  <si>
    <t>ADVERTENCIA</t>
  </si>
  <si>
    <t>Entre Mar-2012 y Mar-2017 no se publica el índice trimestral; existe un gap. Además, la serie (A) excluye menos sectores que la serie (B); ambas no son estrictamente comparables. El usuario debe realizar el empalme según su metodología.</t>
  </si>
  <si>
    <t>Jun-12</t>
  </si>
  <si>
    <t>Set-12</t>
  </si>
  <si>
    <t>Dic-12</t>
  </si>
  <si>
    <t>Mar-13</t>
  </si>
  <si>
    <t>Jun-13</t>
  </si>
  <si>
    <t>Set-13</t>
  </si>
  <si>
    <t>CIU/DEE en base a SmartDATA (est.)</t>
  </si>
  <si>
    <t>Dic-13</t>
  </si>
  <si>
    <t>Notas:</t>
  </si>
  <si>
    <t>Mar-14</t>
  </si>
  <si>
    <t>El nivel en Mill USD corresponde al Cuadro 2 de la Metodología CIU/DEE. El índice (base Dic-2008=100) se calcula como (Stock/1.731)*100. Niveles 2010-2011 marcados con * en fuente original (estimaciones).</t>
  </si>
  <si>
    <t>https://www.ciu.com.uy/wp-content/uploads/2022/09/Metodologia-stock-de-capital.pdf</t>
  </si>
  <si>
    <t>Jun-14</t>
  </si>
  <si>
    <t>Set-14</t>
  </si>
  <si>
    <t>Dic-14</t>
  </si>
  <si>
    <t>Mar-15</t>
  </si>
  <si>
    <t>Jun-15</t>
  </si>
  <si>
    <t>Set-15</t>
  </si>
  <si>
    <t>Dic-15</t>
  </si>
  <si>
    <t>Mar-16</t>
  </si>
  <si>
    <t>Jun-16</t>
  </si>
  <si>
    <t>Set-16</t>
  </si>
  <si>
    <t>Dic-16</t>
  </si>
  <si>
    <t>Mar-17</t>
  </si>
  <si>
    <t>CIU/DEE – Monitoreo Industrial 2026</t>
  </si>
  <si>
    <t>Jun-17</t>
  </si>
  <si>
    <t>Set-17</t>
  </si>
  <si>
    <t>Dic-17</t>
  </si>
  <si>
    <t>Mar-18</t>
  </si>
  <si>
    <t>Jun-18</t>
  </si>
  <si>
    <t>Set-18</t>
  </si>
  <si>
    <t>Dic-18</t>
  </si>
  <si>
    <t>Mar-19</t>
  </si>
  <si>
    <t>Jun-19</t>
  </si>
  <si>
    <t>Set-19</t>
  </si>
  <si>
    <t>Dic-19</t>
  </si>
  <si>
    <t>Mar-20</t>
  </si>
  <si>
    <t>Jun-20</t>
  </si>
  <si>
    <t>Set-20</t>
  </si>
  <si>
    <t>Dic-20</t>
  </si>
  <si>
    <t>Mar-21</t>
  </si>
  <si>
    <t>Jun-21</t>
  </si>
  <si>
    <t>Set-21</t>
  </si>
  <si>
    <t>Dic-21</t>
  </si>
  <si>
    <t>Mar-22</t>
  </si>
  <si>
    <t>Jun-22</t>
  </si>
  <si>
    <t>Set-22</t>
  </si>
  <si>
    <t>Dic-22</t>
  </si>
  <si>
    <t>Mar-23</t>
  </si>
  <si>
    <t>Jun-23</t>
  </si>
  <si>
    <t>Set-23</t>
  </si>
  <si>
    <t>Dic-23</t>
  </si>
  <si>
    <t>Mar-24</t>
  </si>
  <si>
    <t>Jun-24</t>
  </si>
  <si>
    <t>Set-24</t>
  </si>
  <si>
    <t>Dic-24</t>
  </si>
  <si>
    <t>Mar-25</t>
  </si>
  <si>
    <t>Jun-25</t>
  </si>
  <si>
    <t>Set-25</t>
  </si>
  <si>
    <t>Dic-25</t>
  </si>
  <si>
    <t>Serie continua Mar-2011 – Dic-2016: Informe Anual 2018 (CIU/DEE, enero 2019), base Dic-2008=100, excl. ref. ni CIIU 1549 ni 2101. Serie Mar-2017 – Dic-2025: Monitoreo Industrial 2026 (CIU/DEE, febrero 2026), misma base y cobertura. Solapamiento Mar-2017/Dic-2018 muestra diferencias de ±1 punto por revisiones; se utilizó el informe 2026 como fuente más reciente. Stock (Mill USD) = Índice × 17,31  [ancla: Dic-2008 = 1.731 Mill USD]. Fila resaltada en amarillo indica inicio del segundo bloque de fuente.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</si>
</sst>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0">
    <font>
      <sz val="11.0"/>
      <color theme="1"/>
      <name val="Calibri"/>
      <scheme val="minor"/>
    </font>
    <font>
      <b/>
      <sz val="13.0"/>
      <color rgb="FF1F4E79"/>
      <name val="Arial"/>
    </font>
    <font>
      <i/>
      <sz val="9.0"/>
      <color rgb="FF595959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1F4E79"/>
      <name val="Arial"/>
    </font>
    <font>
      <b/>
      <sz val="10.0"/>
      <color theme="1"/>
      <name val="Arial"/>
    </font>
    <font>
      <color theme="1"/>
      <name val="Calibri"/>
      <scheme val="minor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3" xfId="0" applyAlignment="1" applyBorder="1" applyFont="1" applyNumberFormat="1">
      <alignment horizontal="center" shrinkToFit="0" vertical="center" wrapText="0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top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3" fontId="5" numFmtId="3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top" wrapText="0"/>
    </xf>
    <xf borderId="1" fillId="3" fontId="5" numFmtId="164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top" wrapText="1"/>
    </xf>
    <xf borderId="1" fillId="3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bottom" wrapText="0"/>
    </xf>
    <xf borderId="0" fillId="4" fontId="7" numFmtId="0" xfId="0" applyAlignment="1" applyFill="1" applyFont="1">
      <alignment shrinkToFit="0" vertical="top" wrapText="0"/>
    </xf>
    <xf borderId="0" fillId="4" fontId="5" numFmtId="0" xfId="0" applyAlignment="1" applyFont="1">
      <alignment shrinkToFit="0" vertical="top" wrapText="1"/>
    </xf>
    <xf borderId="0" fillId="4" fontId="8" numFmtId="0" xfId="0" applyFont="1"/>
    <xf borderId="1" fillId="3" fontId="3" numFmtId="0" xfId="0" applyAlignment="1" applyBorder="1" applyFont="1">
      <alignment shrinkToFit="0" vertical="bottom" wrapText="0"/>
    </xf>
    <xf borderId="0" fillId="4" fontId="6" numFmtId="0" xfId="0" applyAlignment="1" applyFont="1">
      <alignment shrinkToFit="0" vertical="top" wrapText="0"/>
    </xf>
    <xf borderId="1" fillId="0" fontId="5" numFmtId="165" xfId="0" applyAlignment="1" applyBorder="1" applyFont="1" applyNumberFormat="1">
      <alignment horizontal="center" shrinkToFit="0" vertical="center" wrapText="0"/>
    </xf>
    <xf borderId="1" fillId="3" fontId="5" numFmtId="165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5" fontId="5" numFmtId="164" xfId="0" applyAlignment="1" applyBorder="1" applyFont="1" applyNumberFormat="1">
      <alignment horizontal="center" shrinkToFit="0" vertical="center" wrapText="0"/>
    </xf>
    <xf borderId="1" fillId="5" fontId="5" numFmtId="3" xfId="0" applyAlignment="1" applyBorder="1" applyFont="1" applyNumberFormat="1">
      <alignment horizontal="center" shrinkToFit="0" vertical="center" wrapText="0"/>
    </xf>
    <xf borderId="1" fillId="5" fontId="5" numFmtId="165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u.com.uy/wp-content/uploads/2022/09/Metodologia-stock-de-capital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24.0"/>
    <col customWidth="1" min="4" max="4" width="32.0"/>
    <col customWidth="1" min="5" max="26" width="8.71"/>
  </cols>
  <sheetData>
    <row r="1" ht="24.0" customHeight="1">
      <c r="A1" s="1" t="s">
        <v>0</v>
      </c>
    </row>
    <row r="2" ht="15.75" customHeight="1">
      <c r="A2" s="2" t="s">
        <v>1</v>
      </c>
    </row>
    <row r="3">
      <c r="A3" s="3"/>
      <c r="B3" s="3"/>
      <c r="C3" s="3"/>
      <c r="D3" s="3"/>
    </row>
    <row r="4" ht="15.0" customHeight="1">
      <c r="A4" s="4" t="s">
        <v>2</v>
      </c>
      <c r="B4" s="4" t="s">
        <v>3</v>
      </c>
      <c r="C4" s="4" t="s">
        <v>4</v>
      </c>
      <c r="D4" s="4" t="s">
        <v>5</v>
      </c>
    </row>
    <row r="5" ht="15.0" customHeight="1">
      <c r="A5" s="5">
        <v>1988.0</v>
      </c>
      <c r="B5" s="6">
        <v>361.0</v>
      </c>
      <c r="C5" s="7">
        <v>20.9</v>
      </c>
      <c r="D5" s="8" t="s">
        <v>7</v>
      </c>
    </row>
    <row r="6" ht="15.0" customHeight="1">
      <c r="A6" s="10">
        <v>1989.0</v>
      </c>
      <c r="B6" s="11">
        <v>400.0</v>
      </c>
      <c r="C6" s="13">
        <v>23.1</v>
      </c>
      <c r="D6" s="15" t="s">
        <v>7</v>
      </c>
    </row>
    <row r="7" ht="15.0" customHeight="1">
      <c r="A7" s="5">
        <v>1990.0</v>
      </c>
      <c r="B7" s="6">
        <v>410.0</v>
      </c>
      <c r="C7" s="7">
        <v>23.7</v>
      </c>
      <c r="D7" s="8" t="s">
        <v>7</v>
      </c>
    </row>
    <row r="8" ht="15.0" customHeight="1">
      <c r="A8" s="10">
        <v>1991.0</v>
      </c>
      <c r="B8" s="11">
        <v>583.0</v>
      </c>
      <c r="C8" s="13">
        <v>33.7</v>
      </c>
      <c r="D8" s="15" t="s">
        <v>7</v>
      </c>
    </row>
    <row r="9" ht="15.0" customHeight="1">
      <c r="A9" s="5">
        <v>1992.0</v>
      </c>
      <c r="B9" s="6">
        <v>701.0</v>
      </c>
      <c r="C9" s="7">
        <v>40.5</v>
      </c>
      <c r="D9" s="8" t="s">
        <v>7</v>
      </c>
    </row>
    <row r="10" ht="15.0" customHeight="1">
      <c r="A10" s="10">
        <v>1993.0</v>
      </c>
      <c r="B10" s="11">
        <v>751.0</v>
      </c>
      <c r="C10" s="13">
        <v>43.4</v>
      </c>
      <c r="D10" s="15" t="s">
        <v>7</v>
      </c>
    </row>
    <row r="11" ht="15.0" customHeight="1">
      <c r="A11" s="5">
        <v>1994.0</v>
      </c>
      <c r="B11" s="6">
        <v>831.0</v>
      </c>
      <c r="C11" s="7">
        <v>48.0</v>
      </c>
      <c r="D11" s="8" t="s">
        <v>7</v>
      </c>
    </row>
    <row r="12" ht="15.0" customHeight="1">
      <c r="A12" s="10">
        <v>1995.0</v>
      </c>
      <c r="B12" s="11">
        <v>950.0</v>
      </c>
      <c r="C12" s="13">
        <v>54.9</v>
      </c>
      <c r="D12" s="15" t="s">
        <v>7</v>
      </c>
    </row>
    <row r="13" ht="15.0" customHeight="1">
      <c r="A13" s="5">
        <v>1996.0</v>
      </c>
      <c r="B13" s="6">
        <v>1003.0</v>
      </c>
      <c r="C13" s="7">
        <v>57.9</v>
      </c>
      <c r="D13" s="8" t="s">
        <v>7</v>
      </c>
    </row>
    <row r="14" ht="15.0" customHeight="1">
      <c r="A14" s="10">
        <v>1997.0</v>
      </c>
      <c r="B14" s="11">
        <v>1032.0</v>
      </c>
      <c r="C14" s="13">
        <v>59.6</v>
      </c>
      <c r="D14" s="15" t="s">
        <v>7</v>
      </c>
    </row>
    <row r="15" ht="15.0" customHeight="1">
      <c r="A15" s="5">
        <v>1998.0</v>
      </c>
      <c r="B15" s="6">
        <v>900.0</v>
      </c>
      <c r="C15" s="7">
        <v>52.0</v>
      </c>
      <c r="D15" s="8" t="s">
        <v>7</v>
      </c>
    </row>
    <row r="16" ht="15.0" customHeight="1">
      <c r="A16" s="10">
        <v>1999.0</v>
      </c>
      <c r="B16" s="11">
        <v>836.0</v>
      </c>
      <c r="C16" s="13">
        <v>48.3</v>
      </c>
      <c r="D16" s="15" t="s">
        <v>7</v>
      </c>
    </row>
    <row r="17" ht="15.0" customHeight="1">
      <c r="A17" s="5">
        <v>2000.0</v>
      </c>
      <c r="B17" s="6">
        <v>855.0</v>
      </c>
      <c r="C17" s="7">
        <v>49.4</v>
      </c>
      <c r="D17" s="8" t="s">
        <v>7</v>
      </c>
    </row>
    <row r="18" ht="15.0" customHeight="1">
      <c r="A18" s="10">
        <v>2001.0</v>
      </c>
      <c r="B18" s="11">
        <v>836.0</v>
      </c>
      <c r="C18" s="13">
        <v>48.3</v>
      </c>
      <c r="D18" s="15" t="s">
        <v>7</v>
      </c>
    </row>
    <row r="19" ht="15.0" customHeight="1">
      <c r="A19" s="5">
        <v>2002.0</v>
      </c>
      <c r="B19" s="6">
        <v>731.0</v>
      </c>
      <c r="C19" s="7">
        <v>42.2</v>
      </c>
      <c r="D19" s="8" t="s">
        <v>7</v>
      </c>
    </row>
    <row r="20" ht="15.0" customHeight="1">
      <c r="A20" s="10">
        <v>2003.0</v>
      </c>
      <c r="B20" s="11">
        <v>707.0</v>
      </c>
      <c r="C20" s="13">
        <v>40.8</v>
      </c>
      <c r="D20" s="15" t="s">
        <v>7</v>
      </c>
    </row>
    <row r="21" ht="15.0" customHeight="1">
      <c r="A21" s="5">
        <v>2004.0</v>
      </c>
      <c r="B21" s="6">
        <v>742.0</v>
      </c>
      <c r="C21" s="7">
        <v>42.9</v>
      </c>
      <c r="D21" s="8" t="s">
        <v>7</v>
      </c>
    </row>
    <row r="22" ht="15.0" customHeight="1">
      <c r="A22" s="10">
        <v>2005.0</v>
      </c>
      <c r="B22" s="11">
        <v>900.0</v>
      </c>
      <c r="C22" s="13">
        <v>52.0</v>
      </c>
      <c r="D22" s="15" t="s">
        <v>7</v>
      </c>
    </row>
    <row r="23" ht="15.0" customHeight="1">
      <c r="A23" s="5">
        <v>2006.0</v>
      </c>
      <c r="B23" s="6">
        <v>1019.0</v>
      </c>
      <c r="C23" s="7">
        <v>58.9</v>
      </c>
      <c r="D23" s="8" t="s">
        <v>7</v>
      </c>
    </row>
    <row r="24" ht="15.0" customHeight="1">
      <c r="A24" s="10">
        <v>2007.0</v>
      </c>
      <c r="B24" s="11">
        <v>1292.0</v>
      </c>
      <c r="C24" s="13">
        <v>74.6</v>
      </c>
      <c r="D24" s="15" t="s">
        <v>7</v>
      </c>
    </row>
    <row r="25" ht="15.0" customHeight="1">
      <c r="A25" s="5">
        <v>2008.0</v>
      </c>
      <c r="B25" s="6">
        <v>1731.0</v>
      </c>
      <c r="C25" s="7">
        <v>100.0</v>
      </c>
      <c r="D25" s="8" t="s">
        <v>7</v>
      </c>
    </row>
    <row r="26" ht="15.0" customHeight="1">
      <c r="A26" s="10">
        <v>2009.0</v>
      </c>
      <c r="B26" s="11">
        <v>1928.0</v>
      </c>
      <c r="C26" s="13">
        <v>111.4</v>
      </c>
      <c r="D26" s="15" t="s">
        <v>7</v>
      </c>
    </row>
    <row r="27" ht="15.0" customHeight="1">
      <c r="A27" s="5">
        <v>2010.0</v>
      </c>
      <c r="B27" s="6">
        <v>2574.0</v>
      </c>
      <c r="C27" s="7">
        <v>148.7</v>
      </c>
      <c r="D27" s="8" t="s">
        <v>46</v>
      </c>
    </row>
    <row r="28" ht="15.0" customHeight="1">
      <c r="A28" s="10">
        <v>2011.0</v>
      </c>
      <c r="B28" s="11">
        <v>3271.0</v>
      </c>
      <c r="C28" s="13">
        <v>189.0</v>
      </c>
      <c r="D28" s="15" t="s">
        <v>46</v>
      </c>
    </row>
    <row r="29" ht="15.75" customHeight="1">
      <c r="A29" s="3"/>
      <c r="B29" s="3"/>
      <c r="C29" s="3"/>
      <c r="D29" s="3"/>
    </row>
    <row r="30" ht="15.0" customHeight="1">
      <c r="A30" s="24" t="s">
        <v>48</v>
      </c>
      <c r="B30" s="3"/>
      <c r="C30" s="3"/>
      <c r="D30" s="3"/>
    </row>
    <row r="31" ht="36.0" customHeight="1">
      <c r="A31" s="25" t="s">
        <v>50</v>
      </c>
    </row>
    <row r="32" ht="15.75" customHeight="1">
      <c r="A32" s="26" t="s">
        <v>51</v>
      </c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3">
    <mergeCell ref="A1:D1"/>
    <mergeCell ref="A2:D2"/>
    <mergeCell ref="A31:D31"/>
  </mergeCells>
  <hyperlinks>
    <hyperlink r:id="rId1" ref="A32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4.0"/>
    <col customWidth="1" min="4" max="4" width="18.0"/>
    <col customWidth="1" min="5" max="5" width="36.0"/>
    <col customWidth="1" min="6" max="26" width="8.71"/>
  </cols>
  <sheetData>
    <row r="1" ht="24.0" customHeight="1">
      <c r="A1" s="1" t="s">
        <v>0</v>
      </c>
    </row>
    <row r="2" ht="15.75" customHeight="1">
      <c r="A2" s="2" t="s">
        <v>8</v>
      </c>
    </row>
    <row r="3">
      <c r="A3" s="3"/>
      <c r="B3" s="3"/>
      <c r="C3" s="3"/>
      <c r="D3" s="3"/>
      <c r="E3" s="3"/>
    </row>
    <row r="4" ht="15.0" customHeight="1">
      <c r="A4" s="4" t="s">
        <v>9</v>
      </c>
      <c r="B4" s="4" t="s">
        <v>4</v>
      </c>
      <c r="C4" s="4" t="s">
        <v>10</v>
      </c>
      <c r="D4" s="4" t="s">
        <v>11</v>
      </c>
      <c r="E4" s="4" t="s">
        <v>5</v>
      </c>
    </row>
    <row r="5" ht="15.0" customHeight="1">
      <c r="A5" s="5" t="s">
        <v>12</v>
      </c>
      <c r="B5" s="7">
        <v>123.0</v>
      </c>
      <c r="C5" s="6">
        <f t="shared" ref="C5:C64" si="1">B5*17.31</f>
        <v>2129.13</v>
      </c>
      <c r="D5" s="16"/>
      <c r="E5" s="8" t="s">
        <v>30</v>
      </c>
    </row>
    <row r="6" ht="15.0" customHeight="1">
      <c r="A6" s="10" t="s">
        <v>32</v>
      </c>
      <c r="B6" s="13">
        <v>124.0</v>
      </c>
      <c r="C6" s="11">
        <f t="shared" si="1"/>
        <v>2146.44</v>
      </c>
      <c r="D6" s="20"/>
      <c r="E6" s="15" t="s">
        <v>30</v>
      </c>
    </row>
    <row r="7" ht="15.0" customHeight="1">
      <c r="A7" s="5" t="s">
        <v>33</v>
      </c>
      <c r="B7" s="7">
        <v>126.0</v>
      </c>
      <c r="C7" s="6">
        <f t="shared" si="1"/>
        <v>2181.06</v>
      </c>
      <c r="D7" s="16"/>
      <c r="E7" s="8" t="s">
        <v>30</v>
      </c>
    </row>
    <row r="8" ht="15.0" customHeight="1">
      <c r="A8" s="10" t="s">
        <v>34</v>
      </c>
      <c r="B8" s="13">
        <v>131.0</v>
      </c>
      <c r="C8" s="11">
        <f t="shared" si="1"/>
        <v>2267.61</v>
      </c>
      <c r="D8" s="20"/>
      <c r="E8" s="15" t="s">
        <v>30</v>
      </c>
    </row>
    <row r="9" ht="15.0" customHeight="1">
      <c r="A9" s="5" t="s">
        <v>37</v>
      </c>
      <c r="B9" s="7">
        <v>132.0</v>
      </c>
      <c r="C9" s="6">
        <f t="shared" si="1"/>
        <v>2284.92</v>
      </c>
      <c r="D9" s="22">
        <f t="shared" ref="D9:D64" si="2">(B9/B5)-1</f>
        <v>0.07317073171</v>
      </c>
      <c r="E9" s="8" t="s">
        <v>30</v>
      </c>
    </row>
    <row r="10" ht="15.0" customHeight="1">
      <c r="A10" s="10" t="s">
        <v>40</v>
      </c>
      <c r="B10" s="13">
        <v>132.0</v>
      </c>
      <c r="C10" s="11">
        <f t="shared" si="1"/>
        <v>2284.92</v>
      </c>
      <c r="D10" s="23">
        <f t="shared" si="2"/>
        <v>0.06451612903</v>
      </c>
      <c r="E10" s="15" t="s">
        <v>30</v>
      </c>
    </row>
    <row r="11" ht="15.0" customHeight="1">
      <c r="A11" s="5" t="s">
        <v>41</v>
      </c>
      <c r="B11" s="7">
        <v>134.0</v>
      </c>
      <c r="C11" s="6">
        <f t="shared" si="1"/>
        <v>2319.54</v>
      </c>
      <c r="D11" s="22">
        <f t="shared" si="2"/>
        <v>0.06349206349</v>
      </c>
      <c r="E11" s="8" t="s">
        <v>30</v>
      </c>
    </row>
    <row r="12" ht="15.0" customHeight="1">
      <c r="A12" s="10" t="s">
        <v>42</v>
      </c>
      <c r="B12" s="13">
        <v>137.0</v>
      </c>
      <c r="C12" s="11">
        <f t="shared" si="1"/>
        <v>2371.47</v>
      </c>
      <c r="D12" s="23">
        <f t="shared" si="2"/>
        <v>0.04580152672</v>
      </c>
      <c r="E12" s="15" t="s">
        <v>30</v>
      </c>
    </row>
    <row r="13" ht="15.0" customHeight="1">
      <c r="A13" s="5" t="s">
        <v>43</v>
      </c>
      <c r="B13" s="7">
        <v>139.0</v>
      </c>
      <c r="C13" s="6">
        <f t="shared" si="1"/>
        <v>2406.09</v>
      </c>
      <c r="D13" s="22">
        <f t="shared" si="2"/>
        <v>0.05303030303</v>
      </c>
      <c r="E13" s="8" t="s">
        <v>30</v>
      </c>
    </row>
    <row r="14" ht="15.0" customHeight="1">
      <c r="A14" s="10" t="s">
        <v>44</v>
      </c>
      <c r="B14" s="13">
        <v>143.0</v>
      </c>
      <c r="C14" s="11">
        <f t="shared" si="1"/>
        <v>2475.33</v>
      </c>
      <c r="D14" s="23">
        <f t="shared" si="2"/>
        <v>0.08333333333</v>
      </c>
      <c r="E14" s="15" t="s">
        <v>30</v>
      </c>
    </row>
    <row r="15" ht="15.0" customHeight="1">
      <c r="A15" s="5" t="s">
        <v>45</v>
      </c>
      <c r="B15" s="7">
        <v>147.0</v>
      </c>
      <c r="C15" s="6">
        <f t="shared" si="1"/>
        <v>2544.57</v>
      </c>
      <c r="D15" s="22">
        <f t="shared" si="2"/>
        <v>0.09701492537</v>
      </c>
      <c r="E15" s="8" t="s">
        <v>30</v>
      </c>
    </row>
    <row r="16" ht="15.0" customHeight="1">
      <c r="A16" s="10" t="s">
        <v>47</v>
      </c>
      <c r="B16" s="13">
        <v>149.0</v>
      </c>
      <c r="C16" s="11">
        <f t="shared" si="1"/>
        <v>2579.19</v>
      </c>
      <c r="D16" s="23">
        <f t="shared" si="2"/>
        <v>0.08759124088</v>
      </c>
      <c r="E16" s="15" t="s">
        <v>30</v>
      </c>
    </row>
    <row r="17" ht="15.0" customHeight="1">
      <c r="A17" s="5" t="s">
        <v>49</v>
      </c>
      <c r="B17" s="7">
        <v>150.0</v>
      </c>
      <c r="C17" s="6">
        <f t="shared" si="1"/>
        <v>2596.5</v>
      </c>
      <c r="D17" s="22">
        <f t="shared" si="2"/>
        <v>0.07913669065</v>
      </c>
      <c r="E17" s="8" t="s">
        <v>30</v>
      </c>
    </row>
    <row r="18" ht="15.0" customHeight="1">
      <c r="A18" s="10" t="s">
        <v>52</v>
      </c>
      <c r="B18" s="13">
        <v>151.0</v>
      </c>
      <c r="C18" s="11">
        <f t="shared" si="1"/>
        <v>2613.81</v>
      </c>
      <c r="D18" s="23">
        <f t="shared" si="2"/>
        <v>0.05594405594</v>
      </c>
      <c r="E18" s="15" t="s">
        <v>30</v>
      </c>
    </row>
    <row r="19" ht="15.0" customHeight="1">
      <c r="A19" s="5" t="s">
        <v>53</v>
      </c>
      <c r="B19" s="7">
        <v>157.0</v>
      </c>
      <c r="C19" s="6">
        <f t="shared" si="1"/>
        <v>2717.67</v>
      </c>
      <c r="D19" s="22">
        <f t="shared" si="2"/>
        <v>0.06802721088</v>
      </c>
      <c r="E19" s="8" t="s">
        <v>30</v>
      </c>
    </row>
    <row r="20" ht="15.0" customHeight="1">
      <c r="A20" s="10" t="s">
        <v>54</v>
      </c>
      <c r="B20" s="13">
        <v>164.0</v>
      </c>
      <c r="C20" s="11">
        <f t="shared" si="1"/>
        <v>2838.84</v>
      </c>
      <c r="D20" s="23">
        <f t="shared" si="2"/>
        <v>0.1006711409</v>
      </c>
      <c r="E20" s="15" t="s">
        <v>30</v>
      </c>
    </row>
    <row r="21" ht="15.0" customHeight="1">
      <c r="A21" s="5" t="s">
        <v>55</v>
      </c>
      <c r="B21" s="7">
        <v>164.0</v>
      </c>
      <c r="C21" s="6">
        <f t="shared" si="1"/>
        <v>2838.84</v>
      </c>
      <c r="D21" s="22">
        <f t="shared" si="2"/>
        <v>0.09333333333</v>
      </c>
      <c r="E21" s="8" t="s">
        <v>30</v>
      </c>
    </row>
    <row r="22" ht="15.0" customHeight="1">
      <c r="A22" s="10" t="s">
        <v>56</v>
      </c>
      <c r="B22" s="13">
        <v>163.0</v>
      </c>
      <c r="C22" s="11">
        <f t="shared" si="1"/>
        <v>2821.53</v>
      </c>
      <c r="D22" s="23">
        <f t="shared" si="2"/>
        <v>0.07947019868</v>
      </c>
      <c r="E22" s="15" t="s">
        <v>30</v>
      </c>
    </row>
    <row r="23" ht="15.0" customHeight="1">
      <c r="A23" s="5" t="s">
        <v>57</v>
      </c>
      <c r="B23" s="7">
        <v>165.0</v>
      </c>
      <c r="C23" s="6">
        <f t="shared" si="1"/>
        <v>2856.15</v>
      </c>
      <c r="D23" s="22">
        <f t="shared" si="2"/>
        <v>0.05095541401</v>
      </c>
      <c r="E23" s="8" t="s">
        <v>30</v>
      </c>
    </row>
    <row r="24" ht="15.0" customHeight="1">
      <c r="A24" s="10" t="s">
        <v>58</v>
      </c>
      <c r="B24" s="13">
        <v>167.0</v>
      </c>
      <c r="C24" s="11">
        <f t="shared" si="1"/>
        <v>2890.77</v>
      </c>
      <c r="D24" s="23">
        <f t="shared" si="2"/>
        <v>0.01829268293</v>
      </c>
      <c r="E24" s="15" t="s">
        <v>30</v>
      </c>
    </row>
    <row r="25" ht="15.0" customHeight="1">
      <c r="A25" s="5" t="s">
        <v>59</v>
      </c>
      <c r="B25" s="7">
        <v>170.0</v>
      </c>
      <c r="C25" s="6">
        <f t="shared" si="1"/>
        <v>2942.7</v>
      </c>
      <c r="D25" s="22">
        <f t="shared" si="2"/>
        <v>0.03658536585</v>
      </c>
      <c r="E25" s="8" t="s">
        <v>30</v>
      </c>
    </row>
    <row r="26" ht="15.0" customHeight="1">
      <c r="A26" s="10" t="s">
        <v>60</v>
      </c>
      <c r="B26" s="13">
        <v>173.0</v>
      </c>
      <c r="C26" s="11">
        <f t="shared" si="1"/>
        <v>2994.63</v>
      </c>
      <c r="D26" s="23">
        <f t="shared" si="2"/>
        <v>0.06134969325</v>
      </c>
      <c r="E26" s="15" t="s">
        <v>30</v>
      </c>
    </row>
    <row r="27" ht="15.0" customHeight="1">
      <c r="A27" s="5" t="s">
        <v>61</v>
      </c>
      <c r="B27" s="7">
        <v>173.0</v>
      </c>
      <c r="C27" s="6">
        <f t="shared" si="1"/>
        <v>2994.63</v>
      </c>
      <c r="D27" s="22">
        <f t="shared" si="2"/>
        <v>0.04848484848</v>
      </c>
      <c r="E27" s="8" t="s">
        <v>30</v>
      </c>
    </row>
    <row r="28" ht="15.0" customHeight="1">
      <c r="A28" s="10" t="s">
        <v>62</v>
      </c>
      <c r="B28" s="13">
        <v>173.0</v>
      </c>
      <c r="C28" s="11">
        <f t="shared" si="1"/>
        <v>2994.63</v>
      </c>
      <c r="D28" s="23">
        <f t="shared" si="2"/>
        <v>0.03592814371</v>
      </c>
      <c r="E28" s="15" t="s">
        <v>30</v>
      </c>
    </row>
    <row r="29" ht="15.0" customHeight="1">
      <c r="A29" s="27" t="s">
        <v>63</v>
      </c>
      <c r="B29" s="28">
        <v>172.0</v>
      </c>
      <c r="C29" s="29">
        <f t="shared" si="1"/>
        <v>2977.32</v>
      </c>
      <c r="D29" s="30">
        <f t="shared" si="2"/>
        <v>0.01176470588</v>
      </c>
      <c r="E29" s="31" t="s">
        <v>64</v>
      </c>
    </row>
    <row r="30" ht="15.0" customHeight="1">
      <c r="A30" s="10" t="s">
        <v>65</v>
      </c>
      <c r="B30" s="13">
        <v>171.0</v>
      </c>
      <c r="C30" s="11">
        <f t="shared" si="1"/>
        <v>2960.01</v>
      </c>
      <c r="D30" s="23">
        <f t="shared" si="2"/>
        <v>-0.01156069364</v>
      </c>
      <c r="E30" s="15" t="s">
        <v>64</v>
      </c>
    </row>
    <row r="31" ht="15.0" customHeight="1">
      <c r="A31" s="5" t="s">
        <v>66</v>
      </c>
      <c r="B31" s="7">
        <v>169.0</v>
      </c>
      <c r="C31" s="6">
        <f t="shared" si="1"/>
        <v>2925.39</v>
      </c>
      <c r="D31" s="22">
        <f t="shared" si="2"/>
        <v>-0.02312138728</v>
      </c>
      <c r="E31" s="8" t="s">
        <v>64</v>
      </c>
    </row>
    <row r="32" ht="15.0" customHeight="1">
      <c r="A32" s="10" t="s">
        <v>67</v>
      </c>
      <c r="B32" s="13">
        <v>167.0</v>
      </c>
      <c r="C32" s="11">
        <f t="shared" si="1"/>
        <v>2890.77</v>
      </c>
      <c r="D32" s="23">
        <f t="shared" si="2"/>
        <v>-0.03468208092</v>
      </c>
      <c r="E32" s="15" t="s">
        <v>64</v>
      </c>
    </row>
    <row r="33" ht="15.0" customHeight="1">
      <c r="A33" s="5" t="s">
        <v>68</v>
      </c>
      <c r="B33" s="7">
        <v>168.0</v>
      </c>
      <c r="C33" s="6">
        <f t="shared" si="1"/>
        <v>2908.08</v>
      </c>
      <c r="D33" s="22">
        <f t="shared" si="2"/>
        <v>-0.02325581395</v>
      </c>
      <c r="E33" s="8" t="s">
        <v>64</v>
      </c>
    </row>
    <row r="34" ht="15.0" customHeight="1">
      <c r="A34" s="10" t="s">
        <v>69</v>
      </c>
      <c r="B34" s="13">
        <v>168.0</v>
      </c>
      <c r="C34" s="11">
        <f t="shared" si="1"/>
        <v>2908.08</v>
      </c>
      <c r="D34" s="23">
        <f t="shared" si="2"/>
        <v>-0.01754385965</v>
      </c>
      <c r="E34" s="15" t="s">
        <v>64</v>
      </c>
    </row>
    <row r="35" ht="15.0" customHeight="1">
      <c r="A35" s="5" t="s">
        <v>70</v>
      </c>
      <c r="B35" s="7">
        <v>168.0</v>
      </c>
      <c r="C35" s="6">
        <f t="shared" si="1"/>
        <v>2908.08</v>
      </c>
      <c r="D35" s="22">
        <f t="shared" si="2"/>
        <v>-0.005917159763</v>
      </c>
      <c r="E35" s="8" t="s">
        <v>64</v>
      </c>
    </row>
    <row r="36" ht="15.0" customHeight="1">
      <c r="A36" s="10" t="s">
        <v>71</v>
      </c>
      <c r="B36" s="13">
        <v>167.0</v>
      </c>
      <c r="C36" s="11">
        <f t="shared" si="1"/>
        <v>2890.77</v>
      </c>
      <c r="D36" s="23">
        <f t="shared" si="2"/>
        <v>0</v>
      </c>
      <c r="E36" s="15" t="s">
        <v>64</v>
      </c>
    </row>
    <row r="37" ht="15.0" customHeight="1">
      <c r="A37" s="5" t="s">
        <v>72</v>
      </c>
      <c r="B37" s="7">
        <v>167.0</v>
      </c>
      <c r="C37" s="6">
        <f t="shared" si="1"/>
        <v>2890.77</v>
      </c>
      <c r="D37" s="22">
        <f t="shared" si="2"/>
        <v>-0.005952380952</v>
      </c>
      <c r="E37" s="8" t="s">
        <v>64</v>
      </c>
    </row>
    <row r="38" ht="15.0" customHeight="1">
      <c r="A38" s="10" t="s">
        <v>73</v>
      </c>
      <c r="B38" s="13">
        <v>167.0</v>
      </c>
      <c r="C38" s="11">
        <f t="shared" si="1"/>
        <v>2890.77</v>
      </c>
      <c r="D38" s="23">
        <f t="shared" si="2"/>
        <v>-0.005952380952</v>
      </c>
      <c r="E38" s="15" t="s">
        <v>64</v>
      </c>
    </row>
    <row r="39" ht="15.0" customHeight="1">
      <c r="A39" s="5" t="s">
        <v>74</v>
      </c>
      <c r="B39" s="7">
        <v>168.0</v>
      </c>
      <c r="C39" s="6">
        <f t="shared" si="1"/>
        <v>2908.08</v>
      </c>
      <c r="D39" s="22">
        <f t="shared" si="2"/>
        <v>0</v>
      </c>
      <c r="E39" s="8" t="s">
        <v>64</v>
      </c>
    </row>
    <row r="40" ht="15.0" customHeight="1">
      <c r="A40" s="10" t="s">
        <v>75</v>
      </c>
      <c r="B40" s="13">
        <v>166.0</v>
      </c>
      <c r="C40" s="11">
        <f t="shared" si="1"/>
        <v>2873.46</v>
      </c>
      <c r="D40" s="23">
        <f t="shared" si="2"/>
        <v>-0.005988023952</v>
      </c>
      <c r="E40" s="15" t="s">
        <v>64</v>
      </c>
    </row>
    <row r="41" ht="15.0" customHeight="1">
      <c r="A41" s="5" t="s">
        <v>76</v>
      </c>
      <c r="B41" s="7">
        <v>164.0</v>
      </c>
      <c r="C41" s="6">
        <f t="shared" si="1"/>
        <v>2838.84</v>
      </c>
      <c r="D41" s="22">
        <f t="shared" si="2"/>
        <v>-0.01796407186</v>
      </c>
      <c r="E41" s="8" t="s">
        <v>64</v>
      </c>
    </row>
    <row r="42" ht="15.0" customHeight="1">
      <c r="A42" s="10" t="s">
        <v>77</v>
      </c>
      <c r="B42" s="13">
        <v>162.0</v>
      </c>
      <c r="C42" s="11">
        <f t="shared" si="1"/>
        <v>2804.22</v>
      </c>
      <c r="D42" s="23">
        <f t="shared" si="2"/>
        <v>-0.02994011976</v>
      </c>
      <c r="E42" s="15" t="s">
        <v>64</v>
      </c>
    </row>
    <row r="43" ht="15.0" customHeight="1">
      <c r="A43" s="5" t="s">
        <v>78</v>
      </c>
      <c r="B43" s="7">
        <v>164.0</v>
      </c>
      <c r="C43" s="6">
        <f t="shared" si="1"/>
        <v>2838.84</v>
      </c>
      <c r="D43" s="22">
        <f t="shared" si="2"/>
        <v>-0.02380952381</v>
      </c>
      <c r="E43" s="8" t="s">
        <v>64</v>
      </c>
    </row>
    <row r="44" ht="15.0" customHeight="1">
      <c r="A44" s="10" t="s">
        <v>79</v>
      </c>
      <c r="B44" s="13">
        <v>165.0</v>
      </c>
      <c r="C44" s="11">
        <f t="shared" si="1"/>
        <v>2856.15</v>
      </c>
      <c r="D44" s="23">
        <f t="shared" si="2"/>
        <v>-0.006024096386</v>
      </c>
      <c r="E44" s="15" t="s">
        <v>64</v>
      </c>
    </row>
    <row r="45" ht="15.0" customHeight="1">
      <c r="A45" s="5" t="s">
        <v>80</v>
      </c>
      <c r="B45" s="7">
        <v>166.0</v>
      </c>
      <c r="C45" s="6">
        <f t="shared" si="1"/>
        <v>2873.46</v>
      </c>
      <c r="D45" s="22">
        <f t="shared" si="2"/>
        <v>0.01219512195</v>
      </c>
      <c r="E45" s="8" t="s">
        <v>64</v>
      </c>
    </row>
    <row r="46" ht="15.0" customHeight="1">
      <c r="A46" s="10" t="s">
        <v>81</v>
      </c>
      <c r="B46" s="13">
        <v>169.0</v>
      </c>
      <c r="C46" s="11">
        <f t="shared" si="1"/>
        <v>2925.39</v>
      </c>
      <c r="D46" s="23">
        <f t="shared" si="2"/>
        <v>0.04320987654</v>
      </c>
      <c r="E46" s="15" t="s">
        <v>64</v>
      </c>
    </row>
    <row r="47" ht="15.0" customHeight="1">
      <c r="A47" s="5" t="s">
        <v>82</v>
      </c>
      <c r="B47" s="7">
        <v>169.0</v>
      </c>
      <c r="C47" s="6">
        <f t="shared" si="1"/>
        <v>2925.39</v>
      </c>
      <c r="D47" s="22">
        <f t="shared" si="2"/>
        <v>0.03048780488</v>
      </c>
      <c r="E47" s="8" t="s">
        <v>64</v>
      </c>
    </row>
    <row r="48" ht="15.0" customHeight="1">
      <c r="A48" s="10" t="s">
        <v>83</v>
      </c>
      <c r="B48" s="13">
        <v>167.0</v>
      </c>
      <c r="C48" s="11">
        <f t="shared" si="1"/>
        <v>2890.77</v>
      </c>
      <c r="D48" s="23">
        <f t="shared" si="2"/>
        <v>0.01212121212</v>
      </c>
      <c r="E48" s="15" t="s">
        <v>64</v>
      </c>
    </row>
    <row r="49" ht="15.0" customHeight="1">
      <c r="A49" s="5" t="s">
        <v>84</v>
      </c>
      <c r="B49" s="7">
        <v>165.0</v>
      </c>
      <c r="C49" s="6">
        <f t="shared" si="1"/>
        <v>2856.15</v>
      </c>
      <c r="D49" s="22">
        <f t="shared" si="2"/>
        <v>-0.006024096386</v>
      </c>
      <c r="E49" s="8" t="s">
        <v>64</v>
      </c>
    </row>
    <row r="50" ht="15.0" customHeight="1">
      <c r="A50" s="10" t="s">
        <v>85</v>
      </c>
      <c r="B50" s="13">
        <v>163.0</v>
      </c>
      <c r="C50" s="11">
        <f t="shared" si="1"/>
        <v>2821.53</v>
      </c>
      <c r="D50" s="23">
        <f t="shared" si="2"/>
        <v>-0.03550295858</v>
      </c>
      <c r="E50" s="15" t="s">
        <v>64</v>
      </c>
    </row>
    <row r="51" ht="15.0" customHeight="1">
      <c r="A51" s="5" t="s">
        <v>86</v>
      </c>
      <c r="B51" s="7">
        <v>163.0</v>
      </c>
      <c r="C51" s="6">
        <f t="shared" si="1"/>
        <v>2821.53</v>
      </c>
      <c r="D51" s="22">
        <f t="shared" si="2"/>
        <v>-0.03550295858</v>
      </c>
      <c r="E51" s="8" t="s">
        <v>64</v>
      </c>
    </row>
    <row r="52" ht="15.0" customHeight="1">
      <c r="A52" s="10" t="s">
        <v>87</v>
      </c>
      <c r="B52" s="13">
        <v>161.0</v>
      </c>
      <c r="C52" s="11">
        <f t="shared" si="1"/>
        <v>2786.91</v>
      </c>
      <c r="D52" s="23">
        <f t="shared" si="2"/>
        <v>-0.03592814371</v>
      </c>
      <c r="E52" s="15" t="s">
        <v>64</v>
      </c>
    </row>
    <row r="53" ht="15.0" customHeight="1">
      <c r="A53" s="5" t="s">
        <v>88</v>
      </c>
      <c r="B53" s="7">
        <v>160.0</v>
      </c>
      <c r="C53" s="6">
        <f t="shared" si="1"/>
        <v>2769.6</v>
      </c>
      <c r="D53" s="22">
        <f t="shared" si="2"/>
        <v>-0.0303030303</v>
      </c>
      <c r="E53" s="8" t="s">
        <v>64</v>
      </c>
    </row>
    <row r="54" ht="15.0" customHeight="1">
      <c r="A54" s="10" t="s">
        <v>89</v>
      </c>
      <c r="B54" s="13">
        <v>145.0</v>
      </c>
      <c r="C54" s="11">
        <f t="shared" si="1"/>
        <v>2509.95</v>
      </c>
      <c r="D54" s="23">
        <f t="shared" si="2"/>
        <v>-0.1104294479</v>
      </c>
      <c r="E54" s="15" t="s">
        <v>64</v>
      </c>
    </row>
    <row r="55" ht="15.0" customHeight="1">
      <c r="A55" s="5" t="s">
        <v>90</v>
      </c>
      <c r="B55" s="7">
        <v>158.0</v>
      </c>
      <c r="C55" s="6">
        <f t="shared" si="1"/>
        <v>2734.98</v>
      </c>
      <c r="D55" s="22">
        <f t="shared" si="2"/>
        <v>-0.03067484663</v>
      </c>
      <c r="E55" s="8" t="s">
        <v>64</v>
      </c>
    </row>
    <row r="56" ht="15.0" customHeight="1">
      <c r="A56" s="10" t="s">
        <v>91</v>
      </c>
      <c r="B56" s="13">
        <v>157.0</v>
      </c>
      <c r="C56" s="11">
        <f t="shared" si="1"/>
        <v>2717.67</v>
      </c>
      <c r="D56" s="23">
        <f t="shared" si="2"/>
        <v>-0.0248447205</v>
      </c>
      <c r="E56" s="15" t="s">
        <v>64</v>
      </c>
    </row>
    <row r="57" ht="15.0" customHeight="1">
      <c r="A57" s="5" t="s">
        <v>92</v>
      </c>
      <c r="B57" s="7">
        <v>154.0</v>
      </c>
      <c r="C57" s="6">
        <f t="shared" si="1"/>
        <v>2665.74</v>
      </c>
      <c r="D57" s="22">
        <f t="shared" si="2"/>
        <v>-0.0375</v>
      </c>
      <c r="E57" s="8" t="s">
        <v>64</v>
      </c>
    </row>
    <row r="58" ht="15.0" customHeight="1">
      <c r="A58" s="10" t="s">
        <v>93</v>
      </c>
      <c r="B58" s="13">
        <v>153.0</v>
      </c>
      <c r="C58" s="11">
        <f t="shared" si="1"/>
        <v>2648.43</v>
      </c>
      <c r="D58" s="23">
        <f t="shared" si="2"/>
        <v>0.05517241379</v>
      </c>
      <c r="E58" s="15" t="s">
        <v>64</v>
      </c>
    </row>
    <row r="59" ht="15.0" customHeight="1">
      <c r="A59" s="5" t="s">
        <v>94</v>
      </c>
      <c r="B59" s="7">
        <v>152.0</v>
      </c>
      <c r="C59" s="6">
        <f t="shared" si="1"/>
        <v>2631.12</v>
      </c>
      <c r="D59" s="22">
        <f t="shared" si="2"/>
        <v>-0.03797468354</v>
      </c>
      <c r="E59" s="8" t="s">
        <v>64</v>
      </c>
    </row>
    <row r="60" ht="15.0" customHeight="1">
      <c r="A60" s="10" t="s">
        <v>95</v>
      </c>
      <c r="B60" s="13">
        <v>157.0</v>
      </c>
      <c r="C60" s="11">
        <f t="shared" si="1"/>
        <v>2717.67</v>
      </c>
      <c r="D60" s="23">
        <f t="shared" si="2"/>
        <v>0</v>
      </c>
      <c r="E60" s="15" t="s">
        <v>64</v>
      </c>
    </row>
    <row r="61" ht="15.0" customHeight="1">
      <c r="A61" s="5" t="s">
        <v>96</v>
      </c>
      <c r="B61" s="7">
        <v>149.0</v>
      </c>
      <c r="C61" s="6">
        <f t="shared" si="1"/>
        <v>2579.19</v>
      </c>
      <c r="D61" s="22">
        <f t="shared" si="2"/>
        <v>-0.03246753247</v>
      </c>
      <c r="E61" s="8" t="s">
        <v>64</v>
      </c>
    </row>
    <row r="62" ht="15.0" customHeight="1">
      <c r="A62" s="10" t="s">
        <v>97</v>
      </c>
      <c r="B62" s="13">
        <v>142.0</v>
      </c>
      <c r="C62" s="11">
        <f t="shared" si="1"/>
        <v>2458.02</v>
      </c>
      <c r="D62" s="23">
        <f t="shared" si="2"/>
        <v>-0.07189542484</v>
      </c>
      <c r="E62" s="15" t="s">
        <v>64</v>
      </c>
    </row>
    <row r="63" ht="15.0" customHeight="1">
      <c r="A63" s="5" t="s">
        <v>98</v>
      </c>
      <c r="B63" s="7">
        <v>134.0</v>
      </c>
      <c r="C63" s="6">
        <f t="shared" si="1"/>
        <v>2319.54</v>
      </c>
      <c r="D63" s="22">
        <f t="shared" si="2"/>
        <v>-0.1184210526</v>
      </c>
      <c r="E63" s="8" t="s">
        <v>64</v>
      </c>
    </row>
    <row r="64" ht="15.0" customHeight="1">
      <c r="A64" s="10" t="s">
        <v>99</v>
      </c>
      <c r="B64" s="13">
        <v>173.0</v>
      </c>
      <c r="C64" s="11">
        <f t="shared" si="1"/>
        <v>2994.63</v>
      </c>
      <c r="D64" s="23">
        <f t="shared" si="2"/>
        <v>0.101910828</v>
      </c>
      <c r="E64" s="15" t="s">
        <v>64</v>
      </c>
    </row>
    <row r="65" ht="15.0" customHeight="1">
      <c r="A65" s="3"/>
      <c r="B65" s="3"/>
      <c r="C65" s="3"/>
      <c r="D65" s="3"/>
      <c r="E65" s="3"/>
    </row>
    <row r="66" ht="15.0" customHeight="1">
      <c r="A66" s="24" t="s">
        <v>48</v>
      </c>
      <c r="B66" s="3"/>
      <c r="C66" s="3"/>
      <c r="D66" s="3"/>
      <c r="E66" s="3"/>
    </row>
    <row r="67" ht="54.0" customHeight="1">
      <c r="A67" s="32" t="s">
        <v>100</v>
      </c>
    </row>
    <row r="68" ht="15.0" customHeight="1">
      <c r="A68" s="3"/>
      <c r="B68" s="3"/>
      <c r="C68" s="3"/>
      <c r="D68" s="3"/>
      <c r="E68" s="3"/>
    </row>
    <row r="69" ht="15.0" customHeight="1">
      <c r="A69" s="3"/>
      <c r="B69" s="3"/>
      <c r="C69" s="3"/>
      <c r="D69" s="3"/>
      <c r="E69" s="3"/>
    </row>
    <row r="70" ht="15.0" customHeight="1">
      <c r="A70" s="3"/>
      <c r="B70" s="3"/>
      <c r="C70" s="3"/>
      <c r="D70" s="3"/>
      <c r="E70" s="3"/>
    </row>
    <row r="71" ht="15.0" customHeight="1">
      <c r="A71" s="3"/>
      <c r="B71" s="3"/>
      <c r="C71" s="3"/>
      <c r="D71" s="3"/>
      <c r="E71" s="3"/>
    </row>
    <row r="72" ht="15.0" customHeight="1">
      <c r="A72" s="3"/>
      <c r="B72" s="3"/>
      <c r="C72" s="3"/>
      <c r="D72" s="3"/>
      <c r="E72" s="3"/>
    </row>
    <row r="73" ht="15.0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0" customHeight="1">
      <c r="A75" s="3"/>
      <c r="B75" s="3"/>
      <c r="C75" s="3"/>
      <c r="D75" s="3"/>
      <c r="E75" s="3"/>
    </row>
    <row r="76" ht="48.0" customHeight="1">
      <c r="A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4">
    <mergeCell ref="A1:E1"/>
    <mergeCell ref="A2:E2"/>
    <mergeCell ref="A67:E67"/>
    <mergeCell ref="A76:E7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5.0"/>
    <col customWidth="1" min="3" max="26" width="8.71"/>
  </cols>
  <sheetData>
    <row r="1" ht="18.0" customHeight="1">
      <c r="A1" s="9" t="s">
        <v>6</v>
      </c>
      <c r="B1" s="3"/>
    </row>
    <row r="2" ht="18.0" customHeight="1">
      <c r="A2" s="12"/>
      <c r="B2" s="14"/>
    </row>
    <row r="3" ht="87.75" customHeight="1">
      <c r="A3" s="12" t="s">
        <v>13</v>
      </c>
      <c r="B3" s="14" t="s">
        <v>14</v>
      </c>
    </row>
    <row r="4" ht="27.75" customHeight="1">
      <c r="A4" s="12" t="s">
        <v>15</v>
      </c>
      <c r="B4" s="14" t="s">
        <v>16</v>
      </c>
    </row>
    <row r="5" ht="18.0" customHeight="1">
      <c r="A5" s="12" t="s">
        <v>17</v>
      </c>
      <c r="B5" s="14" t="s">
        <v>18</v>
      </c>
    </row>
    <row r="6" ht="18.0" customHeight="1">
      <c r="A6" s="12" t="s">
        <v>19</v>
      </c>
      <c r="B6" s="14" t="s">
        <v>20</v>
      </c>
    </row>
    <row r="7" ht="18.0" customHeight="1">
      <c r="A7" s="12" t="s">
        <v>21</v>
      </c>
      <c r="B7" s="14" t="s">
        <v>22</v>
      </c>
    </row>
    <row r="8" ht="18.0" customHeight="1">
      <c r="A8" s="12" t="s">
        <v>23</v>
      </c>
      <c r="B8" s="14" t="s">
        <v>24</v>
      </c>
    </row>
    <row r="9" ht="18.0" customHeight="1">
      <c r="A9" s="12" t="s">
        <v>25</v>
      </c>
      <c r="B9" s="14" t="s">
        <v>26</v>
      </c>
    </row>
    <row r="10" ht="27.75" customHeight="1">
      <c r="A10" s="12" t="s">
        <v>27</v>
      </c>
      <c r="B10" s="14" t="s">
        <v>28</v>
      </c>
    </row>
    <row r="11" ht="18.0" customHeight="1">
      <c r="A11" s="17" t="s">
        <v>29</v>
      </c>
      <c r="B11" s="18" t="s">
        <v>31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12" t="s">
        <v>35</v>
      </c>
      <c r="B12" s="14" t="s">
        <v>36</v>
      </c>
    </row>
    <row r="13" ht="18.0" customHeight="1">
      <c r="A13" s="12"/>
      <c r="B13" s="14"/>
    </row>
    <row r="14" ht="57.0" customHeight="1">
      <c r="A14" s="21" t="s">
        <v>38</v>
      </c>
      <c r="B14" s="18" t="s">
        <v>39</v>
      </c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1.0" footer="0.0" header="0.0" left="0.75" right="0.75" top="1.0"/>
  <pageSetup paperSize="9" orientation="portrait"/>
  <drawing r:id="rId1"/>
</worksheet>
</file>