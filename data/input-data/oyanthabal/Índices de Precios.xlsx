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\Desktop\Uruguay\"/>
    </mc:Choice>
  </mc:AlternateContent>
  <xr:revisionPtr revIDLastSave="0" documentId="13_ncr:1_{EA0F7CDF-DAEC-449A-A409-5BA024CDE336}" xr6:coauthVersionLast="47" xr6:coauthVersionMax="47" xr10:uidLastSave="{00000000-0000-0000-0000-000000000000}"/>
  <bookViews>
    <workbookView xWindow="-120" yWindow="-120" windowWidth="20730" windowHeight="11040" xr2:uid="{FA2A47A2-88B7-4D5A-99BC-F6AA3835C400}"/>
  </bookViews>
  <sheets>
    <sheet name="IPI PBI e IPC" sheetId="1" r:id="rId1"/>
    <sheet name="IPI IBIF 2017-2025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1" i="1" l="1"/>
  <c r="D72" i="1"/>
  <c r="D73" i="1"/>
  <c r="D74" i="1" s="1"/>
  <c r="D70" i="1"/>
</calcChain>
</file>

<file path=xl/sharedStrings.xml><?xml version="1.0" encoding="utf-8"?>
<sst xmlns="http://schemas.openxmlformats.org/spreadsheetml/2006/main" count="17" uniqueCount="15">
  <si>
    <t>GDP Price index (base 2005)</t>
  </si>
  <si>
    <t>Base 2005</t>
  </si>
  <si>
    <t>GDP</t>
  </si>
  <si>
    <t>GDP $Uy2005 (right axis)</t>
  </si>
  <si>
    <t>Thousand $Uy</t>
  </si>
  <si>
    <t>Thousand $Uy 2005</t>
  </si>
  <si>
    <t>IPC</t>
  </si>
  <si>
    <t>1983-1989=100</t>
  </si>
  <si>
    <t>https://www.bcu.gub.uy/Estadisticas-e-Indicadores/Paginas/Series-Estadisticas-del-PIB-por-Componente-del-gasto.aspx</t>
  </si>
  <si>
    <t>Dividir IBIF corrientes / IBIF constantes</t>
  </si>
  <si>
    <t>Oyanthabal</t>
  </si>
  <si>
    <t>Cuentas Nacionales Uruguay</t>
  </si>
  <si>
    <t>Índice de precios implícitos base 2016</t>
  </si>
  <si>
    <t>BCU</t>
  </si>
  <si>
    <t>Oyanthabal + BCU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</si>
</sst>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#,##0.00000000"/>
    <numFmt numFmtId="166" formatCode="#,##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Raleway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179A-70BB-4FD8-9B0D-EAE51DCC670C}">
  <dimension ref="A1:F74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4" sqref="D14"/>
    </sheetView>
  </sheetViews>
  <sheetFormatPr baseColWidth="10" defaultRowHeight="15" x14ac:dyDescent="0.25"/>
  <cols>
    <col min="1" max="1" width="12.140625" customWidth="1"/>
    <col min="2" max="2" width="16" customWidth="1"/>
    <col min="3" max="3" width="13.85546875" customWidth="1"/>
    <col min="4" max="5" width="16.5703125" customWidth="1"/>
  </cols>
  <sheetData>
    <row r="1" spans="1:6" ht="47.25" x14ac:dyDescent="0.25">
      <c r="B1" s="9" t="s">
        <v>2</v>
      </c>
      <c r="C1" s="9" t="s">
        <v>3</v>
      </c>
      <c r="D1" s="3" t="s">
        <v>0</v>
      </c>
      <c r="E1" s="3" t="s">
        <v>12</v>
      </c>
      <c r="F1" s="9" t="s">
        <v>6</v>
      </c>
    </row>
    <row r="2" spans="1:6" ht="15.75" x14ac:dyDescent="0.25">
      <c r="B2" s="10">
        <v>1</v>
      </c>
      <c r="C2" s="10">
        <v>2</v>
      </c>
      <c r="D2" s="4">
        <v>3</v>
      </c>
      <c r="E2" s="4">
        <v>4</v>
      </c>
      <c r="F2" s="4">
        <v>5</v>
      </c>
    </row>
    <row r="3" spans="1:6" ht="31.5" x14ac:dyDescent="0.25">
      <c r="B3" s="10" t="s">
        <v>4</v>
      </c>
      <c r="C3" s="10" t="s">
        <v>5</v>
      </c>
      <c r="D3" s="5" t="s">
        <v>1</v>
      </c>
      <c r="E3" s="5" t="s">
        <v>13</v>
      </c>
      <c r="F3" t="s">
        <v>7</v>
      </c>
    </row>
    <row r="4" spans="1:6" ht="31.5" x14ac:dyDescent="0.25">
      <c r="B4" s="10" t="s">
        <v>10</v>
      </c>
      <c r="C4" s="10" t="s">
        <v>10</v>
      </c>
      <c r="D4" s="10" t="s">
        <v>14</v>
      </c>
      <c r="E4" s="10"/>
      <c r="F4" s="10" t="s">
        <v>10</v>
      </c>
    </row>
    <row r="5" spans="1:6" ht="18" x14ac:dyDescent="0.35">
      <c r="A5" s="1">
        <v>1955</v>
      </c>
      <c r="B5" s="11">
        <v>4.6020000000000003</v>
      </c>
      <c r="C5" s="12">
        <v>185022787.78933901</v>
      </c>
      <c r="D5" s="6">
        <v>2.48726119359941E-8</v>
      </c>
      <c r="E5" s="6"/>
      <c r="F5" s="13">
        <v>4.0000000000000002E-4</v>
      </c>
    </row>
    <row r="6" spans="1:6" ht="18" x14ac:dyDescent="0.35">
      <c r="A6" s="1">
        <v>1956</v>
      </c>
      <c r="B6" s="11">
        <v>5.1630000000000003</v>
      </c>
      <c r="C6" s="12">
        <v>188232554.99525499</v>
      </c>
      <c r="D6" s="6">
        <v>2.7428836633122E-8</v>
      </c>
      <c r="E6" s="6"/>
      <c r="F6" s="13">
        <v>4.0000000000000002E-4</v>
      </c>
    </row>
    <row r="7" spans="1:6" ht="18" x14ac:dyDescent="0.35">
      <c r="A7" s="1">
        <v>1957</v>
      </c>
      <c r="B7" s="11">
        <v>6.117</v>
      </c>
      <c r="C7" s="12">
        <v>190052652.87447199</v>
      </c>
      <c r="D7" s="6">
        <v>3.2185817495745301E-8</v>
      </c>
      <c r="E7" s="6"/>
      <c r="F7" s="13">
        <v>5.0000000000000001E-4</v>
      </c>
    </row>
    <row r="8" spans="1:6" ht="18" x14ac:dyDescent="0.35">
      <c r="A8" s="1">
        <v>1958</v>
      </c>
      <c r="B8" s="11">
        <v>6.617</v>
      </c>
      <c r="C8" s="12">
        <v>183350265.41384199</v>
      </c>
      <c r="D8" s="6">
        <v>3.6089394171667598E-8</v>
      </c>
      <c r="E8" s="6"/>
      <c r="F8" s="13">
        <v>5.9999999999999995E-4</v>
      </c>
    </row>
    <row r="9" spans="1:6" ht="18" x14ac:dyDescent="0.35">
      <c r="A9" s="1">
        <v>1959</v>
      </c>
      <c r="B9" s="11">
        <v>8.8650000000000002</v>
      </c>
      <c r="C9" s="12">
        <v>178209718.70091701</v>
      </c>
      <c r="D9" s="6">
        <v>4.9744761759474E-8</v>
      </c>
      <c r="E9" s="6"/>
      <c r="F9" s="13">
        <v>8.0000000000000004E-4</v>
      </c>
    </row>
    <row r="10" spans="1:6" ht="18" x14ac:dyDescent="0.35">
      <c r="A10" s="1">
        <v>1960</v>
      </c>
      <c r="B10" s="12">
        <v>13.583</v>
      </c>
      <c r="C10" s="12">
        <v>184530869.44360399</v>
      </c>
      <c r="D10" s="6">
        <v>7.3608280505886897E-8</v>
      </c>
      <c r="E10" s="6"/>
      <c r="F10" s="13">
        <v>1.1000000000000001E-3</v>
      </c>
    </row>
    <row r="11" spans="1:6" ht="18" x14ac:dyDescent="0.35">
      <c r="A11" s="1">
        <v>1961</v>
      </c>
      <c r="B11" s="12">
        <v>17.279</v>
      </c>
      <c r="C11" s="12">
        <v>189818991.66024801</v>
      </c>
      <c r="D11" s="6">
        <v>9.1028826193151495E-8</v>
      </c>
      <c r="E11" s="6"/>
      <c r="F11" s="13">
        <v>1.4E-3</v>
      </c>
    </row>
    <row r="12" spans="1:6" ht="18" x14ac:dyDescent="0.35">
      <c r="A12" s="1">
        <v>1962</v>
      </c>
      <c r="B12" s="12">
        <v>18.841000000000001</v>
      </c>
      <c r="C12" s="12">
        <v>185539302.05235901</v>
      </c>
      <c r="D12" s="6">
        <v>1.01547218252891E-7</v>
      </c>
      <c r="E12" s="6"/>
      <c r="F12" s="13">
        <v>1.5E-3</v>
      </c>
    </row>
    <row r="13" spans="1:6" ht="18" x14ac:dyDescent="0.35">
      <c r="A13" s="1">
        <v>1963</v>
      </c>
      <c r="B13" s="12">
        <v>22.366</v>
      </c>
      <c r="C13" s="12">
        <v>186449350.99196801</v>
      </c>
      <c r="D13" s="6">
        <v>1.19957510610822E-7</v>
      </c>
      <c r="E13" s="6"/>
      <c r="F13" s="13">
        <v>1.8E-3</v>
      </c>
    </row>
    <row r="14" spans="1:6" ht="18" x14ac:dyDescent="0.35">
      <c r="A14" s="1">
        <v>1964</v>
      </c>
      <c r="B14" s="12">
        <v>32.587000000000003</v>
      </c>
      <c r="C14" s="12">
        <v>190200228.37819299</v>
      </c>
      <c r="D14" s="6">
        <v>1.7132997303875101E-7</v>
      </c>
      <c r="E14" s="6"/>
      <c r="F14" s="13">
        <v>2.5999999999999999E-3</v>
      </c>
    </row>
    <row r="15" spans="1:6" ht="18" x14ac:dyDescent="0.35">
      <c r="A15" s="1">
        <v>1965</v>
      </c>
      <c r="B15" s="12">
        <v>52.51</v>
      </c>
      <c r="C15" s="12">
        <v>192389265.01671001</v>
      </c>
      <c r="D15" s="6">
        <v>2.7293622643362701E-7</v>
      </c>
      <c r="E15" s="6"/>
      <c r="F15" s="13">
        <v>4.1000000000000003E-3</v>
      </c>
    </row>
    <row r="16" spans="1:6" ht="18" x14ac:dyDescent="0.35">
      <c r="A16" s="1">
        <v>1966</v>
      </c>
      <c r="B16" s="12">
        <v>99.632999999999996</v>
      </c>
      <c r="C16" s="12">
        <v>198944076.97362101</v>
      </c>
      <c r="D16" s="6">
        <v>5.0080907919269697E-7</v>
      </c>
      <c r="E16" s="6"/>
      <c r="F16" s="13">
        <v>7.1000000000000004E-3</v>
      </c>
    </row>
    <row r="17" spans="1:6" ht="18" x14ac:dyDescent="0.35">
      <c r="A17" s="1">
        <v>1967</v>
      </c>
      <c r="B17" s="12">
        <v>169.785</v>
      </c>
      <c r="C17" s="12">
        <v>190704444.68257001</v>
      </c>
      <c r="D17" s="6">
        <v>8.9030436748660395E-7</v>
      </c>
      <c r="E17" s="6"/>
      <c r="F17" s="13">
        <v>1.35E-2</v>
      </c>
    </row>
    <row r="18" spans="1:6" ht="18" x14ac:dyDescent="0.35">
      <c r="A18" s="1">
        <v>1968</v>
      </c>
      <c r="B18" s="12">
        <v>374.53100000000001</v>
      </c>
      <c r="C18" s="12">
        <v>193729742.508836</v>
      </c>
      <c r="D18" s="6">
        <v>1.9332653579659701E-6</v>
      </c>
      <c r="E18" s="6"/>
      <c r="F18" s="13">
        <v>3.0499999999999999E-2</v>
      </c>
    </row>
    <row r="19" spans="1:6" ht="18" x14ac:dyDescent="0.35">
      <c r="A19" s="1">
        <v>1969</v>
      </c>
      <c r="B19" s="12">
        <v>506.06900000000002</v>
      </c>
      <c r="C19" s="12">
        <v>205560378.723748</v>
      </c>
      <c r="D19" s="6">
        <v>2.46189953113534E-6</v>
      </c>
      <c r="E19" s="6"/>
      <c r="F19" s="13">
        <v>3.6999999999999998E-2</v>
      </c>
    </row>
    <row r="20" spans="1:6" ht="18" x14ac:dyDescent="0.35">
      <c r="A20" s="1">
        <v>1970</v>
      </c>
      <c r="B20" s="12">
        <v>601</v>
      </c>
      <c r="C20" s="12">
        <v>209500252.38932201</v>
      </c>
      <c r="D20" s="6">
        <v>2.8687316275072501E-6</v>
      </c>
      <c r="E20" s="6"/>
      <c r="F20" s="13">
        <v>4.2999999999999997E-2</v>
      </c>
    </row>
    <row r="21" spans="1:6" ht="18" x14ac:dyDescent="0.35">
      <c r="A21" s="1">
        <v>1971</v>
      </c>
      <c r="B21" s="12">
        <v>722</v>
      </c>
      <c r="C21" s="12">
        <v>209751422.587879</v>
      </c>
      <c r="D21" s="6">
        <v>3.4421697411730599E-6</v>
      </c>
      <c r="E21" s="6"/>
      <c r="F21" s="13">
        <v>5.2999999999999999E-2</v>
      </c>
    </row>
    <row r="22" spans="1:6" ht="18" x14ac:dyDescent="0.35">
      <c r="A22" s="1">
        <v>1972</v>
      </c>
      <c r="B22" s="12">
        <v>1242</v>
      </c>
      <c r="C22" s="12">
        <v>206494312.271117</v>
      </c>
      <c r="D22" s="6">
        <v>6.0146935106344003E-6</v>
      </c>
      <c r="E22" s="6"/>
      <c r="F22" s="13">
        <v>9.4E-2</v>
      </c>
    </row>
    <row r="23" spans="1:6" ht="18" x14ac:dyDescent="0.35">
      <c r="A23" s="1">
        <v>1973</v>
      </c>
      <c r="B23" s="12">
        <v>2561</v>
      </c>
      <c r="C23" s="12">
        <v>207247822.866786</v>
      </c>
      <c r="D23" s="7">
        <v>1.23571865053856E-5</v>
      </c>
      <c r="E23" s="7"/>
      <c r="F23" s="13">
        <v>0.185</v>
      </c>
    </row>
    <row r="24" spans="1:6" ht="18" x14ac:dyDescent="0.35">
      <c r="A24" s="1">
        <v>1974</v>
      </c>
      <c r="B24" s="12">
        <v>4546</v>
      </c>
      <c r="C24" s="12">
        <v>213762043.50030899</v>
      </c>
      <c r="D24" s="7">
        <v>2.1266638012811802E-5</v>
      </c>
      <c r="E24" s="7"/>
      <c r="F24" s="13">
        <v>0.32700000000000001</v>
      </c>
    </row>
    <row r="25" spans="1:6" ht="18" x14ac:dyDescent="0.35">
      <c r="A25" s="1">
        <v>1975</v>
      </c>
      <c r="B25" s="12">
        <v>8166</v>
      </c>
      <c r="C25" s="12">
        <v>226296246.63471299</v>
      </c>
      <c r="D25" s="7">
        <v>3.6085441634308399E-5</v>
      </c>
      <c r="E25" s="7"/>
      <c r="F25" s="13">
        <v>0.59</v>
      </c>
    </row>
    <row r="26" spans="1:6" ht="18" x14ac:dyDescent="0.35">
      <c r="A26" s="1">
        <v>1976</v>
      </c>
      <c r="B26" s="12">
        <v>12638</v>
      </c>
      <c r="C26" s="12">
        <v>235314066.98932901</v>
      </c>
      <c r="D26" s="7">
        <v>5.3706946472405702E-5</v>
      </c>
      <c r="E26" s="7"/>
      <c r="F26" s="13">
        <v>0.89</v>
      </c>
    </row>
    <row r="27" spans="1:6" ht="18" x14ac:dyDescent="0.35">
      <c r="A27" s="1">
        <v>1977</v>
      </c>
      <c r="B27" s="12">
        <v>19915</v>
      </c>
      <c r="C27" s="12">
        <v>238076939.173448</v>
      </c>
      <c r="D27" s="7">
        <v>8.3649428916301495E-5</v>
      </c>
      <c r="E27" s="7"/>
      <c r="F27" s="13">
        <v>1.41</v>
      </c>
    </row>
    <row r="28" spans="1:6" ht="18" x14ac:dyDescent="0.35">
      <c r="A28" s="1">
        <v>1978</v>
      </c>
      <c r="B28" s="12">
        <v>30930</v>
      </c>
      <c r="C28" s="12">
        <v>250603040.043383</v>
      </c>
      <c r="D28" s="7">
        <v>1.2342228567796201E-4</v>
      </c>
      <c r="E28" s="7"/>
      <c r="F28" s="13">
        <v>2.04</v>
      </c>
    </row>
    <row r="29" spans="1:6" ht="18" x14ac:dyDescent="0.35">
      <c r="A29" s="1">
        <v>1979</v>
      </c>
      <c r="B29" s="12">
        <v>57625</v>
      </c>
      <c r="C29" s="12">
        <v>266062160.65129599</v>
      </c>
      <c r="D29" s="7">
        <v>2.1658472538499699E-4</v>
      </c>
      <c r="E29" s="7"/>
      <c r="F29" s="13">
        <v>3.41</v>
      </c>
    </row>
    <row r="30" spans="1:6" ht="18" x14ac:dyDescent="0.35">
      <c r="A30" s="1">
        <v>1980</v>
      </c>
      <c r="B30" s="12">
        <v>92204</v>
      </c>
      <c r="C30" s="12">
        <v>282023621.65632302</v>
      </c>
      <c r="D30" s="7">
        <v>3.26937153201872E-4</v>
      </c>
      <c r="E30" s="7"/>
      <c r="F30" s="13">
        <v>5.58</v>
      </c>
    </row>
    <row r="31" spans="1:6" ht="18" x14ac:dyDescent="0.35">
      <c r="A31" s="1">
        <v>1981</v>
      </c>
      <c r="B31" s="12">
        <v>122453</v>
      </c>
      <c r="C31" s="12">
        <v>287379218.47070003</v>
      </c>
      <c r="D31" s="7">
        <v>4.2610248803528198E-4</v>
      </c>
      <c r="E31" s="7"/>
      <c r="F31" s="13">
        <v>7.47</v>
      </c>
    </row>
    <row r="32" spans="1:6" ht="18" x14ac:dyDescent="0.35">
      <c r="A32" s="1">
        <v>1982</v>
      </c>
      <c r="B32" s="12">
        <v>128696</v>
      </c>
      <c r="C32" s="12">
        <v>260390575.522607</v>
      </c>
      <c r="D32" s="7">
        <v>4.9424215811845603E-4</v>
      </c>
      <c r="E32" s="7"/>
      <c r="F32" s="13">
        <v>9</v>
      </c>
    </row>
    <row r="33" spans="1:6" ht="18" x14ac:dyDescent="0.35">
      <c r="A33" s="1">
        <v>1983</v>
      </c>
      <c r="B33" s="12">
        <v>175417</v>
      </c>
      <c r="C33" s="12">
        <v>232443896.14274701</v>
      </c>
      <c r="D33" s="7">
        <v>7.5466382602825603E-4</v>
      </c>
      <c r="E33" s="7"/>
      <c r="F33" s="13">
        <v>13</v>
      </c>
    </row>
    <row r="34" spans="1:6" ht="18" x14ac:dyDescent="0.35">
      <c r="A34" s="1">
        <v>1984</v>
      </c>
      <c r="B34" s="12">
        <v>272954.08715392998</v>
      </c>
      <c r="C34" s="12">
        <v>231541422.88324001</v>
      </c>
      <c r="D34" s="7">
        <v>1.1788563953482E-3</v>
      </c>
      <c r="E34" s="7"/>
      <c r="F34" s="13">
        <v>21</v>
      </c>
    </row>
    <row r="35" spans="1:6" ht="18" x14ac:dyDescent="0.35">
      <c r="A35" s="1">
        <v>1985</v>
      </c>
      <c r="B35" s="12">
        <v>485478.93934170599</v>
      </c>
      <c r="C35" s="12">
        <v>236630176.92449301</v>
      </c>
      <c r="D35" s="7">
        <v>2.0516357873350201E-3</v>
      </c>
      <c r="E35" s="7"/>
      <c r="F35" s="13">
        <v>35</v>
      </c>
    </row>
    <row r="36" spans="1:6" ht="18" x14ac:dyDescent="0.35">
      <c r="A36" s="1">
        <v>1986</v>
      </c>
      <c r="B36" s="12">
        <v>909600.670579714</v>
      </c>
      <c r="C36" s="12">
        <v>259420983.00112599</v>
      </c>
      <c r="D36" s="7">
        <v>3.5062725461022801E-3</v>
      </c>
      <c r="E36" s="7"/>
      <c r="F36" s="13">
        <v>63</v>
      </c>
    </row>
    <row r="37" spans="1:6" ht="18" x14ac:dyDescent="0.35">
      <c r="A37" s="1">
        <v>1987</v>
      </c>
      <c r="B37" s="12">
        <v>1709288.3325392399</v>
      </c>
      <c r="C37" s="12">
        <v>281993944.76462299</v>
      </c>
      <c r="D37" s="7">
        <v>6.0614362977402299E-3</v>
      </c>
      <c r="E37" s="7"/>
      <c r="F37" s="13">
        <v>102</v>
      </c>
    </row>
    <row r="38" spans="1:6" ht="18" x14ac:dyDescent="0.35">
      <c r="A38" s="1">
        <v>1988</v>
      </c>
      <c r="B38" s="12">
        <v>3050908.4323591599</v>
      </c>
      <c r="C38" s="12">
        <v>288166569.13432002</v>
      </c>
      <c r="D38" s="7">
        <v>1.05873087274641E-2</v>
      </c>
      <c r="E38" s="7"/>
      <c r="F38" s="13">
        <v>166</v>
      </c>
    </row>
    <row r="39" spans="1:6" ht="18" x14ac:dyDescent="0.35">
      <c r="A39" s="1">
        <v>1989</v>
      </c>
      <c r="B39" s="12">
        <v>5469983.8937544404</v>
      </c>
      <c r="C39" s="12">
        <v>293421381.49557</v>
      </c>
      <c r="D39" s="8">
        <v>1.8642076681235398E-2</v>
      </c>
      <c r="E39" s="8"/>
      <c r="F39" s="13">
        <v>300</v>
      </c>
    </row>
    <row r="40" spans="1:6" ht="18" x14ac:dyDescent="0.35">
      <c r="A40" s="1">
        <v>1990</v>
      </c>
      <c r="B40" s="12">
        <v>11428343.8430264</v>
      </c>
      <c r="C40" s="12">
        <v>296388574.21707302</v>
      </c>
      <c r="D40" s="8">
        <v>3.8558651841471801E-2</v>
      </c>
      <c r="E40" s="8"/>
      <c r="F40" s="13">
        <v>637</v>
      </c>
    </row>
    <row r="41" spans="1:6" ht="18" x14ac:dyDescent="0.35">
      <c r="A41" s="1">
        <v>1991</v>
      </c>
      <c r="B41" s="12">
        <v>23930296.699859101</v>
      </c>
      <c r="C41" s="12">
        <v>309061472.25915402</v>
      </c>
      <c r="D41" s="8">
        <v>7.7428922230050906E-2</v>
      </c>
      <c r="E41" s="8"/>
      <c r="F41" s="14">
        <v>1286</v>
      </c>
    </row>
    <row r="42" spans="1:6" ht="18" x14ac:dyDescent="0.35">
      <c r="A42" s="1">
        <v>1992</v>
      </c>
      <c r="B42" s="12">
        <v>41521598.3841879</v>
      </c>
      <c r="C42" s="12">
        <v>335949258.02175897</v>
      </c>
      <c r="D42" s="8">
        <v>0.123594850688727</v>
      </c>
      <c r="E42" s="8"/>
      <c r="F42" s="14">
        <v>2167</v>
      </c>
    </row>
    <row r="43" spans="1:6" ht="18" x14ac:dyDescent="0.35">
      <c r="A43" s="1">
        <v>1993</v>
      </c>
      <c r="B43" s="12">
        <v>63470538.885246001</v>
      </c>
      <c r="C43" s="12">
        <v>347332013.28854501</v>
      </c>
      <c r="D43" s="8">
        <v>0.18273737074882901</v>
      </c>
      <c r="E43" s="8"/>
      <c r="F43" s="14">
        <v>3339</v>
      </c>
    </row>
    <row r="44" spans="1:6" ht="18" x14ac:dyDescent="0.35">
      <c r="A44" s="1">
        <v>1994</v>
      </c>
      <c r="B44" s="12">
        <v>95292261.474070802</v>
      </c>
      <c r="C44" s="12">
        <v>375274679.33925402</v>
      </c>
      <c r="D44" s="8">
        <v>0.25392670148130397</v>
      </c>
      <c r="E44" s="8"/>
      <c r="F44" s="14">
        <v>4832</v>
      </c>
    </row>
    <row r="45" spans="1:6" ht="18" x14ac:dyDescent="0.35">
      <c r="A45" s="1">
        <v>1995</v>
      </c>
      <c r="B45" s="12">
        <v>133405283.685574</v>
      </c>
      <c r="C45" s="12">
        <v>372474649.86413699</v>
      </c>
      <c r="D45" s="8">
        <v>0.35815936395734299</v>
      </c>
      <c r="E45" s="8"/>
      <c r="F45" s="14">
        <v>6874</v>
      </c>
    </row>
    <row r="46" spans="1:6" ht="18" x14ac:dyDescent="0.35">
      <c r="A46" s="1">
        <v>1996</v>
      </c>
      <c r="B46" s="12">
        <v>179342262.21181199</v>
      </c>
      <c r="C46" s="12">
        <v>396050190.24970001</v>
      </c>
      <c r="D46" s="8">
        <v>0.45282710784393498</v>
      </c>
      <c r="E46" s="8"/>
      <c r="F46" s="14">
        <v>8822</v>
      </c>
    </row>
    <row r="47" spans="1:6" ht="18" x14ac:dyDescent="0.35">
      <c r="A47" s="1">
        <v>1997</v>
      </c>
      <c r="B47" s="12">
        <v>226318274.88612899</v>
      </c>
      <c r="C47" s="12">
        <v>419002951.912857</v>
      </c>
      <c r="D47" s="8">
        <v>0.54013527554621599</v>
      </c>
      <c r="E47" s="8"/>
      <c r="F47" s="14">
        <v>10571</v>
      </c>
    </row>
    <row r="48" spans="1:6" ht="18" x14ac:dyDescent="0.35">
      <c r="A48" s="1">
        <v>1998</v>
      </c>
      <c r="B48" s="12">
        <v>265838901.44608101</v>
      </c>
      <c r="C48" s="12">
        <v>437937234.791502</v>
      </c>
      <c r="D48" s="8">
        <v>0.60702511758938404</v>
      </c>
      <c r="E48" s="8"/>
      <c r="F48" s="14">
        <v>11713</v>
      </c>
    </row>
    <row r="49" spans="1:6" ht="18" x14ac:dyDescent="0.35">
      <c r="A49" s="1">
        <v>1999</v>
      </c>
      <c r="B49" s="12">
        <v>271961149.66539502</v>
      </c>
      <c r="C49" s="12">
        <v>429444702.70154202</v>
      </c>
      <c r="D49" s="8">
        <v>0.63328560802950296</v>
      </c>
      <c r="E49" s="8"/>
      <c r="F49" s="14">
        <v>12376</v>
      </c>
    </row>
    <row r="50" spans="1:6" ht="18" x14ac:dyDescent="0.35">
      <c r="A50" s="1">
        <v>2000</v>
      </c>
      <c r="B50" s="12">
        <v>276152265.914774</v>
      </c>
      <c r="C50" s="12">
        <v>421156717.83844203</v>
      </c>
      <c r="D50" s="8">
        <v>0.65569953943060999</v>
      </c>
      <c r="E50" s="8"/>
      <c r="F50" s="14">
        <v>12966</v>
      </c>
    </row>
    <row r="51" spans="1:6" ht="18" x14ac:dyDescent="0.35">
      <c r="A51" s="1">
        <v>2001</v>
      </c>
      <c r="B51" s="12">
        <v>278353052.81068701</v>
      </c>
      <c r="C51" s="12">
        <v>404966906.28149301</v>
      </c>
      <c r="D51" s="8">
        <v>0.68734765358136096</v>
      </c>
      <c r="E51" s="8"/>
      <c r="F51" s="14">
        <v>13532</v>
      </c>
    </row>
    <row r="52" spans="1:6" ht="18" x14ac:dyDescent="0.35">
      <c r="A52" s="1">
        <v>2002</v>
      </c>
      <c r="B52" s="12">
        <v>289233255.65463001</v>
      </c>
      <c r="C52" s="12">
        <v>373654835.85122102</v>
      </c>
      <c r="D52" s="8">
        <v>0.77406533491190999</v>
      </c>
      <c r="E52" s="8"/>
      <c r="F52" s="14">
        <v>15422</v>
      </c>
    </row>
    <row r="53" spans="1:6" ht="18" x14ac:dyDescent="0.35">
      <c r="A53" s="1">
        <v>2003</v>
      </c>
      <c r="B53" s="12">
        <v>339791593.76161098</v>
      </c>
      <c r="C53" s="12">
        <v>376663818.15997899</v>
      </c>
      <c r="D53" s="8">
        <v>0.90210839846924895</v>
      </c>
      <c r="E53" s="8"/>
      <c r="F53" s="14">
        <v>18410</v>
      </c>
    </row>
    <row r="54" spans="1:6" ht="18" x14ac:dyDescent="0.35">
      <c r="A54" s="1">
        <v>2004</v>
      </c>
      <c r="B54" s="12">
        <v>392849675.88542098</v>
      </c>
      <c r="C54" s="12">
        <v>395512679.62749302</v>
      </c>
      <c r="D54" s="8">
        <v>0.99326695734614601</v>
      </c>
      <c r="E54" s="8"/>
      <c r="F54" s="14">
        <v>20096</v>
      </c>
    </row>
    <row r="55" spans="1:6" ht="18" x14ac:dyDescent="0.35">
      <c r="A55" s="1">
        <v>2005</v>
      </c>
      <c r="B55" s="12">
        <v>425018448.12484699</v>
      </c>
      <c r="C55" s="12">
        <v>425018448.12484699</v>
      </c>
      <c r="D55" s="8">
        <v>1</v>
      </c>
      <c r="E55" s="8"/>
      <c r="F55" s="14">
        <v>21041</v>
      </c>
    </row>
    <row r="56" spans="1:6" ht="18" x14ac:dyDescent="0.35">
      <c r="A56" s="1">
        <v>2006</v>
      </c>
      <c r="B56" s="12">
        <v>471344123.36871898</v>
      </c>
      <c r="C56" s="12">
        <v>442438157.95960301</v>
      </c>
      <c r="D56" s="8">
        <v>1.0653333463425101</v>
      </c>
      <c r="E56" s="8"/>
      <c r="F56" s="14">
        <v>22387</v>
      </c>
    </row>
    <row r="57" spans="1:6" ht="18" x14ac:dyDescent="0.35">
      <c r="A57" s="1">
        <v>2007</v>
      </c>
      <c r="B57" s="12">
        <v>549469550.27590704</v>
      </c>
      <c r="C57" s="12">
        <v>471380298.06474203</v>
      </c>
      <c r="D57" s="8">
        <v>1.1656608316719199</v>
      </c>
      <c r="E57" s="8"/>
      <c r="F57" s="14">
        <v>24204</v>
      </c>
    </row>
    <row r="58" spans="1:6" ht="18" x14ac:dyDescent="0.35">
      <c r="A58" s="1">
        <v>2008</v>
      </c>
      <c r="B58" s="12">
        <v>636150908.48145604</v>
      </c>
      <c r="C58" s="12">
        <v>505207230.15748101</v>
      </c>
      <c r="D58" s="8">
        <v>1.25918805295632</v>
      </c>
      <c r="E58" s="8"/>
      <c r="F58" s="14">
        <v>26110</v>
      </c>
    </row>
    <row r="59" spans="1:6" ht="18" x14ac:dyDescent="0.35">
      <c r="A59" s="1">
        <v>2009</v>
      </c>
      <c r="B59" s="12">
        <v>714523445.73460197</v>
      </c>
      <c r="C59" s="12">
        <v>526645669.64410901</v>
      </c>
      <c r="D59" s="8">
        <v>1.35674417719499</v>
      </c>
      <c r="E59" s="8"/>
      <c r="F59" s="14">
        <v>27954</v>
      </c>
    </row>
    <row r="60" spans="1:6" ht="18" x14ac:dyDescent="0.35">
      <c r="A60" s="1">
        <v>2010</v>
      </c>
      <c r="B60" s="12">
        <v>808078502.83073401</v>
      </c>
      <c r="C60" s="12">
        <v>567741988.67810094</v>
      </c>
      <c r="D60" s="8">
        <v>1.4233199568561401</v>
      </c>
      <c r="E60" s="8"/>
      <c r="F60" s="14">
        <v>29826</v>
      </c>
    </row>
    <row r="61" spans="1:6" ht="18" x14ac:dyDescent="0.35">
      <c r="A61" s="1">
        <v>2011</v>
      </c>
      <c r="B61" s="12">
        <v>926356145.17954695</v>
      </c>
      <c r="C61" s="12">
        <v>597049585.35442996</v>
      </c>
      <c r="D61" s="8">
        <v>1.5515564668378901</v>
      </c>
      <c r="E61" s="8"/>
      <c r="F61" s="14">
        <v>32240</v>
      </c>
    </row>
    <row r="62" spans="1:6" ht="18" x14ac:dyDescent="0.35">
      <c r="A62" s="1">
        <v>2012</v>
      </c>
      <c r="B62" s="12">
        <v>1041210521.85409</v>
      </c>
      <c r="C62" s="12">
        <v>618174266.74561799</v>
      </c>
      <c r="D62" s="8">
        <v>1.68433171334606</v>
      </c>
      <c r="E62" s="8"/>
      <c r="F62" s="14">
        <v>34851</v>
      </c>
    </row>
    <row r="63" spans="1:6" ht="18" x14ac:dyDescent="0.35">
      <c r="A63" s="1">
        <v>2013</v>
      </c>
      <c r="B63" s="12">
        <v>1178331709.00612</v>
      </c>
      <c r="C63" s="12">
        <v>646842337.16567302</v>
      </c>
      <c r="D63" s="8">
        <v>1.82166757075506</v>
      </c>
      <c r="E63" s="8"/>
      <c r="F63" s="14">
        <v>37840</v>
      </c>
    </row>
    <row r="64" spans="1:6" ht="18" x14ac:dyDescent="0.35">
      <c r="A64" s="2">
        <v>2014</v>
      </c>
      <c r="B64" s="12">
        <v>1330508360.23682</v>
      </c>
      <c r="C64" s="12">
        <v>667792210.04414594</v>
      </c>
      <c r="D64" s="8">
        <v>1.9923987435385999</v>
      </c>
      <c r="E64" s="8"/>
      <c r="F64" s="14">
        <v>41199</v>
      </c>
    </row>
    <row r="65" spans="1:6" ht="18" x14ac:dyDescent="0.35">
      <c r="A65" s="2">
        <v>2015</v>
      </c>
      <c r="B65" s="12">
        <v>1455848221.2012801</v>
      </c>
      <c r="C65" s="12">
        <v>670267991.273422</v>
      </c>
      <c r="D65" s="8">
        <v>2.1720390055257699</v>
      </c>
      <c r="E65" s="8"/>
      <c r="F65" s="14">
        <v>44769</v>
      </c>
    </row>
    <row r="66" spans="1:6" ht="18" x14ac:dyDescent="0.35">
      <c r="A66" s="1">
        <v>2016</v>
      </c>
      <c r="B66" s="12">
        <v>1589195373.6191399</v>
      </c>
      <c r="C66" s="12">
        <v>681594167.46775699</v>
      </c>
      <c r="D66" s="8">
        <v>2.3315859340805098</v>
      </c>
      <c r="E66" s="8">
        <v>100</v>
      </c>
      <c r="F66" s="14">
        <v>49085</v>
      </c>
    </row>
    <row r="67" spans="1:6" ht="18" x14ac:dyDescent="0.35">
      <c r="A67" s="2">
        <v>2017</v>
      </c>
      <c r="B67" s="12">
        <v>1707108630.93191</v>
      </c>
      <c r="C67" s="12">
        <v>699256580.85150301</v>
      </c>
      <c r="D67" s="8">
        <v>2.4413193635633998</v>
      </c>
      <c r="E67" s="8">
        <v>105.68017140723612</v>
      </c>
      <c r="F67" s="14">
        <v>52138</v>
      </c>
    </row>
    <row r="68" spans="1:6" ht="18" x14ac:dyDescent="0.35">
      <c r="A68" s="2">
        <v>2018</v>
      </c>
      <c r="B68" s="12">
        <v>1831132171.4386201</v>
      </c>
      <c r="C68" s="12">
        <v>710585122.24208999</v>
      </c>
      <c r="D68" s="8">
        <v>2.5769357028766602</v>
      </c>
      <c r="E68" s="8">
        <v>113.63319617689957</v>
      </c>
      <c r="F68" s="14">
        <v>56103</v>
      </c>
    </row>
    <row r="69" spans="1:6" ht="18" x14ac:dyDescent="0.35">
      <c r="A69" s="1">
        <v>2019</v>
      </c>
      <c r="B69" s="12">
        <v>1975921079.5222499</v>
      </c>
      <c r="C69" s="12">
        <v>712163486.19366205</v>
      </c>
      <c r="D69" s="8">
        <v>2.7745329798963199</v>
      </c>
      <c r="E69" s="8">
        <v>123.01513246121117</v>
      </c>
      <c r="F69" s="14">
        <v>60525</v>
      </c>
    </row>
    <row r="70" spans="1:6" ht="18" x14ac:dyDescent="0.35">
      <c r="A70" s="2">
        <v>2020</v>
      </c>
      <c r="D70" s="8">
        <f>(E70/E69-1)*D69+D69</f>
        <v>3.0720570809110632</v>
      </c>
      <c r="E70" s="8">
        <v>136.20652970245033</v>
      </c>
      <c r="F70" s="14">
        <v>66220</v>
      </c>
    </row>
    <row r="71" spans="1:6" ht="18" x14ac:dyDescent="0.35">
      <c r="A71" s="1">
        <v>2021</v>
      </c>
      <c r="D71" s="8">
        <f t="shared" ref="D71:D74" si="0">(E71/E70-1)*D70+D70</f>
        <v>3.412256929353072</v>
      </c>
      <c r="E71" s="8">
        <v>151.29005176638395</v>
      </c>
      <c r="F71" s="14">
        <v>71491</v>
      </c>
    </row>
    <row r="72" spans="1:6" ht="18" x14ac:dyDescent="0.35">
      <c r="A72" s="2">
        <v>2022</v>
      </c>
      <c r="D72" s="8">
        <f t="shared" si="0"/>
        <v>3.6166176585179879</v>
      </c>
      <c r="E72" s="8">
        <v>160.35084230311466</v>
      </c>
      <c r="F72" s="14">
        <v>77854</v>
      </c>
    </row>
    <row r="73" spans="1:6" ht="18" x14ac:dyDescent="0.35">
      <c r="A73" s="1">
        <v>2023</v>
      </c>
      <c r="D73" s="8">
        <f t="shared" si="0"/>
        <v>3.7632011320453107</v>
      </c>
      <c r="E73" s="8">
        <v>166.84994883500454</v>
      </c>
      <c r="F73" s="14">
        <v>81824</v>
      </c>
    </row>
    <row r="74" spans="1:6" ht="18" x14ac:dyDescent="0.35">
      <c r="D74" s="8">
        <f t="shared" si="0"/>
        <v>3.9207675323421141</v>
      </c>
      <c r="E74" s="8">
        <v>173.83600801843937</v>
      </c>
      <c r="F74" s="14">
        <v>86317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2074-E545-4B9A-8DF6-9682A22279C1}">
  <dimension ref="B1:B5"/>
  <sheetViews>
    <sheetView showGridLines="0" workbookViewId="0">
      <selection activeCell="G11" sqref="G11"/>
    </sheetView>
  </sheetViews>
  <sheetFormatPr baseColWidth="10" defaultRowHeight="15" x14ac:dyDescent="0.25"/>
  <sheetData>
    <row r="1" spans="2:2" x14ac:dyDescent="0.25">
      <c r="B1" t="s">
        <v>11</v>
      </c>
    </row>
    <row r="3" spans="2:2" x14ac:dyDescent="0.25">
      <c r="B3" t="s">
        <v>9</v>
      </c>
    </row>
    <row r="5" spans="2:2" x14ac:dyDescent="0.25"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IPI PBI e IPC</vt:lpstr>
      <vt:lpstr>IPI IBIF 2017-2025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Mussi</dc:creator>
  <cp:lastModifiedBy>Emiliano Mussi</cp:lastModifiedBy>
  <dcterms:created xsi:type="dcterms:W3CDTF">2026-05-27T18:35:38Z</dcterms:created>
  <dcterms:modified xsi:type="dcterms:W3CDTF">2026-06-05T18:22:29Z</dcterms:modified>
</cp:coreProperties>
</file>