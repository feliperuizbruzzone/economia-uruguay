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i\Desktop\Uruguay\"/>
    </mc:Choice>
  </mc:AlternateContent>
  <xr:revisionPtr revIDLastSave="0" documentId="13_ncr:1_{20DA19A8-C4F1-4509-806B-FD282D848770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Gráficos" sheetId="16" r:id="rId1"/>
    <sheet name="Fuentes" sheetId="17" r:id="rId2"/>
    <sheet name="TG PN" sheetId="15" r:id="rId3"/>
    <sheet name="metodología" sheetId="1" r:id="rId4"/>
    <sheet name="eaae" sheetId="2" r:id="rId5"/>
    <sheet name="rama-C" sheetId="3" r:id="rId6"/>
    <sheet name="check-calidad-C" sheetId="4" r:id="rId7"/>
    <sheet name="economia_total" sheetId="5" r:id="rId8"/>
    <sheet name="check-calidad-total" sheetId="6" r:id="rId9"/>
    <sheet name="resultados-total-corrientes" sheetId="7" r:id="rId10"/>
    <sheet name="resultados-industrial-corriente" sheetId="8" r:id="rId11"/>
    <sheet name="resultados-total-constante" sheetId="9" r:id="rId12"/>
    <sheet name="resultados-industrial-constante" sheetId="10" r:id="rId13"/>
    <sheet name="resultados-total-var-pct" sheetId="11" r:id="rId14"/>
    <sheet name="resultados-industrial-var-pct" sheetId="12" r:id="rId15"/>
    <sheet name="resultados-total-ind-2005" sheetId="13" r:id="rId16"/>
    <sheet name="resultados-industrial-ind-2005" sheetId="14" r:id="rId17"/>
  </sheets>
  <calcPr calcId="181029"/>
</workbook>
</file>

<file path=xl/calcChain.xml><?xml version="1.0" encoding="utf-8"?>
<calcChain xmlns="http://schemas.openxmlformats.org/spreadsheetml/2006/main">
  <c r="AG8" i="15" l="1"/>
  <c r="AF9" i="15"/>
  <c r="AF10" i="15"/>
  <c r="AF11" i="15"/>
  <c r="AF12" i="15"/>
  <c r="AF13" i="15"/>
  <c r="AF14" i="15"/>
  <c r="AF15" i="15"/>
  <c r="AF16" i="15"/>
  <c r="AF17" i="15"/>
  <c r="AF18" i="15"/>
  <c r="AF19" i="15"/>
  <c r="AF20" i="15"/>
  <c r="AF21" i="15"/>
  <c r="AF22" i="15"/>
  <c r="AF23" i="15"/>
  <c r="AF24" i="15"/>
  <c r="AF25" i="15"/>
  <c r="AF26" i="15"/>
  <c r="AF8" i="15"/>
  <c r="AE9" i="15"/>
  <c r="AE10" i="15"/>
  <c r="AE11" i="15"/>
  <c r="AE12" i="15"/>
  <c r="AE13" i="15"/>
  <c r="AE14" i="15"/>
  <c r="AE15" i="15"/>
  <c r="AE16" i="15"/>
  <c r="AE17" i="15"/>
  <c r="AE18" i="15"/>
  <c r="AE19" i="15"/>
  <c r="AE20" i="15"/>
  <c r="AE21" i="15"/>
  <c r="AE22" i="15"/>
  <c r="AE23" i="15"/>
  <c r="AE24" i="15"/>
  <c r="AE25" i="15"/>
  <c r="AE26" i="15"/>
  <c r="AE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8" i="15"/>
  <c r="AG11" i="15" l="1"/>
  <c r="AH11" i="15" s="1"/>
  <c r="AG13" i="15"/>
  <c r="AH13" i="15" s="1"/>
  <c r="AG14" i="15"/>
  <c r="AH14" i="15" s="1"/>
  <c r="AG15" i="15"/>
  <c r="AH15" i="15" s="1"/>
  <c r="AG16" i="15"/>
  <c r="AH16" i="15" s="1"/>
  <c r="AG17" i="15"/>
  <c r="AH17" i="15" s="1"/>
  <c r="AG19" i="15"/>
  <c r="AH19" i="15" s="1"/>
  <c r="AG20" i="15"/>
  <c r="AH20" i="15" s="1"/>
  <c r="AG21" i="15"/>
  <c r="AH21" i="15" s="1"/>
  <c r="AG22" i="15"/>
  <c r="AH22" i="15" s="1"/>
  <c r="AG23" i="15"/>
  <c r="AH23" i="15" s="1"/>
  <c r="AG24" i="15"/>
  <c r="AH24" i="15" s="1"/>
  <c r="T18" i="15"/>
  <c r="T19" i="15"/>
  <c r="T20" i="15"/>
  <c r="O3" i="15"/>
  <c r="O5" i="15"/>
  <c r="O6" i="15"/>
  <c r="O7" i="15"/>
  <c r="O8" i="15"/>
  <c r="O9" i="15"/>
  <c r="O10" i="15"/>
  <c r="O11" i="15"/>
  <c r="O12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M14" i="15"/>
  <c r="T14" i="15" s="1"/>
  <c r="M15" i="15"/>
  <c r="T15" i="15" s="1"/>
  <c r="M16" i="15"/>
  <c r="T16" i="15" s="1"/>
  <c r="M17" i="15"/>
  <c r="T17" i="15" s="1"/>
  <c r="M18" i="15"/>
  <c r="M19" i="15"/>
  <c r="M20" i="15"/>
  <c r="M21" i="15"/>
  <c r="T21" i="15" s="1"/>
  <c r="M22" i="15"/>
  <c r="T22" i="15" s="1"/>
  <c r="M23" i="15"/>
  <c r="T23" i="15" s="1"/>
  <c r="M24" i="15"/>
  <c r="T24" i="15" s="1"/>
  <c r="M25" i="15"/>
  <c r="T25" i="15" s="1"/>
  <c r="M26" i="15"/>
  <c r="T26" i="15" s="1"/>
  <c r="N4" i="15"/>
  <c r="N5" i="15"/>
  <c r="N6" i="15"/>
  <c r="N7" i="15"/>
  <c r="N8" i="15"/>
  <c r="P8" i="15" s="1"/>
  <c r="N9" i="15"/>
  <c r="P9" i="15" s="1"/>
  <c r="N10" i="15"/>
  <c r="R10" i="15" s="1"/>
  <c r="N11" i="15"/>
  <c r="P11" i="15" s="1"/>
  <c r="N12" i="15"/>
  <c r="R12" i="15" s="1"/>
  <c r="N13" i="15"/>
  <c r="P13" i="15" s="1"/>
  <c r="Q13" i="15" s="1"/>
  <c r="N14" i="15"/>
  <c r="P14" i="15" s="1"/>
  <c r="Q14" i="15" s="1"/>
  <c r="N15" i="15"/>
  <c r="P15" i="15" s="1"/>
  <c r="N16" i="15"/>
  <c r="P16" i="15" s="1"/>
  <c r="N17" i="15"/>
  <c r="P17" i="15" s="1"/>
  <c r="N18" i="15"/>
  <c r="R18" i="15" s="1"/>
  <c r="N19" i="15"/>
  <c r="R19" i="15" s="1"/>
  <c r="N20" i="15"/>
  <c r="P20" i="15" s="1"/>
  <c r="Q20" i="15" s="1"/>
  <c r="N21" i="15"/>
  <c r="P21" i="15" s="1"/>
  <c r="N22" i="15"/>
  <c r="P22" i="15" s="1"/>
  <c r="N23" i="15"/>
  <c r="P23" i="15" s="1"/>
  <c r="N24" i="15"/>
  <c r="P24" i="15" s="1"/>
  <c r="N25" i="15"/>
  <c r="P25" i="15" s="1"/>
  <c r="N26" i="15"/>
  <c r="P26" i="15" s="1"/>
  <c r="N3" i="15"/>
  <c r="M5" i="15"/>
  <c r="M6" i="15"/>
  <c r="M7" i="15"/>
  <c r="M8" i="15"/>
  <c r="W8" i="15" s="1"/>
  <c r="M9" i="15"/>
  <c r="T9" i="15" s="1"/>
  <c r="M10" i="15"/>
  <c r="T10" i="15" s="1"/>
  <c r="M11" i="15"/>
  <c r="T11" i="15" s="1"/>
  <c r="M12" i="15"/>
  <c r="T12" i="15" s="1"/>
  <c r="M3" i="15"/>
  <c r="L3" i="15"/>
  <c r="L4" i="15"/>
  <c r="L5" i="15"/>
  <c r="L6" i="15"/>
  <c r="L7" i="15"/>
  <c r="L8" i="15"/>
  <c r="S8" i="15" s="1"/>
  <c r="L9" i="15"/>
  <c r="U9" i="15" s="1"/>
  <c r="L10" i="15"/>
  <c r="U10" i="15" s="1"/>
  <c r="L11" i="15"/>
  <c r="U11" i="15" s="1"/>
  <c r="L12" i="15"/>
  <c r="U12" i="15" s="1"/>
  <c r="L13" i="15"/>
  <c r="U13" i="15" s="1"/>
  <c r="L14" i="15"/>
  <c r="U14" i="15" s="1"/>
  <c r="L15" i="15"/>
  <c r="U15" i="15" s="1"/>
  <c r="L16" i="15"/>
  <c r="U16" i="15" s="1"/>
  <c r="L17" i="15"/>
  <c r="U17" i="15" s="1"/>
  <c r="L18" i="15"/>
  <c r="U18" i="15" s="1"/>
  <c r="L19" i="15"/>
  <c r="U19" i="15" s="1"/>
  <c r="L20" i="15"/>
  <c r="U20" i="15" s="1"/>
  <c r="L21" i="15"/>
  <c r="U21" i="15" s="1"/>
  <c r="L22" i="15"/>
  <c r="U22" i="15" s="1"/>
  <c r="L23" i="15"/>
  <c r="U23" i="15" s="1"/>
  <c r="L24" i="15"/>
  <c r="U24" i="15" s="1"/>
  <c r="L25" i="15"/>
  <c r="U25" i="15" s="1"/>
  <c r="L26" i="15"/>
  <c r="U26" i="15" s="1"/>
  <c r="AD3" i="3"/>
  <c r="X4" i="15" s="1"/>
  <c r="AD7" i="3"/>
  <c r="X8" i="15" s="1"/>
  <c r="AD23" i="3"/>
  <c r="X24" i="15" s="1"/>
  <c r="AD24" i="3"/>
  <c r="X25" i="15" s="1"/>
  <c r="AC3" i="3"/>
  <c r="AC4" i="3"/>
  <c r="AD4" i="3" s="1"/>
  <c r="X5" i="15" s="1"/>
  <c r="AC5" i="3"/>
  <c r="AD5" i="3" s="1"/>
  <c r="X6" i="15" s="1"/>
  <c r="AC6" i="3"/>
  <c r="AD6" i="3" s="1"/>
  <c r="X7" i="15" s="1"/>
  <c r="AC7" i="3"/>
  <c r="AC8" i="3"/>
  <c r="AD8" i="3" s="1"/>
  <c r="X9" i="15" s="1"/>
  <c r="AC9" i="3"/>
  <c r="AD9" i="3" s="1"/>
  <c r="X10" i="15" s="1"/>
  <c r="AC10" i="3"/>
  <c r="AD10" i="3" s="1"/>
  <c r="X11" i="15" s="1"/>
  <c r="AC11" i="3"/>
  <c r="AD11" i="3" s="1"/>
  <c r="X12" i="15" s="1"/>
  <c r="AC12" i="3"/>
  <c r="AD12" i="3" s="1"/>
  <c r="X13" i="15" s="1"/>
  <c r="AC13" i="3"/>
  <c r="AD13" i="3" s="1"/>
  <c r="X14" i="15" s="1"/>
  <c r="AC14" i="3"/>
  <c r="AD14" i="3" s="1"/>
  <c r="X15" i="15" s="1"/>
  <c r="AC15" i="3"/>
  <c r="AD15" i="3" s="1"/>
  <c r="X16" i="15" s="1"/>
  <c r="AC16" i="3"/>
  <c r="AD16" i="3" s="1"/>
  <c r="X17" i="15" s="1"/>
  <c r="AC17" i="3"/>
  <c r="AD17" i="3" s="1"/>
  <c r="X18" i="15" s="1"/>
  <c r="AC18" i="3"/>
  <c r="AD18" i="3" s="1"/>
  <c r="X19" i="15" s="1"/>
  <c r="AC19" i="3"/>
  <c r="AD19" i="3" s="1"/>
  <c r="X20" i="15" s="1"/>
  <c r="AC20" i="3"/>
  <c r="AD20" i="3" s="1"/>
  <c r="X21" i="15" s="1"/>
  <c r="AC21" i="3"/>
  <c r="AD21" i="3" s="1"/>
  <c r="X22" i="15" s="1"/>
  <c r="AC22" i="3"/>
  <c r="AD22" i="3" s="1"/>
  <c r="X23" i="15" s="1"/>
  <c r="AC23" i="3"/>
  <c r="AC24" i="3"/>
  <c r="AC25" i="3"/>
  <c r="AD25" i="3" s="1"/>
  <c r="X26" i="15" s="1"/>
  <c r="AC2" i="3"/>
  <c r="AD2" i="3" s="1"/>
  <c r="X3" i="15" s="1"/>
  <c r="V9" i="15"/>
  <c r="V10" i="15"/>
  <c r="V11" i="15"/>
  <c r="V12" i="15"/>
  <c r="V13" i="15"/>
  <c r="V14" i="15"/>
  <c r="V15" i="15"/>
  <c r="V16" i="15"/>
  <c r="V17" i="15"/>
  <c r="V18" i="15"/>
  <c r="V19" i="15"/>
  <c r="V20" i="15"/>
  <c r="V21" i="15"/>
  <c r="V22" i="15"/>
  <c r="V23" i="15"/>
  <c r="V24" i="15"/>
  <c r="V25" i="15"/>
  <c r="V26" i="15"/>
  <c r="V8" i="15"/>
  <c r="AG26" i="15" l="1"/>
  <c r="AH26" i="15" s="1"/>
  <c r="AG18" i="15"/>
  <c r="AH18" i="15" s="1"/>
  <c r="AG10" i="15"/>
  <c r="AH10" i="15" s="1"/>
  <c r="AG12" i="15"/>
  <c r="AH12" i="15" s="1"/>
  <c r="AH8" i="15"/>
  <c r="AG25" i="15"/>
  <c r="AH25" i="15" s="1"/>
  <c r="AG9" i="15"/>
  <c r="AH9" i="15" s="1"/>
  <c r="AA11" i="15"/>
  <c r="Q17" i="15"/>
  <c r="Q16" i="15"/>
  <c r="Q15" i="15"/>
  <c r="AA25" i="15"/>
  <c r="AA9" i="15"/>
  <c r="AA24" i="15"/>
  <c r="AA23" i="15"/>
  <c r="AA22" i="15"/>
  <c r="AA21" i="15"/>
  <c r="AA26" i="15"/>
  <c r="AA17" i="15"/>
  <c r="AA16" i="15"/>
  <c r="AA15" i="15"/>
  <c r="AA14" i="15"/>
  <c r="AA20" i="15"/>
  <c r="S20" i="15"/>
  <c r="Y20" i="15" s="1"/>
  <c r="S17" i="15"/>
  <c r="Y17" i="15" s="1"/>
  <c r="T8" i="15"/>
  <c r="Q23" i="15"/>
  <c r="Q11" i="15"/>
  <c r="Q22" i="15"/>
  <c r="Q9" i="15"/>
  <c r="Q8" i="15"/>
  <c r="P12" i="15"/>
  <c r="Q21" i="15"/>
  <c r="Q26" i="15"/>
  <c r="Q25" i="15"/>
  <c r="Q24" i="15"/>
  <c r="S19" i="15"/>
  <c r="P10" i="15"/>
  <c r="U8" i="15"/>
  <c r="R11" i="15"/>
  <c r="W25" i="15"/>
  <c r="W3" i="15"/>
  <c r="W10" i="15"/>
  <c r="W26" i="15"/>
  <c r="W9" i="15"/>
  <c r="R17" i="15"/>
  <c r="R16" i="15"/>
  <c r="R13" i="15"/>
  <c r="P19" i="15"/>
  <c r="R9" i="15"/>
  <c r="R8" i="15"/>
  <c r="R24" i="15"/>
  <c r="R22" i="15"/>
  <c r="R21" i="15"/>
  <c r="P18" i="15"/>
  <c r="S9" i="15"/>
  <c r="Y9" i="15" s="1"/>
  <c r="R23" i="15"/>
  <c r="R20" i="15"/>
  <c r="R25" i="15"/>
  <c r="R15" i="15"/>
  <c r="R26" i="15"/>
  <c r="R14" i="15"/>
  <c r="S22" i="15"/>
  <c r="Y22" i="15" s="1"/>
  <c r="S25" i="15"/>
  <c r="Y25" i="15" s="1"/>
  <c r="S24" i="15"/>
  <c r="Y24" i="15" s="1"/>
  <c r="S23" i="15"/>
  <c r="Y23" i="15" s="1"/>
  <c r="S21" i="15"/>
  <c r="Y21" i="15" s="1"/>
  <c r="W21" i="15"/>
  <c r="W20" i="15"/>
  <c r="W24" i="15"/>
  <c r="W23" i="15"/>
  <c r="W22" i="15"/>
  <c r="S12" i="15"/>
  <c r="W7" i="15"/>
  <c r="W6" i="15"/>
  <c r="S18" i="15"/>
  <c r="S14" i="15"/>
  <c r="Y14" i="15" s="1"/>
  <c r="S13" i="15"/>
  <c r="Y13" i="15" s="1"/>
  <c r="S11" i="15"/>
  <c r="Y11" i="15" s="1"/>
  <c r="W5" i="15"/>
  <c r="S16" i="15"/>
  <c r="Y16" i="15" s="1"/>
  <c r="S10" i="15"/>
  <c r="S15" i="15"/>
  <c r="Y15" i="15" s="1"/>
  <c r="S26" i="15"/>
  <c r="Y26" i="15" s="1"/>
  <c r="W17" i="15"/>
  <c r="W15" i="15"/>
  <c r="W19" i="15"/>
  <c r="W18" i="15"/>
  <c r="W12" i="15"/>
  <c r="W11" i="15"/>
  <c r="W16" i="15"/>
  <c r="W14" i="15"/>
  <c r="Z9" i="15" l="1"/>
  <c r="Z26" i="15"/>
  <c r="Q12" i="15"/>
  <c r="Z12" i="15" s="1"/>
  <c r="AA12" i="15"/>
  <c r="Q18" i="15"/>
  <c r="AA18" i="15"/>
  <c r="Q10" i="15"/>
  <c r="AA10" i="15"/>
  <c r="Q19" i="15"/>
  <c r="Z19" i="15" s="1"/>
  <c r="AA19" i="15"/>
  <c r="Z13" i="15"/>
  <c r="Z14" i="15"/>
  <c r="Y12" i="15"/>
  <c r="Z10" i="15"/>
  <c r="Z17" i="15"/>
  <c r="Z15" i="15"/>
  <c r="Z25" i="15"/>
  <c r="Z21" i="15"/>
  <c r="Z22" i="15"/>
  <c r="Z23" i="15"/>
  <c r="Y10" i="15"/>
  <c r="Z16" i="15"/>
  <c r="Z24" i="15"/>
  <c r="Z11" i="15"/>
  <c r="Z18" i="15"/>
  <c r="Z20" i="15"/>
  <c r="Y19" i="15"/>
  <c r="Y18" i="15"/>
  <c r="AB19" i="15" l="1"/>
  <c r="AB21" i="15"/>
  <c r="AB26" i="15"/>
  <c r="AB10" i="15"/>
  <c r="AB17" i="15"/>
  <c r="AB18" i="15"/>
  <c r="AB13" i="15"/>
  <c r="AB24" i="15"/>
  <c r="AB16" i="15"/>
  <c r="AB15" i="15"/>
  <c r="AB25" i="15"/>
  <c r="AB20" i="15"/>
  <c r="AB12" i="15"/>
  <c r="AB23" i="15"/>
  <c r="AB22" i="15"/>
  <c r="AB14" i="15"/>
  <c r="AB9" i="15"/>
  <c r="AB11" i="15"/>
</calcChain>
</file>

<file path=xl/sharedStrings.xml><?xml version="1.0" encoding="utf-8"?>
<sst xmlns="http://schemas.openxmlformats.org/spreadsheetml/2006/main" count="3487" uniqueCount="318">
  <si>
    <t>seccion_contenido</t>
  </si>
  <si>
    <t>nombre</t>
  </si>
  <si>
    <t>tipo</t>
  </si>
  <si>
    <t>aplica_en</t>
  </si>
  <si>
    <t>definicion</t>
  </si>
  <si>
    <t>fuente_formula</t>
  </si>
  <si>
    <t>estructura_libro</t>
  </si>
  <si>
    <t>metodología</t>
  </si>
  <si>
    <t>hoja</t>
  </si>
  <si>
    <t>Libro completo</t>
  </si>
  <si>
    <t>Referencia de lectura del archivo: describe las hojas y el diccionario de variables.</t>
  </si>
  <si>
    <t>Construida por el postproceso R.</t>
  </si>
  <si>
    <t>eaae</t>
  </si>
  <si>
    <t>Panel base</t>
  </si>
  <si>
    <t>Panel completo con unidad año por sección CIIU homologada.</t>
  </si>
  <si>
    <t>CSV fechado del panel EAAE.</t>
  </si>
  <si>
    <t>rama-C</t>
  </si>
  <si>
    <t>Subconjunto del panel para la rama industrial, sección C.</t>
  </si>
  <si>
    <t>Filtro seccion == C.</t>
  </si>
  <si>
    <t>check-calidad-C</t>
  </si>
  <si>
    <t>Validación</t>
  </si>
  <si>
    <t>Indicadores anuales de control para la rama industrial.</t>
  </si>
  <si>
    <t>Derivada del panel rama-C.</t>
  </si>
  <si>
    <t>economia_total</t>
  </si>
  <si>
    <t>Agregado anual de todas las secciones del panel.</t>
  </si>
  <si>
    <t>Suma de variables aditivas por año.</t>
  </si>
  <si>
    <t>check-calidad-total</t>
  </si>
  <si>
    <t>Indicadores anuales de control para la economía total.</t>
  </si>
  <si>
    <t>Derivada de economia_total.</t>
  </si>
  <si>
    <t>resultados-total-corrientes</t>
  </si>
  <si>
    <t>Resultados</t>
  </si>
  <si>
    <t>Insumos y variables calculadas para economía total en valores corrientes.</t>
  </si>
  <si>
    <t>Cálculos propios desde economia_total.</t>
  </si>
  <si>
    <t>resultados-industrial-corrientes</t>
  </si>
  <si>
    <t>Insumos y variables calculadas para la rama industrial en valores corrientes.</t>
  </si>
  <si>
    <t>Cálculos propios desde rama-C.</t>
  </si>
  <si>
    <t>resultados-total-constante</t>
  </si>
  <si>
    <t>Insumos y variables calculadas para economía total en precios de 2005.</t>
  </si>
  <si>
    <t>Deflacta corrientes con índices Oyanthabal.</t>
  </si>
  <si>
    <t>resultados-industrial-constante</t>
  </si>
  <si>
    <t>Insumos y variables calculadas para industria en precios de 2005.</t>
  </si>
  <si>
    <t>resultados-total-var-pct</t>
  </si>
  <si>
    <t>Variación porcentual interanual de los resultados constantes de economía total.</t>
  </si>
  <si>
    <t>(x[t] / x[t-1] - 1) * 100.</t>
  </si>
  <si>
    <t>resultados-industrial-var-pct</t>
  </si>
  <si>
    <t>Variación porcentual interanual de los resultados constantes de industria.</t>
  </si>
  <si>
    <t>resultados-total-ind-2005</t>
  </si>
  <si>
    <t>Índices encadenados de economía total con base 2005=1.</t>
  </si>
  <si>
    <t>Base 2005=1 y encadenamiento por variaciones interanuales.</t>
  </si>
  <si>
    <t>resultados-industrial-ind-2005</t>
  </si>
  <si>
    <t>Índices encadenados de industria con base 2005=1.</t>
  </si>
  <si>
    <t>diccionario_variables</t>
  </si>
  <si>
    <t>anno</t>
  </si>
  <si>
    <t>identificador</t>
  </si>
  <si>
    <t>Todas las hojas</t>
  </si>
  <si>
    <t>Año de referencia.</t>
  </si>
  <si>
    <t>Fuente EAAE; entero anual.</t>
  </si>
  <si>
    <t>seccion</t>
  </si>
  <si>
    <t>Panel base y resultados</t>
  </si>
  <si>
    <t>Sección CIIU homologada; C identifica industria y economia_total identifica el agregado anual.</t>
  </si>
  <si>
    <t>Homologación del panel.</t>
  </si>
  <si>
    <t>ambito</t>
  </si>
  <si>
    <t>Hojas resultados-*</t>
  </si>
  <si>
    <t>Ámbito analítico de la hoja: economia_total o rama_industrial.</t>
  </si>
  <si>
    <t>Asignado por el postproceso R.</t>
  </si>
  <si>
    <t>epoca</t>
  </si>
  <si>
    <t>metadato</t>
  </si>
  <si>
    <t>Período o etapa de formato de la fuente EAAE usada para extraer el dato.</t>
  </si>
  <si>
    <t>Pipeline EAAE.</t>
  </si>
  <si>
    <t>ciiu_version</t>
  </si>
  <si>
    <t>Versión CIIU de referencia de los datos originales u homologados.</t>
  </si>
  <si>
    <t>rotacion</t>
  </si>
  <si>
    <t>parámetro</t>
  </si>
  <si>
    <t>Factor de rotación usado para adelantar capital circulante.</t>
  </si>
  <si>
    <t>4,2 en economía total; 6,6 en industria.</t>
  </si>
  <si>
    <t>vbp_pp</t>
  </si>
  <si>
    <t>original</t>
  </si>
  <si>
    <t>Valor bruto de producción a precios productor.</t>
  </si>
  <si>
    <t>EAAE C1/C1.1; en constantes se deflacta con gdp_price_index_base_2005.</t>
  </si>
  <si>
    <t>vbp_pb</t>
  </si>
  <si>
    <t>Valor bruto de producción a precios básicos.</t>
  </si>
  <si>
    <t>EAAE C1.1; disponible desde 2017.</t>
  </si>
  <si>
    <t>vab_pp</t>
  </si>
  <si>
    <t>Valor agregado bruto a precios productor.</t>
  </si>
  <si>
    <t>vab_pb</t>
  </si>
  <si>
    <t>Valor agregado bruto a precios básicos observado.</t>
  </si>
  <si>
    <t>remuneraciones</t>
  </si>
  <si>
    <t>Remuneraciones totales registradas en C1/C1.1, incluyendo aportes patronales según validación del equipo.</t>
  </si>
  <si>
    <t>EAAE C1/C1.1.</t>
  </si>
  <si>
    <t>puestos_trabajo</t>
  </si>
  <si>
    <t>Cantidad de puestos de trabajo u ocupados reportados.</t>
  </si>
  <si>
    <t>EAAE C1/C1.1; se mantiene como cantidad en hojas constantes.</t>
  </si>
  <si>
    <t>n_empresas</t>
  </si>
  <si>
    <t>auxiliar</t>
  </si>
  <si>
    <t>Cantidad total de empresas representadas cuando el diseño muestral permite extraerla al nivel del panel.</t>
  </si>
  <si>
    <t>PDF de metodología/diseño muestral EAAE.</t>
  </si>
  <si>
    <t>fbcf</t>
  </si>
  <si>
    <t>Formación bruta de capital fijo.</t>
  </si>
  <si>
    <t>Cuadros FBCF EAAE.</t>
  </si>
  <si>
    <t>fbkf_maq_eq</t>
  </si>
  <si>
    <t>Subtotal de formación bruta de capital fijo en maquinaria y equipos.</t>
  </si>
  <si>
    <t>Cuadros de componentes de FBKF: 2001 C11; 2003-2005 C13; 2006-2024 C8. Sin fuente en 2002 y 2011.</t>
  </si>
  <si>
    <t>adquisiciones_importadas</t>
  </si>
  <si>
    <t>Subcomponente importado de las adquisiciones de capital.</t>
  </si>
  <si>
    <t>adquisiciones_origen_importado</t>
  </si>
  <si>
    <t>Adquisiciones en plaza de origen importado.</t>
  </si>
  <si>
    <t>Columna K, Origen Imp., dentro de En plaza en cuadros FBCF cuando existe: 2004-2010 y 2012-2024.</t>
  </si>
  <si>
    <t>importaciones_maquinaria</t>
  </si>
  <si>
    <t>calculada_panel</t>
  </si>
  <si>
    <t>Medida amplia de adquisiciones de maquinaria importada.</t>
  </si>
  <si>
    <t>adquisiciones_importadas + adquisiciones_origen_importado; queda vacía cuando falta alguno de los dos componentes.</t>
  </si>
  <si>
    <t>consumo_capital_fijo</t>
  </si>
  <si>
    <t>Consumo del stock de capital fijo.</t>
  </si>
  <si>
    <t>EAAE C2/C2.1; en constantes se deflacta con gdp_price_index_base_2005.</t>
  </si>
  <si>
    <t>impuestos_netos</t>
  </si>
  <si>
    <t>Impuestos netos asociados a las cuentas del sector.</t>
  </si>
  <si>
    <t>EAAE C2/C2.1.</t>
  </si>
  <si>
    <t>stock_capital</t>
  </si>
  <si>
    <t>Stock de capital fijo original.</t>
  </si>
  <si>
    <t>Cuadros de stock EAAE; en constantes se deflacta con gdp_price_index_base_2005.</t>
  </si>
  <si>
    <t>stock_capital_imputado</t>
  </si>
  <si>
    <t>Serie operativa de stock de capital: replica el stock original cuando existe e imputa faltantes definidos.</t>
  </si>
  <si>
    <t>Si stock_capital existe, stock_capital_imputado = stock_capital. Para 2002 usa consumo_capital_fijo * factor_2003_2005 / 100; para 2011 usa consumo_capital_fijo * factor_2012_2024 / 100. Cada factor es el promedio porcentual de stock_capital / consumo_capital_fijo en la misma sección o total.</t>
  </si>
  <si>
    <t>vab_pb_estimado</t>
  </si>
  <si>
    <t>Serie completa de VAB a precios básicos: usa VAB(pb) observado desde 2017 y retroproyección previa por VAB(pp).</t>
  </si>
  <si>
    <t>Antes de 2017 preserva la variación interanual de vab_pp.</t>
  </si>
  <si>
    <t>vab_bcu_corriente</t>
  </si>
  <si>
    <t>auxiliar_externa</t>
  </si>
  <si>
    <t>Hojas resultados-*-corrientes</t>
  </si>
  <si>
    <t>VAB corriente de referencia publicado por BCU.</t>
  </si>
  <si>
    <t>BCU PIB-corriente-industrias-2006-2019; convertido de miles de pesos corrientes a pesos corrientes. Integra todos los años disponibles, incluyendo preliminares. Total: VALOR AGREGADO BRUTO DE LOS SECTORES DE ACTIVIDAD. Industria: codigo D, INDUSTRIAS MANUFACTURERAS.</t>
  </si>
  <si>
    <t>vab_eaae_bcu_pct</t>
  </si>
  <si>
    <t>validación_externa</t>
  </si>
  <si>
    <t>Comparación del VAB corriente EAAE contra el VAB corriente BCU.</t>
  </si>
  <si>
    <t>vab_pp / vab_bcu_corriente * 100. Usa vab_pp como serie observada EAAE disponible para todo el panel.</t>
  </si>
  <si>
    <t>consumo_intermedio_estimado</t>
  </si>
  <si>
    <t>Consumo intermedio estimado del panel.</t>
  </si>
  <si>
    <t>vbp_pp - vab_pb_estimado.</t>
  </si>
  <si>
    <t>capital_variable_adelantado</t>
  </si>
  <si>
    <t>Capital variable adelantado del panel.</t>
  </si>
  <si>
    <t>remuneraciones / factor_rotacion.</t>
  </si>
  <si>
    <t>capital_circulante_constante_adelantado</t>
  </si>
  <si>
    <t>Capital circulante constante adelantado del panel.</t>
  </si>
  <si>
    <t>consumo_intermedio_estimado / factor_rotacion.</t>
  </si>
  <si>
    <t>capital_total_adelantado</t>
  </si>
  <si>
    <t>Capital total adelantado.</t>
  </si>
  <si>
    <t>En panel: stock_capital_imputado + capital_variable_adelantado + capital_circulante_constante_adelantado. En resultados: stock_capital_imputado + capital_circulante_adelantado.</t>
  </si>
  <si>
    <t>excedente_bruto</t>
  </si>
  <si>
    <t>Excedente bruto aproximado a precios productor.</t>
  </si>
  <si>
    <t>vab_pp - remuneraciones.</t>
  </si>
  <si>
    <t>part_salarial</t>
  </si>
  <si>
    <t>Participación salarial en el VAB a precios productor.</t>
  </si>
  <si>
    <t>remuneraciones / vab_pp.</t>
  </si>
  <si>
    <t>productividad</t>
  </si>
  <si>
    <t>Productividad media a precios productor corrientes.</t>
  </si>
  <si>
    <t>vab_pp / puestos_trabajo.</t>
  </si>
  <si>
    <t>vab_vbp</t>
  </si>
  <si>
    <t>validación</t>
  </si>
  <si>
    <t>check-calidad-*</t>
  </si>
  <si>
    <t>Relación entre VAB y VBP a precios productor.</t>
  </si>
  <si>
    <t>vab_pp / vbp_pp.</t>
  </si>
  <si>
    <t>remuneraciones_vab</t>
  </si>
  <si>
    <t>Peso de remuneraciones sobre VAB a precios productor.</t>
  </si>
  <si>
    <t>stock_vab</t>
  </si>
  <si>
    <t>Relación entre stock de capital operativo y VAB a precios productor.</t>
  </si>
  <si>
    <t>stock_capital_imputado / vab_pp.</t>
  </si>
  <si>
    <t>gdp_price_index_base_2005</t>
  </si>
  <si>
    <t>deflactor</t>
  </si>
  <si>
    <t>Hojas constantes</t>
  </si>
  <si>
    <t>Índice de precios implícito del PIB con base 2005.</t>
  </si>
  <si>
    <t>Oyanthabal; usado para variables monetarias no laborales.</t>
  </si>
  <si>
    <t>ipc_index_2005</t>
  </si>
  <si>
    <t>Índice de precios al consumo con base 2005.</t>
  </si>
  <si>
    <t>Oyanthabal; usado para costo_laboral. Si la planilla no lo trae explícito, se deriva desde ipc_index_1983_1989 normalizando 2005=1.</t>
  </si>
  <si>
    <t>costo_laboral</t>
  </si>
  <si>
    <t>calculada_resultados</t>
  </si>
  <si>
    <t>Costo laboral operativo usado en ganancias.</t>
  </si>
  <si>
    <t>Igual a remuneraciones; no se separan cargas patronales para evitar doble conteo.</t>
  </si>
  <si>
    <t>ganancia_pb</t>
  </si>
  <si>
    <t>Ganancia calculada a precios básicos.</t>
  </si>
  <si>
    <t>vab_pb_estimado - consumo_capital_fijo - costo_laboral.</t>
  </si>
  <si>
    <t>ganancia_pp</t>
  </si>
  <si>
    <t>Ganancia calculada a precios productor.</t>
  </si>
  <si>
    <t>vab_pp - consumo_capital_fijo - costo_laboral.</t>
  </si>
  <si>
    <t>consumo_intermedio</t>
  </si>
  <si>
    <t>Consumo intermedio usado en resultados propios.</t>
  </si>
  <si>
    <t>vbp_pp - vab_pp.</t>
  </si>
  <si>
    <t>capital_circulante_adelantado</t>
  </si>
  <si>
    <t>Capital circulante adelantado para el cálculo de tasa de ganancia.</t>
  </si>
  <si>
    <t>(costo_laboral + consumo_intermedio) / rotacion.</t>
  </si>
  <si>
    <t>tasa_ganancia_pb</t>
  </si>
  <si>
    <t>Tasa de ganancia a precios básicos.</t>
  </si>
  <si>
    <t>ganancia_pb / (stock_capital_imputado + capital_circulante_adelantado).</t>
  </si>
  <si>
    <t>tasa_ganancia_pp</t>
  </si>
  <si>
    <t>Tasa de ganancia a precios productor.</t>
  </si>
  <si>
    <t>ganancia_pp / (stock_capital_imputado + capital_circulante_adelantado).</t>
  </si>
  <si>
    <t>vab_pp_total</t>
  </si>
  <si>
    <t>contexto_sectorial</t>
  </si>
  <si>
    <t>Resultados industriales</t>
  </si>
  <si>
    <t>VAB total de la economía usado como denominador de participación sectorial.</t>
  </si>
  <si>
    <t>Economía total por año.</t>
  </si>
  <si>
    <t>vab_pp_participacion_total</t>
  </si>
  <si>
    <t>Participación del VAB industrial en el VAB total.</t>
  </si>
  <si>
    <t>vab_pp / vab_pp_total.</t>
  </si>
  <si>
    <t>productividad_trabajo</t>
  </si>
  <si>
    <t>Hojas constantes y transformaciones</t>
  </si>
  <si>
    <t>Productividad del trabajo calculada en precios constantes.</t>
  </si>
  <si>
    <t>vab_pp constante / puestos_trabajo.</t>
  </si>
  <si>
    <t>*_var_pct</t>
  </si>
  <si>
    <t>transformación</t>
  </si>
  <si>
    <t>Hojas resultados-*-var-pct</t>
  </si>
  <si>
    <t>Sufijo de variables expresadas como variación porcentual interanual.</t>
  </si>
  <si>
    <t>(x[t] / x[t-1] - 1) * 100 desde resultados constantes.</t>
  </si>
  <si>
    <t>*_ind_2005</t>
  </si>
  <si>
    <t>Hojas resultados-*-ind-2005</t>
  </si>
  <si>
    <t>Sufijo de variables expresadas como índice con base 2005=1.</t>
  </si>
  <si>
    <t>Encadenamiento desde variaciones interanuales.</t>
  </si>
  <si>
    <t>C</t>
  </si>
  <si>
    <t>Rev.3</t>
  </si>
  <si>
    <t/>
  </si>
  <si>
    <t>D_E</t>
  </si>
  <si>
    <t>G</t>
  </si>
  <si>
    <t>H_J</t>
  </si>
  <si>
    <t>I</t>
  </si>
  <si>
    <t>L_M_N</t>
  </si>
  <si>
    <t>P</t>
  </si>
  <si>
    <t>Q</t>
  </si>
  <si>
    <t>B</t>
  </si>
  <si>
    <t>Rev.4</t>
  </si>
  <si>
    <t>R_S</t>
  </si>
  <si>
    <t>K</t>
  </si>
  <si>
    <t>1</t>
  </si>
  <si>
    <t>2</t>
  </si>
  <si>
    <t>3</t>
  </si>
  <si>
    <t>4</t>
  </si>
  <si>
    <t>5</t>
  </si>
  <si>
    <t>rama_industrial</t>
  </si>
  <si>
    <t>vbp_pp_var_pct</t>
  </si>
  <si>
    <t>vab_pp_var_pct</t>
  </si>
  <si>
    <t>vab_pb_estimado_var_pct</t>
  </si>
  <si>
    <t>consumo_capital_fijo_var_pct</t>
  </si>
  <si>
    <t>costo_laboral_var_pct</t>
  </si>
  <si>
    <t>stock_capital_var_pct</t>
  </si>
  <si>
    <t>stock_capital_imputado_var_pct</t>
  </si>
  <si>
    <t>fbcf_var_pct</t>
  </si>
  <si>
    <t>fbkf_maq_eq_var_pct</t>
  </si>
  <si>
    <t>adquisiciones_importadas_var_pct</t>
  </si>
  <si>
    <t>adquisiciones_origen_importado_var_pct</t>
  </si>
  <si>
    <t>importaciones_maquinaria_var_pct</t>
  </si>
  <si>
    <t>puestos_trabajo_var_pct</t>
  </si>
  <si>
    <t>ganancia_pb_var_pct</t>
  </si>
  <si>
    <t>ganancia_pp_var_pct</t>
  </si>
  <si>
    <t>consumo_intermedio_var_pct</t>
  </si>
  <si>
    <t>capital_circulante_adelantado_var_pct</t>
  </si>
  <si>
    <t>capital_total_adelantado_var_pct</t>
  </si>
  <si>
    <t>tasa_ganancia_pb_var_pct</t>
  </si>
  <si>
    <t>tasa_ganancia_pp_var_pct</t>
  </si>
  <si>
    <t>productividad_trabajo_var_pct</t>
  </si>
  <si>
    <t>vab_pp_total_var_pct</t>
  </si>
  <si>
    <t>vab_pp_participacion_total_var_pct</t>
  </si>
  <si>
    <t>vbp_pp_ind_2005</t>
  </si>
  <si>
    <t>vab_pp_ind_2005</t>
  </si>
  <si>
    <t>vab_pb_estimado_ind_2005</t>
  </si>
  <si>
    <t>consumo_capital_fijo_ind_2005</t>
  </si>
  <si>
    <t>costo_laboral_ind_2005</t>
  </si>
  <si>
    <t>stock_capital_ind_2005</t>
  </si>
  <si>
    <t>stock_capital_imputado_ind_2005</t>
  </si>
  <si>
    <t>fbcf_ind_2005</t>
  </si>
  <si>
    <t>fbkf_maq_eq_ind_2005</t>
  </si>
  <si>
    <t>adquisiciones_importadas_ind_2005</t>
  </si>
  <si>
    <t>adquisiciones_origen_importado_ind_2005</t>
  </si>
  <si>
    <t>importaciones_maquinaria_ind_2005</t>
  </si>
  <si>
    <t>puestos_trabajo_ind_2005</t>
  </si>
  <si>
    <t>ganancia_pb_ind_2005</t>
  </si>
  <si>
    <t>ganancia_pp_ind_2005</t>
  </si>
  <si>
    <t>consumo_intermedio_ind_2005</t>
  </si>
  <si>
    <t>capital_circulante_adelantado_ind_2005</t>
  </si>
  <si>
    <t>capital_total_adelantado_ind_2005</t>
  </si>
  <si>
    <t>tasa_ganancia_pb_ind_2005</t>
  </si>
  <si>
    <t>tasa_ganancia_pp_ind_2005</t>
  </si>
  <si>
    <t>productividad_trabajo_ind_2005</t>
  </si>
  <si>
    <t>vab_pp_total_ind_2005</t>
  </si>
  <si>
    <t>vab_pp_participacion_total_ind_2005</t>
  </si>
  <si>
    <t>corrientes</t>
  </si>
  <si>
    <t>constantes</t>
  </si>
  <si>
    <t xml:space="preserve">Endeudamiento Industrial </t>
  </si>
  <si>
    <t>Intereses pagos por la industria</t>
  </si>
  <si>
    <t>Mill USD</t>
  </si>
  <si>
    <t>Tipo de cambio libre</t>
  </si>
  <si>
    <t>1870-1912: Willebald et al (15); +13: PHES -Silvana Maubrigades</t>
  </si>
  <si>
    <t>Pasivo no corriente / KTA</t>
  </si>
  <si>
    <t>Endeudamiento (2006 = 100)</t>
  </si>
  <si>
    <t>Patrimonio neto (Aprox.)</t>
  </si>
  <si>
    <t>Ganancia</t>
  </si>
  <si>
    <t>Ganancia desp de intereses pagados</t>
  </si>
  <si>
    <t>% de los intereses respecto de la ganancia</t>
  </si>
  <si>
    <t>Tasa de ganancia capital propio</t>
  </si>
  <si>
    <t>Ganancia desp de impuestos</t>
  </si>
  <si>
    <t>FBCF</t>
  </si>
  <si>
    <t>stock_capital (2006 = 100)</t>
  </si>
  <si>
    <t>Ganancia desp de impuestos e  intereses pagados, menos la FBCF</t>
  </si>
  <si>
    <t>Tasa de ganancia capital propio desp de FBCF</t>
  </si>
  <si>
    <t>Promedio</t>
  </si>
  <si>
    <t>La industria manufacturera uruguaya muestra una reducción sostenida del apalancamiento: el pasivo no corriente cayó del 46,5% al 18,3% del capital total entre 2006 y 2024, mientras que los intereses disminuyeron del 11,2% al 7,9% de la ganancia. Esto se explica por el mayor crecimiento del stock de capital, cuyo índice alcanzó 457,2 en 2024, frente a 161,0 del endeudamiento.</t>
  </si>
  <si>
    <t>La rentabilidad sobre el patrimonio neto presenta valores muy elevados —con un máximo de 1.458% en 2014 y 609% en 2024—, lo que implica un patrimonio neto reducido. Al descontar la inversión en capital fijo, la tasa de ganancia registra un promedio de apenas 3%, con un mínimo de −31% en 2015, un máximo de 21% en 2018 y una recuperación hasta 7% en 2024. En conjunto, el menor endeudamiento convive con una rentabilidad efectiva baja y fuertemente cíclica.</t>
  </si>
  <si>
    <t>Tasa de ganancia manuf</t>
  </si>
  <si>
    <t>stock de capital menos endeudamiento</t>
  </si>
  <si>
    <t>TC Paridad c/prod no agraria</t>
  </si>
  <si>
    <t>Tasa de ganancia PN (sobre capital fijo menos endeudamiento)</t>
  </si>
  <si>
    <t>Intereses x TC</t>
  </si>
  <si>
    <t>Intereses por TCP</t>
  </si>
  <si>
    <t xml:space="preserve">Millones de pesos </t>
  </si>
  <si>
    <t>Abaratamiento por tc. Diferencia intereses</t>
  </si>
  <si>
    <t>Abaratamiento sobre ganancia desp de impuestos</t>
  </si>
  <si>
    <t>https://www.ciu.com.uy/wp-content/uploads/2026/04/Endeudamiento-industrial-N30_2-_Sem_2025.pdf</t>
  </si>
  <si>
    <t>Link</t>
  </si>
  <si>
    <t>Endeudamiento con el sistema financiero nacional. No externo. Son saldos de créditos con el sistema financiero bancario local + endeudamiento a través de obligaciones nacionales a nivel local también.</t>
  </si>
  <si>
    <t>intereses pagos por eaae, ajuste c/ microdatos (90%)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</si>
</sst>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%"/>
  </numFmts>
  <fonts count="10" x14ac:knownFonts="1">
    <font>
      <sz val="11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mbria"/>
      <family val="1"/>
    </font>
    <font>
      <sz val="10"/>
      <name val="Cambria"/>
      <family val="1"/>
    </font>
    <font>
      <sz val="10"/>
      <color theme="1"/>
      <name val="Cambria"/>
      <family val="1"/>
    </font>
    <font>
      <sz val="10"/>
      <color rgb="FF000000"/>
      <name val="Cambria"/>
      <family val="1"/>
    </font>
    <font>
      <u/>
      <sz val="11"/>
      <color theme="10"/>
      <name val="Calibri"/>
      <family val="2"/>
    </font>
    <font>
      <b/>
      <sz val="12"/>
      <color rgb="FF222222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 vertical="center" wrapText="1"/>
    </xf>
    <xf numFmtId="164" fontId="0" fillId="0" borderId="0" xfId="1" applyNumberFormat="1" applyFont="1"/>
    <xf numFmtId="0" fontId="3" fillId="0" borderId="0" xfId="0" applyFont="1"/>
    <xf numFmtId="0" fontId="4" fillId="0" borderId="0" xfId="0" applyFont="1"/>
    <xf numFmtId="0" fontId="5" fillId="0" borderId="0" xfId="3" applyFont="1"/>
    <xf numFmtId="0" fontId="4" fillId="0" borderId="0" xfId="0" applyFont="1" applyAlignment="1">
      <alignment horizontal="center" vertical="center" wrapText="1"/>
    </xf>
    <xf numFmtId="164" fontId="4" fillId="0" borderId="0" xfId="1" applyNumberFormat="1" applyFont="1"/>
    <xf numFmtId="3" fontId="6" fillId="2" borderId="0" xfId="0" applyNumberFormat="1" applyFont="1" applyFill="1" applyAlignment="1">
      <alignment horizontal="center" wrapText="1"/>
    </xf>
    <xf numFmtId="164" fontId="4" fillId="0" borderId="0" xfId="0" applyNumberFormat="1" applyFont="1"/>
    <xf numFmtId="164" fontId="5" fillId="0" borderId="0" xfId="4" applyNumberFormat="1" applyFont="1"/>
    <xf numFmtId="9" fontId="4" fillId="0" borderId="0" xfId="2" applyFont="1"/>
    <xf numFmtId="9" fontId="4" fillId="0" borderId="0" xfId="0" applyNumberFormat="1" applyFont="1"/>
    <xf numFmtId="165" fontId="4" fillId="0" borderId="0" xfId="2" applyNumberFormat="1" applyFont="1"/>
    <xf numFmtId="0" fontId="6" fillId="2" borderId="0" xfId="0" applyFont="1" applyFill="1" applyAlignment="1">
      <alignment horizontal="center" vertical="center" wrapText="1"/>
    </xf>
    <xf numFmtId="0" fontId="7" fillId="0" borderId="0" xfId="6"/>
    <xf numFmtId="0" fontId="8" fillId="0" borderId="0" xfId="0" applyFont="1"/>
    <xf numFmtId="0" fontId="9" fillId="0" borderId="0" xfId="0" applyFont="1"/>
  </cellXfs>
  <cellStyles count="7">
    <cellStyle name="Hipervínculo" xfId="6" builtinId="8"/>
    <cellStyle name="Millares" xfId="1" builtinId="3"/>
    <cellStyle name="Millares 2" xfId="4" xr:uid="{8B6BEB6E-B828-4736-931E-7FFE5EA10F3F}"/>
    <cellStyle name="Normal" xfId="0" builtinId="0"/>
    <cellStyle name="Normal 2" xfId="3" xr:uid="{5CDB2927-3673-4563-B5C6-BA9D6AE2AE33}"/>
    <cellStyle name="Porcentaje" xfId="2" builtinId="5"/>
    <cellStyle name="Porcentaje 2" xfId="5" xr:uid="{059C37B8-B156-4D80-AD10-5CB2F82B90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778125416442148E-2"/>
          <c:y val="8.3032671923387091E-2"/>
          <c:w val="0.92222187458355787"/>
          <c:h val="0.73103281678495824"/>
        </c:manualLayout>
      </c:layout>
      <c:lineChart>
        <c:grouping val="standard"/>
        <c:varyColors val="0"/>
        <c:ser>
          <c:idx val="0"/>
          <c:order val="0"/>
          <c:tx>
            <c:strRef>
              <c:f>'TG PN'!$U$2</c:f>
              <c:strCache>
                <c:ptCount val="1"/>
                <c:pt idx="0">
                  <c:v>Pasivo no corriente / KTA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43C-4D15-B81A-5042BAFF28FF}"/>
                </c:ext>
              </c:extLst>
            </c:dLbl>
            <c:dLbl>
              <c:idx val="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43C-4D15-B81A-5042BAFF28FF}"/>
                </c:ext>
              </c:extLst>
            </c:dLbl>
            <c:dLbl>
              <c:idx val="7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43C-4D15-B81A-5042BAFF28FF}"/>
                </c:ext>
              </c:extLst>
            </c:dLbl>
            <c:dLbl>
              <c:idx val="1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43C-4D15-B81A-5042BAFF28FF}"/>
                </c:ext>
              </c:extLst>
            </c:dLbl>
            <c:dLbl>
              <c:idx val="18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43C-4D15-B81A-5042BAFF28FF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'TG PN'!$A$8:$A$26</c:f>
              <c:numCache>
                <c:formatCode>General</c:formatCode>
                <c:ptCount val="19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</c:numCache>
            </c:numRef>
          </c:cat>
          <c:val>
            <c:numRef>
              <c:f>'TG PN'!$U$8:$U$26</c:f>
              <c:numCache>
                <c:formatCode>General</c:formatCode>
                <c:ptCount val="19"/>
                <c:pt idx="0">
                  <c:v>0.46517151750344787</c:v>
                </c:pt>
                <c:pt idx="1">
                  <c:v>0.345209209943658</c:v>
                </c:pt>
                <c:pt idx="2">
                  <c:v>0.25834549020590025</c:v>
                </c:pt>
                <c:pt idx="3">
                  <c:v>0.29468105905176911</c:v>
                </c:pt>
                <c:pt idx="4">
                  <c:v>0.26027584041604279</c:v>
                </c:pt>
                <c:pt idx="5">
                  <c:v>0.24076133854141155</c:v>
                </c:pt>
                <c:pt idx="6">
                  <c:v>0.27262659067960582</c:v>
                </c:pt>
                <c:pt idx="7">
                  <c:v>0.26006091594436143</c:v>
                </c:pt>
                <c:pt idx="8">
                  <c:v>0.19533127458657554</c:v>
                </c:pt>
                <c:pt idx="9">
                  <c:v>0.24021890366060253</c:v>
                </c:pt>
                <c:pt idx="10">
                  <c:v>0.25061637487284288</c:v>
                </c:pt>
                <c:pt idx="11">
                  <c:v>0.22645043539259588</c:v>
                </c:pt>
                <c:pt idx="12">
                  <c:v>0.24418454999224701</c:v>
                </c:pt>
                <c:pt idx="13">
                  <c:v>0.22710047841544473</c:v>
                </c:pt>
                <c:pt idx="14">
                  <c:v>0.24252892819581728</c:v>
                </c:pt>
                <c:pt idx="15">
                  <c:v>0.20708467941766898</c:v>
                </c:pt>
                <c:pt idx="16">
                  <c:v>0.19967735425598324</c:v>
                </c:pt>
                <c:pt idx="17">
                  <c:v>0.19666265986695863</c:v>
                </c:pt>
                <c:pt idx="18">
                  <c:v>0.18305451931791059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443C-4D15-B81A-5042BAFF28FF}"/>
            </c:ext>
          </c:extLst>
        </c:ser>
        <c:ser>
          <c:idx val="1"/>
          <c:order val="1"/>
          <c:tx>
            <c:strRef>
              <c:f>'TG PN'!$R$2</c:f>
              <c:strCache>
                <c:ptCount val="1"/>
                <c:pt idx="0">
                  <c:v>% de los intereses respecto de la ganancia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43C-4D15-B81A-5042BAFF28FF}"/>
                </c:ext>
              </c:extLst>
            </c:dLbl>
            <c:dLbl>
              <c:idx val="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43C-4D15-B81A-5042BAFF28FF}"/>
                </c:ext>
              </c:extLst>
            </c:dLbl>
            <c:dLbl>
              <c:idx val="1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43C-4D15-B81A-5042BAFF28FF}"/>
                </c:ext>
              </c:extLst>
            </c:dLbl>
            <c:dLbl>
              <c:idx val="18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43C-4D15-B81A-5042BAFF28FF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2060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'TG PN'!$R$8:$R$26</c:f>
              <c:numCache>
                <c:formatCode>0%</c:formatCode>
                <c:ptCount val="19"/>
                <c:pt idx="0">
                  <c:v>0.11204340830668545</c:v>
                </c:pt>
                <c:pt idx="1">
                  <c:v>8.6674297226481026E-2</c:v>
                </c:pt>
                <c:pt idx="2">
                  <c:v>7.2486037961141572E-2</c:v>
                </c:pt>
                <c:pt idx="3">
                  <c:v>0.11727677714510963</c:v>
                </c:pt>
                <c:pt idx="4">
                  <c:v>6.1075867080454128E-2</c:v>
                </c:pt>
                <c:pt idx="5">
                  <c:v>0.1053447199185381</c:v>
                </c:pt>
                <c:pt idx="6">
                  <c:v>0.16395452611131078</c:v>
                </c:pt>
                <c:pt idx="7">
                  <c:v>0.19220001712314855</c:v>
                </c:pt>
                <c:pt idx="8">
                  <c:v>0.16121044781888533</c:v>
                </c:pt>
                <c:pt idx="9">
                  <c:v>0.12149848154451665</c:v>
                </c:pt>
                <c:pt idx="10">
                  <c:v>0.17885686116061841</c:v>
                </c:pt>
                <c:pt idx="11">
                  <c:v>6.6021525127173644E-2</c:v>
                </c:pt>
                <c:pt idx="12">
                  <c:v>4.9362812810902421E-2</c:v>
                </c:pt>
                <c:pt idx="13">
                  <c:v>7.636027122882294E-2</c:v>
                </c:pt>
                <c:pt idx="14">
                  <c:v>8.0997442018264879E-2</c:v>
                </c:pt>
                <c:pt idx="15">
                  <c:v>3.4649467535393913E-2</c:v>
                </c:pt>
                <c:pt idx="16">
                  <c:v>4.2392797236559171E-2</c:v>
                </c:pt>
                <c:pt idx="17">
                  <c:v>8.7295060647196804E-2</c:v>
                </c:pt>
                <c:pt idx="18">
                  <c:v>7.8554317464078288E-2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443C-4D15-B81A-5042BAFF28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1619247"/>
        <c:axId val="591623823"/>
      </c:lineChart>
      <c:catAx>
        <c:axId val="5916192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s-AR"/>
          </a:p>
        </c:txPr>
        <c:crossAx val="591623823"/>
        <c:crosses val="autoZero"/>
        <c:auto val="1"/>
        <c:lblAlgn val="ctr"/>
        <c:lblOffset val="100"/>
        <c:noMultiLvlLbl val="0"/>
      </c:catAx>
      <c:valAx>
        <c:axId val="591623823"/>
        <c:scaling>
          <c:orientation val="minMax"/>
          <c:min val="2.0000000000000004E-2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s-AR"/>
          </a:p>
        </c:txPr>
        <c:crossAx val="591619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1459792691476479"/>
          <c:y val="6.3825845298749434E-2"/>
          <c:w val="0.63123948591512868"/>
          <c:h val="0.2263534705220670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Cambria" panose="02040503050406030204" pitchFamily="18" charset="0"/>
          <a:ea typeface="Cambria" panose="020405030504060302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r>
              <a:rPr lang="es-AR" sz="1100" b="1"/>
              <a:t>Evolución del stock de capital</a:t>
            </a:r>
            <a:r>
              <a:rPr lang="es-AR" sz="1100" b="1" baseline="0"/>
              <a:t> y el endeudamiento industrial (2006 = 100)</a:t>
            </a:r>
            <a:endParaRPr lang="es-AR" sz="1100" b="1"/>
          </a:p>
        </c:rich>
      </c:tx>
      <c:layout>
        <c:manualLayout>
          <c:xMode val="edge"/>
          <c:yMode val="edge"/>
          <c:x val="0.1422516556291390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5.8866813833701251E-3"/>
          <c:y val="0.28453967852876261"/>
          <c:w val="0.93524650478292859"/>
          <c:h val="0.51480270331151612"/>
        </c:manualLayout>
      </c:layout>
      <c:lineChart>
        <c:grouping val="standard"/>
        <c:varyColors val="0"/>
        <c:ser>
          <c:idx val="0"/>
          <c:order val="0"/>
          <c:tx>
            <c:strRef>
              <c:f>'TG PN'!$V$2</c:f>
              <c:strCache>
                <c:ptCount val="1"/>
                <c:pt idx="0">
                  <c:v>Endeudamiento (2006 = 100)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24F-4235-B422-6E19B249527A}"/>
                </c:ext>
              </c:extLst>
            </c:dLbl>
            <c:dLbl>
              <c:idx val="2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24F-4235-B422-6E19B249527A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'TG PN'!$A$3:$A$26</c:f>
              <c:numCache>
                <c:formatCode>General</c:formatCode>
                <c:ptCount val="24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</c:numCache>
            </c:numRef>
          </c:cat>
          <c:val>
            <c:numRef>
              <c:f>'TG PN'!$V$3:$V$26</c:f>
              <c:numCache>
                <c:formatCode>General</c:formatCode>
                <c:ptCount val="24"/>
                <c:pt idx="5">
                  <c:v>100</c:v>
                </c:pt>
                <c:pt idx="6">
                  <c:v>111.59375117396522</c:v>
                </c:pt>
                <c:pt idx="7">
                  <c:v>114.67241485516375</c:v>
                </c:pt>
                <c:pt idx="8">
                  <c:v>107.05479094769753</c:v>
                </c:pt>
                <c:pt idx="9">
                  <c:v>115.16014989478009</c:v>
                </c:pt>
                <c:pt idx="10">
                  <c:v>131.7885464962678</c:v>
                </c:pt>
                <c:pt idx="11">
                  <c:v>144.66739746201449</c:v>
                </c:pt>
                <c:pt idx="12">
                  <c:v>149.65987352196416</c:v>
                </c:pt>
                <c:pt idx="13">
                  <c:v>139.99649259651142</c:v>
                </c:pt>
                <c:pt idx="14">
                  <c:v>152.71362580535538</c:v>
                </c:pt>
                <c:pt idx="15">
                  <c:v>151.20074535522966</c:v>
                </c:pt>
                <c:pt idx="16">
                  <c:v>138.70841968055259</c:v>
                </c:pt>
                <c:pt idx="17">
                  <c:v>154.69254697684224</c:v>
                </c:pt>
                <c:pt idx="18">
                  <c:v>139.87913836909098</c:v>
                </c:pt>
                <c:pt idx="19">
                  <c:v>139.56749304744039</c:v>
                </c:pt>
                <c:pt idx="20">
                  <c:v>143.43083001226699</c:v>
                </c:pt>
                <c:pt idx="21">
                  <c:v>157.58111379396078</c:v>
                </c:pt>
                <c:pt idx="22">
                  <c:v>166.79281771885584</c:v>
                </c:pt>
                <c:pt idx="23">
                  <c:v>161.01401551888802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24F-4235-B422-6E19B249527A}"/>
            </c:ext>
          </c:extLst>
        </c:ser>
        <c:ser>
          <c:idx val="1"/>
          <c:order val="1"/>
          <c:tx>
            <c:strRef>
              <c:f>'TG PN'!$W$2</c:f>
              <c:strCache>
                <c:ptCount val="1"/>
                <c:pt idx="0">
                  <c:v>stock_capital (2006 = 100)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5"/>
              <c:layout>
                <c:manualLayout>
                  <c:x val="-8.0066283105340308E-2"/>
                  <c:y val="-6.00609810129752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24F-4235-B422-6E19B249527A}"/>
                </c:ext>
              </c:extLst>
            </c:dLbl>
            <c:dLbl>
              <c:idx val="7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24F-4235-B422-6E19B249527A}"/>
                </c:ext>
              </c:extLst>
            </c:dLbl>
            <c:dLbl>
              <c:idx val="1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24F-4235-B422-6E19B249527A}"/>
                </c:ext>
              </c:extLst>
            </c:dLbl>
            <c:dLbl>
              <c:idx val="2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24F-4235-B422-6E19B249527A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2060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'TG PN'!$A$3:$A$26</c:f>
              <c:numCache>
                <c:formatCode>General</c:formatCode>
                <c:ptCount val="24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</c:numCache>
            </c:numRef>
          </c:cat>
          <c:val>
            <c:numRef>
              <c:f>'TG PN'!$W$3:$W$26</c:f>
              <c:numCache>
                <c:formatCode>General</c:formatCode>
                <c:ptCount val="24"/>
                <c:pt idx="0">
                  <c:v>89.859414676042107</c:v>
                </c:pt>
                <c:pt idx="2">
                  <c:v>71.37868625809385</c:v>
                </c:pt>
                <c:pt idx="3">
                  <c:v>74.100596916643951</c:v>
                </c:pt>
                <c:pt idx="4">
                  <c:v>90.14584510956557</c:v>
                </c:pt>
                <c:pt idx="5">
                  <c:v>100</c:v>
                </c:pt>
                <c:pt idx="6">
                  <c:v>158.35076368671986</c:v>
                </c:pt>
                <c:pt idx="7">
                  <c:v>216.96377381809043</c:v>
                </c:pt>
                <c:pt idx="8">
                  <c:v>173.83465592975961</c:v>
                </c:pt>
                <c:pt idx="9">
                  <c:v>209.312465978766</c:v>
                </c:pt>
                <c:pt idx="11">
                  <c:v>244.72405240099403</c:v>
                </c:pt>
                <c:pt idx="12">
                  <c:v>267.81860511900271</c:v>
                </c:pt>
                <c:pt idx="13">
                  <c:v>359.34067715436981</c:v>
                </c:pt>
                <c:pt idx="14">
                  <c:v>320.13158124507987</c:v>
                </c:pt>
                <c:pt idx="15">
                  <c:v>305.40550672962439</c:v>
                </c:pt>
                <c:pt idx="16">
                  <c:v>308.22996820838978</c:v>
                </c:pt>
                <c:pt idx="17">
                  <c:v>315.95855053784828</c:v>
                </c:pt>
                <c:pt idx="18">
                  <c:v>308.9267427420134</c:v>
                </c:pt>
                <c:pt idx="19">
                  <c:v>297.00597325193849</c:v>
                </c:pt>
                <c:pt idx="20">
                  <c:v>364.52438487031964</c:v>
                </c:pt>
                <c:pt idx="21">
                  <c:v>400.17853333581456</c:v>
                </c:pt>
                <c:pt idx="22">
                  <c:v>437.84518896312943</c:v>
                </c:pt>
                <c:pt idx="23">
                  <c:v>457.18639242046078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524F-4235-B422-6E19B2495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1619247"/>
        <c:axId val="591623823"/>
      </c:lineChart>
      <c:catAx>
        <c:axId val="5916192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s-AR"/>
          </a:p>
        </c:txPr>
        <c:crossAx val="591623823"/>
        <c:crosses val="autoZero"/>
        <c:auto val="1"/>
        <c:lblAlgn val="ctr"/>
        <c:lblOffset val="100"/>
        <c:noMultiLvlLbl val="0"/>
      </c:catAx>
      <c:valAx>
        <c:axId val="591623823"/>
        <c:scaling>
          <c:orientation val="minMax"/>
          <c:min val="0.1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s-AR"/>
          </a:p>
        </c:txPr>
        <c:crossAx val="591619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7.8607970613842754E-3"/>
          <c:y val="0.21010914359686939"/>
          <c:w val="0.45572311935584325"/>
          <c:h val="0.173620740846308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Cambria" panose="02040503050406030204" pitchFamily="18" charset="0"/>
          <a:ea typeface="Cambria" panose="020405030504060302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2060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r>
              <a:rPr lang="es-AR" sz="1200" b="1">
                <a:solidFill>
                  <a:srgbClr val="002060"/>
                </a:solidFill>
              </a:rPr>
              <a:t>Ganancia</a:t>
            </a:r>
            <a:r>
              <a:rPr lang="es-AR" sz="1200" b="1" baseline="0">
                <a:solidFill>
                  <a:srgbClr val="002060"/>
                </a:solidFill>
              </a:rPr>
              <a:t> desp de impuestos e intereses / Patrimonio Neto (Aprox)</a:t>
            </a:r>
            <a:endParaRPr lang="es-AR" sz="1200" b="1">
              <a:solidFill>
                <a:srgbClr val="002060"/>
              </a:solidFill>
            </a:endParaRPr>
          </a:p>
        </c:rich>
      </c:tx>
      <c:layout>
        <c:manualLayout>
          <c:xMode val="edge"/>
          <c:yMode val="edge"/>
          <c:x val="0.1495555555555555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2060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5A4-402C-B7E3-0335114A8722}"/>
                </c:ext>
              </c:extLst>
            </c:dLbl>
            <c:dLbl>
              <c:idx val="7"/>
              <c:layout>
                <c:manualLayout>
                  <c:x val="-7.5000000000000108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5A4-402C-B7E3-0335114A8722}"/>
                </c:ext>
              </c:extLst>
            </c:dLbl>
            <c:dLbl>
              <c:idx val="13"/>
              <c:layout>
                <c:manualLayout>
                  <c:x val="-7.5000000000000108E-2"/>
                  <c:y val="-4.6296296296296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5A4-402C-B7E3-0335114A8722}"/>
                </c:ext>
              </c:extLst>
            </c:dLbl>
            <c:dLbl>
              <c:idx val="17"/>
              <c:layout>
                <c:manualLayout>
                  <c:x val="0"/>
                  <c:y val="-5.55555555555556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5A4-402C-B7E3-0335114A87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'TG PN'!$A$9:$A$26</c:f>
              <c:numCache>
                <c:formatCode>General</c:formatCode>
                <c:ptCount val="18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  <c:pt idx="17">
                  <c:v>2024</c:v>
                </c:pt>
              </c:numCache>
            </c:numRef>
          </c:cat>
          <c:val>
            <c:numRef>
              <c:f>'TG PN'!$Y$9:$Y$26</c:f>
              <c:numCache>
                <c:formatCode>0%</c:formatCode>
                <c:ptCount val="18"/>
                <c:pt idx="0">
                  <c:v>3.5123467395541685</c:v>
                </c:pt>
                <c:pt idx="1">
                  <c:v>4.3357410028955039</c:v>
                </c:pt>
                <c:pt idx="2">
                  <c:v>5.6600644481219042</c:v>
                </c:pt>
                <c:pt idx="3">
                  <c:v>4.4472301739593174</c:v>
                </c:pt>
                <c:pt idx="4">
                  <c:v>8.9516876096555382</c:v>
                </c:pt>
                <c:pt idx="5">
                  <c:v>11.536795229882465</c:v>
                </c:pt>
                <c:pt idx="6">
                  <c:v>13.688931954863207</c:v>
                </c:pt>
                <c:pt idx="7">
                  <c:v>14.578658257042592</c:v>
                </c:pt>
                <c:pt idx="8">
                  <c:v>9.4165042419008387</c:v>
                </c:pt>
                <c:pt idx="9">
                  <c:v>13.136804139681312</c:v>
                </c:pt>
                <c:pt idx="10">
                  <c:v>4.7539239113898715</c:v>
                </c:pt>
                <c:pt idx="11">
                  <c:v>3.2737470968278113</c:v>
                </c:pt>
                <c:pt idx="12">
                  <c:v>4.9553683744096011</c:v>
                </c:pt>
                <c:pt idx="13">
                  <c:v>5.6184291218957423</c:v>
                </c:pt>
                <c:pt idx="14">
                  <c:v>3.5284510938873384</c:v>
                </c:pt>
                <c:pt idx="15">
                  <c:v>3.8247200479248415</c:v>
                </c:pt>
                <c:pt idx="16">
                  <c:v>6.3297988240071206</c:v>
                </c:pt>
                <c:pt idx="17">
                  <c:v>6.0935458029724918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85A4-402C-B7E3-0335114A87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6668511"/>
        <c:axId val="717956223"/>
      </c:lineChart>
      <c:catAx>
        <c:axId val="586668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s-AR"/>
          </a:p>
        </c:txPr>
        <c:crossAx val="717956223"/>
        <c:crosses val="autoZero"/>
        <c:auto val="1"/>
        <c:lblAlgn val="ctr"/>
        <c:lblOffset val="100"/>
        <c:noMultiLvlLbl val="0"/>
      </c:catAx>
      <c:valAx>
        <c:axId val="717956223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s-AR"/>
          </a:p>
        </c:txPr>
        <c:crossAx val="586668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Cambria" panose="02040503050406030204" pitchFamily="18" charset="0"/>
          <a:ea typeface="Cambria" panose="020405030504060302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002060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r>
              <a:rPr lang="es-AR" sz="1100" b="1">
                <a:solidFill>
                  <a:srgbClr val="002060"/>
                </a:solidFill>
              </a:rPr>
              <a:t>Tasa de ganancia capital propio desp de la inversión en capital fijo</a:t>
            </a:r>
          </a:p>
        </c:rich>
      </c:tx>
      <c:layout>
        <c:manualLayout>
          <c:xMode val="edge"/>
          <c:yMode val="edge"/>
          <c:x val="0.11622222222222223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002060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0.11983191495002518"/>
          <c:y val="0.22781094527363185"/>
          <c:w val="0.81872000848378801"/>
          <c:h val="0.71746268656716417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5555555555555809E-3"/>
                  <c:y val="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AF7-4F7E-888D-F1A160D9E671}"/>
                </c:ext>
              </c:extLst>
            </c:dLbl>
            <c:dLbl>
              <c:idx val="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AF7-4F7E-888D-F1A160D9E671}"/>
                </c:ext>
              </c:extLst>
            </c:dLbl>
            <c:dLbl>
              <c:idx val="7"/>
              <c:layout>
                <c:manualLayout>
                  <c:x val="-8.611111111111111E-2"/>
                  <c:y val="5.55555555555553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AF7-4F7E-888D-F1A160D9E671}"/>
                </c:ext>
              </c:extLst>
            </c:dLbl>
            <c:dLbl>
              <c:idx val="1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AF7-4F7E-888D-F1A160D9E671}"/>
                </c:ext>
              </c:extLst>
            </c:dLbl>
            <c:dLbl>
              <c:idx val="13"/>
              <c:layout>
                <c:manualLayout>
                  <c:x val="-5.5555555555555552E-2"/>
                  <c:y val="-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AF7-4F7E-888D-F1A160D9E671}"/>
                </c:ext>
              </c:extLst>
            </c:dLbl>
            <c:dLbl>
              <c:idx val="17"/>
              <c:layout>
                <c:manualLayout>
                  <c:x val="0"/>
                  <c:y val="-5.55555555555556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AF7-4F7E-888D-F1A160D9E67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'TG PN'!$A$9:$A$26</c:f>
              <c:numCache>
                <c:formatCode>General</c:formatCode>
                <c:ptCount val="18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  <c:pt idx="17">
                  <c:v>2024</c:v>
                </c:pt>
              </c:numCache>
            </c:numRef>
          </c:cat>
          <c:val>
            <c:numRef>
              <c:f>'TG PN'!$Z$9:$Z$26</c:f>
              <c:numCache>
                <c:formatCode>0%</c:formatCode>
                <c:ptCount val="18"/>
                <c:pt idx="0">
                  <c:v>6.0268688198684015E-2</c:v>
                </c:pt>
                <c:pt idx="1">
                  <c:v>6.8178923350564469E-2</c:v>
                </c:pt>
                <c:pt idx="2">
                  <c:v>8.8245669257938059E-2</c:v>
                </c:pt>
                <c:pt idx="3">
                  <c:v>0.12133277039743941</c:v>
                </c:pt>
                <c:pt idx="4">
                  <c:v>0.11171077942011429</c:v>
                </c:pt>
                <c:pt idx="5">
                  <c:v>-5.3801888373208269E-2</c:v>
                </c:pt>
                <c:pt idx="6">
                  <c:v>-0.13899147818927188</c:v>
                </c:pt>
                <c:pt idx="7">
                  <c:v>-0.3059723803813939</c:v>
                </c:pt>
                <c:pt idx="8">
                  <c:v>-2.4255648674321818E-2</c:v>
                </c:pt>
                <c:pt idx="9">
                  <c:v>-5.8807850515553489E-3</c:v>
                </c:pt>
                <c:pt idx="10">
                  <c:v>0.12974153751927686</c:v>
                </c:pt>
                <c:pt idx="11">
                  <c:v>0.21214328691728088</c:v>
                </c:pt>
                <c:pt idx="12">
                  <c:v>8.4229510950586534E-2</c:v>
                </c:pt>
                <c:pt idx="13">
                  <c:v>3.4340413519527865E-2</c:v>
                </c:pt>
                <c:pt idx="14">
                  <c:v>5.8018617106412977E-2</c:v>
                </c:pt>
                <c:pt idx="15">
                  <c:v>8.9854237123365807E-2</c:v>
                </c:pt>
                <c:pt idx="16">
                  <c:v>2.0427180503912637E-2</c:v>
                </c:pt>
                <c:pt idx="17">
                  <c:v>6.6795853588570972E-2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6AF7-4F7E-888D-F1A160D9E671}"/>
            </c:ext>
          </c:extLst>
        </c:ser>
        <c:ser>
          <c:idx val="1"/>
          <c:order val="1"/>
          <c:tx>
            <c:v>Promedio</c:v>
          </c:tx>
          <c:spPr>
            <a:ln w="19050" cap="rnd">
              <a:solidFill>
                <a:schemeClr val="bg1">
                  <a:lumMod val="50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AF7-4F7E-888D-F1A160D9E671}"/>
                </c:ext>
              </c:extLst>
            </c:dLbl>
            <c:dLbl>
              <c:idx val="7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AF7-4F7E-888D-F1A160D9E67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'TG PN'!$AB$9:$AB$26</c:f>
              <c:numCache>
                <c:formatCode>0%</c:formatCode>
                <c:ptCount val="18"/>
                <c:pt idx="0">
                  <c:v>3.4243627065773531E-2</c:v>
                </c:pt>
                <c:pt idx="1">
                  <c:v>3.4243627065773531E-2</c:v>
                </c:pt>
                <c:pt idx="2">
                  <c:v>3.4243627065773531E-2</c:v>
                </c:pt>
                <c:pt idx="3">
                  <c:v>3.4243627065773531E-2</c:v>
                </c:pt>
                <c:pt idx="4">
                  <c:v>3.4243627065773531E-2</c:v>
                </c:pt>
                <c:pt idx="5">
                  <c:v>3.4243627065773531E-2</c:v>
                </c:pt>
                <c:pt idx="6">
                  <c:v>3.4243627065773531E-2</c:v>
                </c:pt>
                <c:pt idx="7">
                  <c:v>3.4243627065773531E-2</c:v>
                </c:pt>
                <c:pt idx="8">
                  <c:v>3.4243627065773531E-2</c:v>
                </c:pt>
                <c:pt idx="9">
                  <c:v>3.4243627065773531E-2</c:v>
                </c:pt>
                <c:pt idx="10">
                  <c:v>3.4243627065773531E-2</c:v>
                </c:pt>
                <c:pt idx="11">
                  <c:v>3.4243627065773531E-2</c:v>
                </c:pt>
                <c:pt idx="12">
                  <c:v>3.4243627065773531E-2</c:v>
                </c:pt>
                <c:pt idx="13">
                  <c:v>3.4243627065773531E-2</c:v>
                </c:pt>
                <c:pt idx="14">
                  <c:v>3.4243627065773531E-2</c:v>
                </c:pt>
                <c:pt idx="15">
                  <c:v>3.4243627065773531E-2</c:v>
                </c:pt>
                <c:pt idx="16">
                  <c:v>3.4243627065773531E-2</c:v>
                </c:pt>
                <c:pt idx="17">
                  <c:v>3.4243627065773531E-2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AF7-4F7E-888D-F1A160D9E6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6668511"/>
        <c:axId val="717956223"/>
      </c:lineChart>
      <c:catAx>
        <c:axId val="586668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s-AR"/>
          </a:p>
        </c:txPr>
        <c:crossAx val="717956223"/>
        <c:crosses val="autoZero"/>
        <c:auto val="1"/>
        <c:lblAlgn val="ctr"/>
        <c:lblOffset val="100"/>
        <c:noMultiLvlLbl val="0"/>
      </c:catAx>
      <c:valAx>
        <c:axId val="717956223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s-AR"/>
          </a:p>
        </c:txPr>
        <c:crossAx val="586668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8.9402449693788327E-2"/>
          <c:y val="0.1873636628754739"/>
          <c:w val="0.26290012990800388"/>
          <c:h val="7.61315252260134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Cambria" panose="02040503050406030204" pitchFamily="18" charset="0"/>
          <a:ea typeface="Cambria" panose="020405030504060302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2060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r>
              <a:rPr lang="es-AR" b="1">
                <a:solidFill>
                  <a:srgbClr val="002060"/>
                </a:solidFill>
              </a:rPr>
              <a:t>Tasas de ganancia</a:t>
            </a:r>
          </a:p>
        </c:rich>
      </c:tx>
      <c:layout>
        <c:manualLayout>
          <c:xMode val="edge"/>
          <c:yMode val="edge"/>
          <c:x val="0.39122222222222225"/>
          <c:y val="1.38887706604242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2060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9.8861329833770772E-2"/>
          <c:y val="0.23797297297297298"/>
          <c:w val="0.80095669291338589"/>
          <c:h val="0.71247747747747747"/>
        </c:manualLayout>
      </c:layout>
      <c:lineChart>
        <c:grouping val="standard"/>
        <c:varyColors val="0"/>
        <c:ser>
          <c:idx val="0"/>
          <c:order val="0"/>
          <c:tx>
            <c:strRef>
              <c:f>'TG PN'!$Z$2</c:f>
              <c:strCache>
                <c:ptCount val="1"/>
                <c:pt idx="0">
                  <c:v>Tasa de ganancia capital propio desp de FBCF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5555555555555809E-3"/>
                  <c:y val="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12C-46D5-BE32-45201FA3E5F7}"/>
                </c:ext>
              </c:extLst>
            </c:dLbl>
            <c:dLbl>
              <c:idx val="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12C-46D5-BE32-45201FA3E5F7}"/>
                </c:ext>
              </c:extLst>
            </c:dLbl>
            <c:dLbl>
              <c:idx val="7"/>
              <c:layout>
                <c:manualLayout>
                  <c:x val="-8.611111111111111E-2"/>
                  <c:y val="5.55555555555553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12C-46D5-BE32-45201FA3E5F7}"/>
                </c:ext>
              </c:extLst>
            </c:dLbl>
            <c:dLbl>
              <c:idx val="1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12C-46D5-BE32-45201FA3E5F7}"/>
                </c:ext>
              </c:extLst>
            </c:dLbl>
            <c:dLbl>
              <c:idx val="13"/>
              <c:layout>
                <c:manualLayout>
                  <c:x val="-5.5555555555555552E-2"/>
                  <c:y val="-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12C-46D5-BE32-45201FA3E5F7}"/>
                </c:ext>
              </c:extLst>
            </c:dLbl>
            <c:dLbl>
              <c:idx val="17"/>
              <c:layout>
                <c:manualLayout>
                  <c:x val="0"/>
                  <c:y val="-5.55555555555556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12C-46D5-BE32-45201FA3E5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'TG PN'!$A$9:$A$26</c:f>
              <c:numCache>
                <c:formatCode>General</c:formatCode>
                <c:ptCount val="18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  <c:pt idx="17">
                  <c:v>2024</c:v>
                </c:pt>
              </c:numCache>
            </c:numRef>
          </c:cat>
          <c:val>
            <c:numRef>
              <c:f>'TG PN'!$Z$9:$Z$26</c:f>
              <c:numCache>
                <c:formatCode>0%</c:formatCode>
                <c:ptCount val="18"/>
                <c:pt idx="0">
                  <c:v>6.0268688198684015E-2</c:v>
                </c:pt>
                <c:pt idx="1">
                  <c:v>6.8178923350564469E-2</c:v>
                </c:pt>
                <c:pt idx="2">
                  <c:v>8.8245669257938059E-2</c:v>
                </c:pt>
                <c:pt idx="3">
                  <c:v>0.12133277039743941</c:v>
                </c:pt>
                <c:pt idx="4">
                  <c:v>0.11171077942011429</c:v>
                </c:pt>
                <c:pt idx="5">
                  <c:v>-5.3801888373208269E-2</c:v>
                </c:pt>
                <c:pt idx="6">
                  <c:v>-0.13899147818927188</c:v>
                </c:pt>
                <c:pt idx="7">
                  <c:v>-0.3059723803813939</c:v>
                </c:pt>
                <c:pt idx="8">
                  <c:v>-2.4255648674321818E-2</c:v>
                </c:pt>
                <c:pt idx="9">
                  <c:v>-5.8807850515553489E-3</c:v>
                </c:pt>
                <c:pt idx="10">
                  <c:v>0.12974153751927686</c:v>
                </c:pt>
                <c:pt idx="11">
                  <c:v>0.21214328691728088</c:v>
                </c:pt>
                <c:pt idx="12">
                  <c:v>8.4229510950586534E-2</c:v>
                </c:pt>
                <c:pt idx="13">
                  <c:v>3.4340413519527865E-2</c:v>
                </c:pt>
                <c:pt idx="14">
                  <c:v>5.8018617106412977E-2</c:v>
                </c:pt>
                <c:pt idx="15">
                  <c:v>8.9854237123365807E-2</c:v>
                </c:pt>
                <c:pt idx="16">
                  <c:v>2.0427180503912637E-2</c:v>
                </c:pt>
                <c:pt idx="17">
                  <c:v>6.6795853588570972E-2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212C-46D5-BE32-45201FA3E5F7}"/>
            </c:ext>
          </c:extLst>
        </c:ser>
        <c:ser>
          <c:idx val="1"/>
          <c:order val="1"/>
          <c:tx>
            <c:strRef>
              <c:f>'TG PN'!$X$2</c:f>
              <c:strCache>
                <c:ptCount val="1"/>
                <c:pt idx="0">
                  <c:v>Tasa de ganancia manuf</c:v>
                </c:pt>
              </c:strCache>
            </c:strRef>
          </c:tx>
          <c:spPr>
            <a:ln w="28575" cap="rnd">
              <a:solidFill>
                <a:srgbClr val="002060">
                  <a:alpha val="97000"/>
                </a:srgbClr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12C-46D5-BE32-45201FA3E5F7}"/>
                </c:ext>
              </c:extLst>
            </c:dLbl>
            <c:dLbl>
              <c:idx val="7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12C-46D5-BE32-45201FA3E5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'TG PN'!$X$9:$X$26</c:f>
              <c:numCache>
                <c:formatCode>0.0%</c:formatCode>
                <c:ptCount val="18"/>
                <c:pt idx="0">
                  <c:v>0.20411715173238273</c:v>
                </c:pt>
                <c:pt idx="1">
                  <c:v>0.18442417716988432</c:v>
                </c:pt>
                <c:pt idx="2">
                  <c:v>0.14116909098012231</c:v>
                </c:pt>
                <c:pt idx="3">
                  <c:v>0.17715348229994973</c:v>
                </c:pt>
                <c:pt idx="4">
                  <c:v>9.480203663437882E-2</c:v>
                </c:pt>
                <c:pt idx="5">
                  <c:v>7.5412325971362396E-2</c:v>
                </c:pt>
                <c:pt idx="6">
                  <c:v>6.691485840508439E-2</c:v>
                </c:pt>
                <c:pt idx="7">
                  <c:v>6.5803130363984191E-2</c:v>
                </c:pt>
                <c:pt idx="8">
                  <c:v>9.1845157039084926E-2</c:v>
                </c:pt>
                <c:pt idx="9">
                  <c:v>6.9469729153650739E-2</c:v>
                </c:pt>
                <c:pt idx="10">
                  <c:v>0.174220418387144</c:v>
                </c:pt>
                <c:pt idx="11">
                  <c:v>0.24285991568770546</c:v>
                </c:pt>
                <c:pt idx="12">
                  <c:v>0.16886688358100693</c:v>
                </c:pt>
                <c:pt idx="13">
                  <c:v>0.14670145622492484</c:v>
                </c:pt>
                <c:pt idx="14">
                  <c:v>0.23278643349120004</c:v>
                </c:pt>
                <c:pt idx="15">
                  <c:v>0.21851338737517986</c:v>
                </c:pt>
                <c:pt idx="16">
                  <c:v>0.13905213001464087</c:v>
                </c:pt>
                <c:pt idx="17">
                  <c:v>0.14549673751769573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212C-46D5-BE32-45201FA3E5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6668511"/>
        <c:axId val="717956223"/>
      </c:lineChart>
      <c:catAx>
        <c:axId val="586668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s-AR"/>
          </a:p>
        </c:txPr>
        <c:crossAx val="717956223"/>
        <c:crosses val="autoZero"/>
        <c:auto val="1"/>
        <c:lblAlgn val="ctr"/>
        <c:lblOffset val="100"/>
        <c:noMultiLvlLbl val="0"/>
      </c:catAx>
      <c:valAx>
        <c:axId val="717956223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s-AR"/>
          </a:p>
        </c:txPr>
        <c:crossAx val="586668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3.6111111111111108E-2"/>
          <c:y val="7.1255231609562333E-2"/>
          <c:w val="0.46388888888888891"/>
          <c:h val="0.224223593672412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Cambria" panose="02040503050406030204" pitchFamily="18" charset="0"/>
          <a:ea typeface="Cambria" panose="020405030504060302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2060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r>
              <a:rPr lang="es-AR" b="1">
                <a:solidFill>
                  <a:srgbClr val="002060"/>
                </a:solidFill>
              </a:rPr>
              <a:t>Tasas de ganancia</a:t>
            </a:r>
          </a:p>
        </c:rich>
      </c:tx>
      <c:layout>
        <c:manualLayout>
          <c:xMode val="edge"/>
          <c:yMode val="edge"/>
          <c:x val="0.37733333333333335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2060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0.10952821522309711"/>
          <c:y val="0.32619387103639075"/>
          <c:w val="0.86251202974628183"/>
          <c:h val="0.5290306448180464"/>
        </c:manualLayout>
      </c:layout>
      <c:lineChart>
        <c:grouping val="standard"/>
        <c:varyColors val="0"/>
        <c:ser>
          <c:idx val="0"/>
          <c:order val="0"/>
          <c:tx>
            <c:strRef>
              <c:f>'TG PN'!$X$2</c:f>
              <c:strCache>
                <c:ptCount val="1"/>
                <c:pt idx="0">
                  <c:v>Tasa de ganancia manuf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3AF-4906-B124-CD5213ED3D49}"/>
                </c:ext>
              </c:extLst>
            </c:dLbl>
            <c:dLbl>
              <c:idx val="7"/>
              <c:layout>
                <c:manualLayout>
                  <c:x val="-7.5000000000000108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3AF-4906-B124-CD5213ED3D49}"/>
                </c:ext>
              </c:extLst>
            </c:dLbl>
            <c:dLbl>
              <c:idx val="13"/>
              <c:layout>
                <c:manualLayout>
                  <c:x val="-6.9444444444444448E-2"/>
                  <c:y val="6.18117329928353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3AF-4906-B124-CD5213ED3D49}"/>
                </c:ext>
              </c:extLst>
            </c:dLbl>
            <c:dLbl>
              <c:idx val="17"/>
              <c:layout>
                <c:manualLayout>
                  <c:x val="-6.3888888888888995E-2"/>
                  <c:y val="9.75977158260622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3AF-4906-B124-CD5213ED3D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'TG PN'!$A$3:$A$26</c:f>
              <c:numCache>
                <c:formatCode>General</c:formatCode>
                <c:ptCount val="24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</c:numCache>
            </c:numRef>
          </c:cat>
          <c:val>
            <c:numRef>
              <c:f>'TG PN'!$X$3:$X$26</c:f>
              <c:numCache>
                <c:formatCode>0.0%</c:formatCode>
                <c:ptCount val="24"/>
                <c:pt idx="0">
                  <c:v>0.12760603054173855</c:v>
                </c:pt>
                <c:pt idx="1">
                  <c:v>0.26715959115094784</c:v>
                </c:pt>
                <c:pt idx="2">
                  <c:v>0.19274061943691359</c:v>
                </c:pt>
                <c:pt idx="3">
                  <c:v>0.26381692963759656</c:v>
                </c:pt>
                <c:pt idx="4">
                  <c:v>0.22872609363823235</c:v>
                </c:pt>
                <c:pt idx="5">
                  <c:v>0.2233534197964662</c:v>
                </c:pt>
                <c:pt idx="6">
                  <c:v>0.20411715173238273</c:v>
                </c:pt>
                <c:pt idx="7">
                  <c:v>0.18442417716988432</c:v>
                </c:pt>
                <c:pt idx="8">
                  <c:v>0.14116909098012231</c:v>
                </c:pt>
                <c:pt idx="9">
                  <c:v>0.17715348229994973</c:v>
                </c:pt>
                <c:pt idx="10">
                  <c:v>9.480203663437882E-2</c:v>
                </c:pt>
                <c:pt idx="11">
                  <c:v>7.5412325971362396E-2</c:v>
                </c:pt>
                <c:pt idx="12">
                  <c:v>6.691485840508439E-2</c:v>
                </c:pt>
                <c:pt idx="13">
                  <c:v>6.5803130363984191E-2</c:v>
                </c:pt>
                <c:pt idx="14">
                  <c:v>9.1845157039084926E-2</c:v>
                </c:pt>
                <c:pt idx="15">
                  <c:v>6.9469729153650739E-2</c:v>
                </c:pt>
                <c:pt idx="16">
                  <c:v>0.174220418387144</c:v>
                </c:pt>
                <c:pt idx="17">
                  <c:v>0.24285991568770546</c:v>
                </c:pt>
                <c:pt idx="18">
                  <c:v>0.16886688358100693</c:v>
                </c:pt>
                <c:pt idx="19">
                  <c:v>0.14670145622492484</c:v>
                </c:pt>
                <c:pt idx="20">
                  <c:v>0.23278643349120004</c:v>
                </c:pt>
                <c:pt idx="21">
                  <c:v>0.21851338737517986</c:v>
                </c:pt>
                <c:pt idx="22">
                  <c:v>0.13905213001464087</c:v>
                </c:pt>
                <c:pt idx="23">
                  <c:v>0.14549673751769573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33AF-4906-B124-CD5213ED3D49}"/>
            </c:ext>
          </c:extLst>
        </c:ser>
        <c:ser>
          <c:idx val="1"/>
          <c:order val="1"/>
          <c:tx>
            <c:strRef>
              <c:f>'TG PN'!$AA$2</c:f>
              <c:strCache>
                <c:ptCount val="1"/>
                <c:pt idx="0">
                  <c:v>Tasa de ganancia PN (sobre capital fijo menos endeudamiento)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3AF-4906-B124-CD5213ED3D49}"/>
                </c:ext>
              </c:extLst>
            </c:dLbl>
            <c:dLbl>
              <c:idx val="17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3AF-4906-B124-CD5213ED3D49}"/>
                </c:ext>
              </c:extLst>
            </c:dLbl>
            <c:dLbl>
              <c:idx val="2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3AF-4906-B124-CD5213ED3D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2060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'TG PN'!$A$3:$A$26</c:f>
              <c:numCache>
                <c:formatCode>General</c:formatCode>
                <c:ptCount val="24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</c:numCache>
            </c:numRef>
          </c:cat>
          <c:val>
            <c:numRef>
              <c:f>'TG PN'!$AA$3:$AA$26</c:f>
              <c:numCache>
                <c:formatCode>General</c:formatCode>
                <c:ptCount val="24"/>
                <c:pt idx="6" formatCode="0%">
                  <c:v>0.4634794467269665</c:v>
                </c:pt>
                <c:pt idx="7" formatCode="0%">
                  <c:v>0.35089197375034498</c:v>
                </c:pt>
                <c:pt idx="8" formatCode="0%">
                  <c:v>0.28617669221522801</c:v>
                </c:pt>
                <c:pt idx="9" formatCode="0%">
                  <c:v>0.3603707002870824</c:v>
                </c:pt>
                <c:pt idx="11" formatCode="0%">
                  <c:v>0.14625846467038925</c:v>
                </c:pt>
                <c:pt idx="12" formatCode="0%">
                  <c:v>0.12010729864933423</c:v>
                </c:pt>
                <c:pt idx="13" formatCode="0%">
                  <c:v>9.6885734575882732E-2</c:v>
                </c:pt>
                <c:pt idx="14" formatCode="0%">
                  <c:v>0.15277044486828872</c:v>
                </c:pt>
                <c:pt idx="15" formatCode="0%">
                  <c:v>0.1093248554093436</c:v>
                </c:pt>
                <c:pt idx="16" formatCode="0%">
                  <c:v>0.30056840437082399</c:v>
                </c:pt>
                <c:pt idx="17" formatCode="0%">
                  <c:v>0.44670824482984633</c:v>
                </c:pt>
                <c:pt idx="18" formatCode="0%">
                  <c:v>0.28980148215733514</c:v>
                </c:pt>
                <c:pt idx="19" formatCode="0%">
                  <c:v>0.24738151043084847</c:v>
                </c:pt>
                <c:pt idx="20" formatCode="0%">
                  <c:v>0.37706649120036417</c:v>
                </c:pt>
                <c:pt idx="21" formatCode="0%">
                  <c:v>0.36451094071040258</c:v>
                </c:pt>
                <c:pt idx="22" formatCode="0%">
                  <c:v>0.21471857169434674</c:v>
                </c:pt>
                <c:pt idx="23" formatCode="0%">
                  <c:v>0.21976912251055364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33AF-4906-B124-CD5213ED3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6668511"/>
        <c:axId val="717956223"/>
      </c:lineChart>
      <c:catAx>
        <c:axId val="586668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s-AR"/>
          </a:p>
        </c:txPr>
        <c:crossAx val="717956223"/>
        <c:crosses val="autoZero"/>
        <c:auto val="1"/>
        <c:lblAlgn val="ctr"/>
        <c:lblOffset val="100"/>
        <c:noMultiLvlLbl val="0"/>
      </c:catAx>
      <c:valAx>
        <c:axId val="717956223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s-AR"/>
          </a:p>
        </c:txPr>
        <c:crossAx val="586668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"/>
          <c:y val="8.2766900759026749E-2"/>
          <c:w val="0.85295975503062116"/>
          <c:h val="0.142641696814925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Cambria" panose="02040503050406030204" pitchFamily="18" charset="0"/>
          <a:ea typeface="Cambria" panose="020405030504060302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2060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r>
              <a:rPr lang="es-AR" b="1">
                <a:solidFill>
                  <a:srgbClr val="002060"/>
                </a:solidFill>
              </a:rPr>
              <a:t>Abaratamiento por tc sobre ganancia desp de impuestos</a:t>
            </a:r>
          </a:p>
        </c:rich>
      </c:tx>
      <c:layout>
        <c:manualLayout>
          <c:xMode val="edge"/>
          <c:yMode val="edge"/>
          <c:x val="0.1495555555555555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2060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9.9066563557695955E-2"/>
          <c:y val="0.23473684210526316"/>
          <c:w val="0.90093343644230417"/>
          <c:h val="0.60415961162749399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2777777777777778E-2"/>
                  <c:y val="-7.65765765765765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14B-43EE-AE74-72E25336BF7B}"/>
                </c:ext>
              </c:extLst>
            </c:dLbl>
            <c:dLbl>
              <c:idx val="7"/>
              <c:layout>
                <c:manualLayout>
                  <c:x val="-7.5000000000000108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14B-43EE-AE74-72E25336BF7B}"/>
                </c:ext>
              </c:extLst>
            </c:dLbl>
            <c:dLbl>
              <c:idx val="13"/>
              <c:layout>
                <c:manualLayout>
                  <c:x val="-7.5000000000000108E-2"/>
                  <c:y val="-4.6296296296296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14B-43EE-AE74-72E25336BF7B}"/>
                </c:ext>
              </c:extLst>
            </c:dLbl>
            <c:dLbl>
              <c:idx val="17"/>
              <c:layout>
                <c:manualLayout>
                  <c:x val="0"/>
                  <c:y val="-5.55555555555556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14B-43EE-AE74-72E25336BF7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'TG PN'!$A$9:$A$26</c:f>
              <c:numCache>
                <c:formatCode>General</c:formatCode>
                <c:ptCount val="18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  <c:pt idx="17">
                  <c:v>2024</c:v>
                </c:pt>
              </c:numCache>
            </c:numRef>
          </c:cat>
          <c:val>
            <c:numRef>
              <c:f>'TG PN'!$AH$8:$AH$26</c:f>
              <c:numCache>
                <c:formatCode>0%</c:formatCode>
                <c:ptCount val="19"/>
                <c:pt idx="0">
                  <c:v>2.4633990310244765E-2</c:v>
                </c:pt>
                <c:pt idx="1">
                  <c:v>2.4562945964312358E-2</c:v>
                </c:pt>
                <c:pt idx="2">
                  <c:v>2.9653969137991627E-2</c:v>
                </c:pt>
                <c:pt idx="3">
                  <c:v>4.5406057435520973E-2</c:v>
                </c:pt>
                <c:pt idx="4">
                  <c:v>3.4992256729706121E-2</c:v>
                </c:pt>
                <c:pt idx="5">
                  <c:v>7.5285885503565672E-2</c:v>
                </c:pt>
                <c:pt idx="6">
                  <c:v>0.10849176200187888</c:v>
                </c:pt>
                <c:pt idx="7">
                  <c:v>0.13099006063286653</c:v>
                </c:pt>
                <c:pt idx="8">
                  <c:v>9.4412795956810722E-2</c:v>
                </c:pt>
                <c:pt idx="9">
                  <c:v>5.5307814862479668E-2</c:v>
                </c:pt>
                <c:pt idx="10">
                  <c:v>7.4081669748767634E-2</c:v>
                </c:pt>
                <c:pt idx="11">
                  <c:v>3.2914022709166435E-2</c:v>
                </c:pt>
                <c:pt idx="12">
                  <c:v>2.4284232283108931E-2</c:v>
                </c:pt>
                <c:pt idx="13">
                  <c:v>2.9380215935783358E-2</c:v>
                </c:pt>
                <c:pt idx="14">
                  <c:v>2.7086148041850805E-2</c:v>
                </c:pt>
                <c:pt idx="15">
                  <c:v>1.1036433855679336E-2</c:v>
                </c:pt>
                <c:pt idx="16">
                  <c:v>1.5551666587292099E-2</c:v>
                </c:pt>
                <c:pt idx="17">
                  <c:v>4.3270364450906644E-2</c:v>
                </c:pt>
                <c:pt idx="18">
                  <c:v>3.7977635058470363E-2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814B-43EE-AE74-72E25336B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6668511"/>
        <c:axId val="717956223"/>
      </c:lineChart>
      <c:catAx>
        <c:axId val="586668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s-AR"/>
          </a:p>
        </c:txPr>
        <c:crossAx val="717956223"/>
        <c:crosses val="autoZero"/>
        <c:auto val="1"/>
        <c:lblAlgn val="ctr"/>
        <c:lblOffset val="100"/>
        <c:noMultiLvlLbl val="0"/>
      </c:catAx>
      <c:valAx>
        <c:axId val="717956223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s-AR"/>
          </a:p>
        </c:txPr>
        <c:crossAx val="586668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Cambria" panose="02040503050406030204" pitchFamily="18" charset="0"/>
          <a:ea typeface="Cambria" panose="020405030504060302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778125416442148E-2"/>
          <c:y val="8.3032671923387091E-2"/>
          <c:w val="0.92222187458355787"/>
          <c:h val="0.73103281678495824"/>
        </c:manualLayout>
      </c:layout>
      <c:lineChart>
        <c:grouping val="standard"/>
        <c:varyColors val="0"/>
        <c:ser>
          <c:idx val="0"/>
          <c:order val="0"/>
          <c:tx>
            <c:strRef>
              <c:f>'TG PN'!$U$2</c:f>
              <c:strCache>
                <c:ptCount val="1"/>
                <c:pt idx="0">
                  <c:v>Pasivo no corriente / KTA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2DB-4636-8180-16B3020283A3}"/>
                </c:ext>
              </c:extLst>
            </c:dLbl>
            <c:dLbl>
              <c:idx val="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2DB-4636-8180-16B3020283A3}"/>
                </c:ext>
              </c:extLst>
            </c:dLbl>
            <c:dLbl>
              <c:idx val="7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2DB-4636-8180-16B3020283A3}"/>
                </c:ext>
              </c:extLst>
            </c:dLbl>
            <c:dLbl>
              <c:idx val="1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2DB-4636-8180-16B3020283A3}"/>
                </c:ext>
              </c:extLst>
            </c:dLbl>
            <c:dLbl>
              <c:idx val="18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2DB-4636-8180-16B3020283A3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'TG PN'!$A$8:$A$26</c:f>
              <c:numCache>
                <c:formatCode>General</c:formatCode>
                <c:ptCount val="19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</c:numCache>
            </c:numRef>
          </c:cat>
          <c:val>
            <c:numRef>
              <c:f>'TG PN'!$U$8:$U$26</c:f>
              <c:numCache>
                <c:formatCode>General</c:formatCode>
                <c:ptCount val="19"/>
                <c:pt idx="0">
                  <c:v>0.46517151750344787</c:v>
                </c:pt>
                <c:pt idx="1">
                  <c:v>0.345209209943658</c:v>
                </c:pt>
                <c:pt idx="2">
                  <c:v>0.25834549020590025</c:v>
                </c:pt>
                <c:pt idx="3">
                  <c:v>0.29468105905176911</c:v>
                </c:pt>
                <c:pt idx="4">
                  <c:v>0.26027584041604279</c:v>
                </c:pt>
                <c:pt idx="5">
                  <c:v>0.24076133854141155</c:v>
                </c:pt>
                <c:pt idx="6">
                  <c:v>0.27262659067960582</c:v>
                </c:pt>
                <c:pt idx="7">
                  <c:v>0.26006091594436143</c:v>
                </c:pt>
                <c:pt idx="8">
                  <c:v>0.19533127458657554</c:v>
                </c:pt>
                <c:pt idx="9">
                  <c:v>0.24021890366060253</c:v>
                </c:pt>
                <c:pt idx="10">
                  <c:v>0.25061637487284288</c:v>
                </c:pt>
                <c:pt idx="11">
                  <c:v>0.22645043539259588</c:v>
                </c:pt>
                <c:pt idx="12">
                  <c:v>0.24418454999224701</c:v>
                </c:pt>
                <c:pt idx="13">
                  <c:v>0.22710047841544473</c:v>
                </c:pt>
                <c:pt idx="14">
                  <c:v>0.24252892819581728</c:v>
                </c:pt>
                <c:pt idx="15">
                  <c:v>0.20708467941766898</c:v>
                </c:pt>
                <c:pt idx="16">
                  <c:v>0.19967735425598324</c:v>
                </c:pt>
                <c:pt idx="17">
                  <c:v>0.19666265986695863</c:v>
                </c:pt>
                <c:pt idx="18">
                  <c:v>0.18305451931791059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2DB-4636-8180-16B3020283A3}"/>
            </c:ext>
          </c:extLst>
        </c:ser>
        <c:ser>
          <c:idx val="1"/>
          <c:order val="1"/>
          <c:tx>
            <c:strRef>
              <c:f>'TG PN'!$R$2</c:f>
              <c:strCache>
                <c:ptCount val="1"/>
                <c:pt idx="0">
                  <c:v>% de los intereses respecto de la ganancia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2DB-4636-8180-16B3020283A3}"/>
                </c:ext>
              </c:extLst>
            </c:dLbl>
            <c:dLbl>
              <c:idx val="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2DB-4636-8180-16B3020283A3}"/>
                </c:ext>
              </c:extLst>
            </c:dLbl>
            <c:dLbl>
              <c:idx val="1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2DB-4636-8180-16B3020283A3}"/>
                </c:ext>
              </c:extLst>
            </c:dLbl>
            <c:dLbl>
              <c:idx val="18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2DB-4636-8180-16B3020283A3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2060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'TG PN'!$R$8:$R$26</c:f>
              <c:numCache>
                <c:formatCode>0%</c:formatCode>
                <c:ptCount val="19"/>
                <c:pt idx="0">
                  <c:v>0.11204340830668545</c:v>
                </c:pt>
                <c:pt idx="1">
                  <c:v>8.6674297226481026E-2</c:v>
                </c:pt>
                <c:pt idx="2">
                  <c:v>7.2486037961141572E-2</c:v>
                </c:pt>
                <c:pt idx="3">
                  <c:v>0.11727677714510963</c:v>
                </c:pt>
                <c:pt idx="4">
                  <c:v>6.1075867080454128E-2</c:v>
                </c:pt>
                <c:pt idx="5">
                  <c:v>0.1053447199185381</c:v>
                </c:pt>
                <c:pt idx="6">
                  <c:v>0.16395452611131078</c:v>
                </c:pt>
                <c:pt idx="7">
                  <c:v>0.19220001712314855</c:v>
                </c:pt>
                <c:pt idx="8">
                  <c:v>0.16121044781888533</c:v>
                </c:pt>
                <c:pt idx="9">
                  <c:v>0.12149848154451665</c:v>
                </c:pt>
                <c:pt idx="10">
                  <c:v>0.17885686116061841</c:v>
                </c:pt>
                <c:pt idx="11">
                  <c:v>6.6021525127173644E-2</c:v>
                </c:pt>
                <c:pt idx="12">
                  <c:v>4.9362812810902421E-2</c:v>
                </c:pt>
                <c:pt idx="13">
                  <c:v>7.636027122882294E-2</c:v>
                </c:pt>
                <c:pt idx="14">
                  <c:v>8.0997442018264879E-2</c:v>
                </c:pt>
                <c:pt idx="15">
                  <c:v>3.4649467535393913E-2</c:v>
                </c:pt>
                <c:pt idx="16">
                  <c:v>4.2392797236559171E-2</c:v>
                </c:pt>
                <c:pt idx="17">
                  <c:v>8.7295060647196804E-2</c:v>
                </c:pt>
                <c:pt idx="18">
                  <c:v>7.8554317464078288E-2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02DB-4636-8180-16B302028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1619247"/>
        <c:axId val="591623823"/>
      </c:lineChart>
      <c:catAx>
        <c:axId val="5916192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s-AR"/>
          </a:p>
        </c:txPr>
        <c:crossAx val="591623823"/>
        <c:crosses val="autoZero"/>
        <c:auto val="1"/>
        <c:lblAlgn val="ctr"/>
        <c:lblOffset val="100"/>
        <c:noMultiLvlLbl val="0"/>
      </c:catAx>
      <c:valAx>
        <c:axId val="591623823"/>
        <c:scaling>
          <c:orientation val="minMax"/>
          <c:min val="2.0000000000000004E-2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s-AR"/>
          </a:p>
        </c:txPr>
        <c:crossAx val="591619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1459792691476479"/>
          <c:y val="9.1837143555037415E-2"/>
          <c:w val="0.57649846749288802"/>
          <c:h val="0.164728871820438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Cambria" panose="02040503050406030204" pitchFamily="18" charset="0"/>
          <a:ea typeface="Cambria" panose="020405030504060302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r>
              <a:rPr lang="es-AR" b="1"/>
              <a:t>Evolución del stock de capital</a:t>
            </a:r>
            <a:r>
              <a:rPr lang="es-AR" b="1" baseline="0"/>
              <a:t> y el endeudamiento industrial (2006 = 100)</a:t>
            </a:r>
            <a:endParaRPr lang="es-AR" b="1"/>
          </a:p>
        </c:rich>
      </c:tx>
      <c:layout>
        <c:manualLayout>
          <c:xMode val="edge"/>
          <c:yMode val="edge"/>
          <c:x val="0.1422516556291390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5.8866813833701251E-3"/>
          <c:y val="0.28453967852876261"/>
          <c:w val="0.93524650478292859"/>
          <c:h val="0.51480270331151612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BF1-4E06-9044-F59233064038}"/>
                </c:ext>
              </c:extLst>
            </c:dLbl>
            <c:dLbl>
              <c:idx val="2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BF1-4E06-9044-F59233064038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'TG PN'!$A$3:$A$26</c:f>
              <c:numCache>
                <c:formatCode>General</c:formatCode>
                <c:ptCount val="24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</c:numCache>
            </c:numRef>
          </c:cat>
          <c:val>
            <c:numRef>
              <c:f>'TG PN'!$V$3:$V$26</c:f>
              <c:numCache>
                <c:formatCode>General</c:formatCode>
                <c:ptCount val="24"/>
                <c:pt idx="5">
                  <c:v>100</c:v>
                </c:pt>
                <c:pt idx="6">
                  <c:v>111.59375117396522</c:v>
                </c:pt>
                <c:pt idx="7">
                  <c:v>114.67241485516375</c:v>
                </c:pt>
                <c:pt idx="8">
                  <c:v>107.05479094769753</c:v>
                </c:pt>
                <c:pt idx="9">
                  <c:v>115.16014989478009</c:v>
                </c:pt>
                <c:pt idx="10">
                  <c:v>131.7885464962678</c:v>
                </c:pt>
                <c:pt idx="11">
                  <c:v>144.66739746201449</c:v>
                </c:pt>
                <c:pt idx="12">
                  <c:v>149.65987352196416</c:v>
                </c:pt>
                <c:pt idx="13">
                  <c:v>139.99649259651142</c:v>
                </c:pt>
                <c:pt idx="14">
                  <c:v>152.71362580535538</c:v>
                </c:pt>
                <c:pt idx="15">
                  <c:v>151.20074535522966</c:v>
                </c:pt>
                <c:pt idx="16">
                  <c:v>138.70841968055259</c:v>
                </c:pt>
                <c:pt idx="17">
                  <c:v>154.69254697684224</c:v>
                </c:pt>
                <c:pt idx="18">
                  <c:v>139.87913836909098</c:v>
                </c:pt>
                <c:pt idx="19">
                  <c:v>139.56749304744039</c:v>
                </c:pt>
                <c:pt idx="20">
                  <c:v>143.43083001226699</c:v>
                </c:pt>
                <c:pt idx="21">
                  <c:v>157.58111379396078</c:v>
                </c:pt>
                <c:pt idx="22">
                  <c:v>166.79281771885584</c:v>
                </c:pt>
                <c:pt idx="23">
                  <c:v>161.01401551888802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7BF1-4E06-9044-F59233064038}"/>
            </c:ext>
          </c:extLst>
        </c:ser>
        <c:ser>
          <c:idx val="1"/>
          <c:order val="1"/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5"/>
              <c:layout>
                <c:manualLayout>
                  <c:x val="-8.0066283105340308E-2"/>
                  <c:y val="-6.00609810129752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BF1-4E06-9044-F59233064038}"/>
                </c:ext>
              </c:extLst>
            </c:dLbl>
            <c:dLbl>
              <c:idx val="7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BF1-4E06-9044-F59233064038}"/>
                </c:ext>
              </c:extLst>
            </c:dLbl>
            <c:dLbl>
              <c:idx val="1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BF1-4E06-9044-F59233064038}"/>
                </c:ext>
              </c:extLst>
            </c:dLbl>
            <c:dLbl>
              <c:idx val="2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BF1-4E06-9044-F59233064038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2060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'TG PN'!$A$3:$A$26</c:f>
              <c:numCache>
                <c:formatCode>General</c:formatCode>
                <c:ptCount val="24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</c:numCache>
            </c:numRef>
          </c:cat>
          <c:val>
            <c:numRef>
              <c:f>'TG PN'!$W$3:$W$26</c:f>
              <c:numCache>
                <c:formatCode>General</c:formatCode>
                <c:ptCount val="24"/>
                <c:pt idx="0">
                  <c:v>89.859414676042107</c:v>
                </c:pt>
                <c:pt idx="2">
                  <c:v>71.37868625809385</c:v>
                </c:pt>
                <c:pt idx="3">
                  <c:v>74.100596916643951</c:v>
                </c:pt>
                <c:pt idx="4">
                  <c:v>90.14584510956557</c:v>
                </c:pt>
                <c:pt idx="5">
                  <c:v>100</c:v>
                </c:pt>
                <c:pt idx="6">
                  <c:v>158.35076368671986</c:v>
                </c:pt>
                <c:pt idx="7">
                  <c:v>216.96377381809043</c:v>
                </c:pt>
                <c:pt idx="8">
                  <c:v>173.83465592975961</c:v>
                </c:pt>
                <c:pt idx="9">
                  <c:v>209.312465978766</c:v>
                </c:pt>
                <c:pt idx="11">
                  <c:v>244.72405240099403</c:v>
                </c:pt>
                <c:pt idx="12">
                  <c:v>267.81860511900271</c:v>
                </c:pt>
                <c:pt idx="13">
                  <c:v>359.34067715436981</c:v>
                </c:pt>
                <c:pt idx="14">
                  <c:v>320.13158124507987</c:v>
                </c:pt>
                <c:pt idx="15">
                  <c:v>305.40550672962439</c:v>
                </c:pt>
                <c:pt idx="16">
                  <c:v>308.22996820838978</c:v>
                </c:pt>
                <c:pt idx="17">
                  <c:v>315.95855053784828</c:v>
                </c:pt>
                <c:pt idx="18">
                  <c:v>308.9267427420134</c:v>
                </c:pt>
                <c:pt idx="19">
                  <c:v>297.00597325193849</c:v>
                </c:pt>
                <c:pt idx="20">
                  <c:v>364.52438487031964</c:v>
                </c:pt>
                <c:pt idx="21">
                  <c:v>400.17853333581456</c:v>
                </c:pt>
                <c:pt idx="22">
                  <c:v>437.84518896312943</c:v>
                </c:pt>
                <c:pt idx="23">
                  <c:v>457.18639242046078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7BF1-4E06-9044-F592330640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1619247"/>
        <c:axId val="591623823"/>
      </c:lineChart>
      <c:catAx>
        <c:axId val="5916192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s-AR"/>
          </a:p>
        </c:txPr>
        <c:crossAx val="591623823"/>
        <c:crosses val="autoZero"/>
        <c:auto val="1"/>
        <c:lblAlgn val="ctr"/>
        <c:lblOffset val="100"/>
        <c:noMultiLvlLbl val="0"/>
      </c:catAx>
      <c:valAx>
        <c:axId val="591623823"/>
        <c:scaling>
          <c:orientation val="minMax"/>
          <c:min val="0.1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s-AR"/>
          </a:p>
        </c:txPr>
        <c:crossAx val="591619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Cambria" panose="02040503050406030204" pitchFamily="18" charset="0"/>
          <a:ea typeface="Cambria" panose="020405030504060302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2060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r>
              <a:rPr lang="es-AR" b="1">
                <a:solidFill>
                  <a:srgbClr val="002060"/>
                </a:solidFill>
              </a:rPr>
              <a:t>Ganancia</a:t>
            </a:r>
            <a:r>
              <a:rPr lang="es-AR" b="1" baseline="0">
                <a:solidFill>
                  <a:srgbClr val="002060"/>
                </a:solidFill>
              </a:rPr>
              <a:t> desp de impuestos e intereses / Patrimonio Neto (Aprox)</a:t>
            </a:r>
            <a:endParaRPr lang="es-AR" b="1">
              <a:solidFill>
                <a:srgbClr val="002060"/>
              </a:solidFill>
            </a:endParaRPr>
          </a:p>
        </c:rich>
      </c:tx>
      <c:layout>
        <c:manualLayout>
          <c:xMode val="edge"/>
          <c:yMode val="edge"/>
          <c:x val="0.1495555555555555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2060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BAC-4708-A3F7-E9859B201F20}"/>
                </c:ext>
              </c:extLst>
            </c:dLbl>
            <c:dLbl>
              <c:idx val="7"/>
              <c:layout>
                <c:manualLayout>
                  <c:x val="-7.5000000000000108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BAC-4708-A3F7-E9859B201F20}"/>
                </c:ext>
              </c:extLst>
            </c:dLbl>
            <c:dLbl>
              <c:idx val="13"/>
              <c:layout>
                <c:manualLayout>
                  <c:x val="-7.5000000000000108E-2"/>
                  <c:y val="-4.6296296296296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BAC-4708-A3F7-E9859B201F20}"/>
                </c:ext>
              </c:extLst>
            </c:dLbl>
            <c:dLbl>
              <c:idx val="17"/>
              <c:layout>
                <c:manualLayout>
                  <c:x val="0"/>
                  <c:y val="-5.55555555555556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BAC-4708-A3F7-E9859B201F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'TG PN'!$A$9:$A$26</c:f>
              <c:numCache>
                <c:formatCode>General</c:formatCode>
                <c:ptCount val="18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  <c:pt idx="17">
                  <c:v>2024</c:v>
                </c:pt>
              </c:numCache>
            </c:numRef>
          </c:cat>
          <c:val>
            <c:numRef>
              <c:f>'TG PN'!$Y$9:$Y$26</c:f>
              <c:numCache>
                <c:formatCode>0%</c:formatCode>
                <c:ptCount val="18"/>
                <c:pt idx="0">
                  <c:v>3.5123467395541685</c:v>
                </c:pt>
                <c:pt idx="1">
                  <c:v>4.3357410028955039</c:v>
                </c:pt>
                <c:pt idx="2">
                  <c:v>5.6600644481219042</c:v>
                </c:pt>
                <c:pt idx="3">
                  <c:v>4.4472301739593174</c:v>
                </c:pt>
                <c:pt idx="4">
                  <c:v>8.9516876096555382</c:v>
                </c:pt>
                <c:pt idx="5">
                  <c:v>11.536795229882465</c:v>
                </c:pt>
                <c:pt idx="6">
                  <c:v>13.688931954863207</c:v>
                </c:pt>
                <c:pt idx="7">
                  <c:v>14.578658257042592</c:v>
                </c:pt>
                <c:pt idx="8">
                  <c:v>9.4165042419008387</c:v>
                </c:pt>
                <c:pt idx="9">
                  <c:v>13.136804139681312</c:v>
                </c:pt>
                <c:pt idx="10">
                  <c:v>4.7539239113898715</c:v>
                </c:pt>
                <c:pt idx="11">
                  <c:v>3.2737470968278113</c:v>
                </c:pt>
                <c:pt idx="12">
                  <c:v>4.9553683744096011</c:v>
                </c:pt>
                <c:pt idx="13">
                  <c:v>5.6184291218957423</c:v>
                </c:pt>
                <c:pt idx="14">
                  <c:v>3.5284510938873384</c:v>
                </c:pt>
                <c:pt idx="15">
                  <c:v>3.8247200479248415</c:v>
                </c:pt>
                <c:pt idx="16">
                  <c:v>6.3297988240071206</c:v>
                </c:pt>
                <c:pt idx="17">
                  <c:v>6.0935458029724918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9BAC-4708-A3F7-E9859B201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6668511"/>
        <c:axId val="717956223"/>
      </c:lineChart>
      <c:catAx>
        <c:axId val="586668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s-AR"/>
          </a:p>
        </c:txPr>
        <c:crossAx val="717956223"/>
        <c:crosses val="autoZero"/>
        <c:auto val="1"/>
        <c:lblAlgn val="ctr"/>
        <c:lblOffset val="100"/>
        <c:noMultiLvlLbl val="0"/>
      </c:catAx>
      <c:valAx>
        <c:axId val="717956223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s-AR"/>
          </a:p>
        </c:txPr>
        <c:crossAx val="586668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Cambria" panose="02040503050406030204" pitchFamily="18" charset="0"/>
          <a:ea typeface="Cambria" panose="020405030504060302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2060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r>
              <a:rPr lang="es-AR" b="1">
                <a:solidFill>
                  <a:srgbClr val="002060"/>
                </a:solidFill>
              </a:rPr>
              <a:t>Tasa de ganancia capital propio desp de la inversión en capital fijo</a:t>
            </a:r>
          </a:p>
        </c:rich>
      </c:tx>
      <c:layout>
        <c:manualLayout>
          <c:xMode val="edge"/>
          <c:yMode val="edge"/>
          <c:x val="0.11622222222222223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2060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5555555555555809E-3"/>
                  <c:y val="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E36-42FE-A259-54D8D002EEE3}"/>
                </c:ext>
              </c:extLst>
            </c:dLbl>
            <c:dLbl>
              <c:idx val="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E36-42FE-A259-54D8D002EEE3}"/>
                </c:ext>
              </c:extLst>
            </c:dLbl>
            <c:dLbl>
              <c:idx val="7"/>
              <c:layout>
                <c:manualLayout>
                  <c:x val="-8.611111111111111E-2"/>
                  <c:y val="5.55555555555553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E36-42FE-A259-54D8D002EEE3}"/>
                </c:ext>
              </c:extLst>
            </c:dLbl>
            <c:dLbl>
              <c:idx val="1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E36-42FE-A259-54D8D002EEE3}"/>
                </c:ext>
              </c:extLst>
            </c:dLbl>
            <c:dLbl>
              <c:idx val="13"/>
              <c:layout>
                <c:manualLayout>
                  <c:x val="-5.5555555555555552E-2"/>
                  <c:y val="-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E36-42FE-A259-54D8D002EEE3}"/>
                </c:ext>
              </c:extLst>
            </c:dLbl>
            <c:dLbl>
              <c:idx val="17"/>
              <c:layout>
                <c:manualLayout>
                  <c:x val="0"/>
                  <c:y val="-5.55555555555556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E36-42FE-A259-54D8D002EE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'TG PN'!$A$9:$A$26</c:f>
              <c:numCache>
                <c:formatCode>General</c:formatCode>
                <c:ptCount val="18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  <c:pt idx="17">
                  <c:v>2024</c:v>
                </c:pt>
              </c:numCache>
            </c:numRef>
          </c:cat>
          <c:val>
            <c:numRef>
              <c:f>'TG PN'!$Z$9:$Z$26</c:f>
              <c:numCache>
                <c:formatCode>0%</c:formatCode>
                <c:ptCount val="18"/>
                <c:pt idx="0">
                  <c:v>6.0268688198684015E-2</c:v>
                </c:pt>
                <c:pt idx="1">
                  <c:v>6.8178923350564469E-2</c:v>
                </c:pt>
                <c:pt idx="2">
                  <c:v>8.8245669257938059E-2</c:v>
                </c:pt>
                <c:pt idx="3">
                  <c:v>0.12133277039743941</c:v>
                </c:pt>
                <c:pt idx="4">
                  <c:v>0.11171077942011429</c:v>
                </c:pt>
                <c:pt idx="5">
                  <c:v>-5.3801888373208269E-2</c:v>
                </c:pt>
                <c:pt idx="6">
                  <c:v>-0.13899147818927188</c:v>
                </c:pt>
                <c:pt idx="7">
                  <c:v>-0.3059723803813939</c:v>
                </c:pt>
                <c:pt idx="8">
                  <c:v>-2.4255648674321818E-2</c:v>
                </c:pt>
                <c:pt idx="9">
                  <c:v>-5.8807850515553489E-3</c:v>
                </c:pt>
                <c:pt idx="10">
                  <c:v>0.12974153751927686</c:v>
                </c:pt>
                <c:pt idx="11">
                  <c:v>0.21214328691728088</c:v>
                </c:pt>
                <c:pt idx="12">
                  <c:v>8.4229510950586534E-2</c:v>
                </c:pt>
                <c:pt idx="13">
                  <c:v>3.4340413519527865E-2</c:v>
                </c:pt>
                <c:pt idx="14">
                  <c:v>5.8018617106412977E-2</c:v>
                </c:pt>
                <c:pt idx="15">
                  <c:v>8.9854237123365807E-2</c:v>
                </c:pt>
                <c:pt idx="16">
                  <c:v>2.0427180503912637E-2</c:v>
                </c:pt>
                <c:pt idx="17">
                  <c:v>6.6795853588570972E-2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8E36-42FE-A259-54D8D002EEE3}"/>
            </c:ext>
          </c:extLst>
        </c:ser>
        <c:ser>
          <c:idx val="1"/>
          <c:order val="1"/>
          <c:tx>
            <c:v>Promedio</c:v>
          </c:tx>
          <c:spPr>
            <a:ln w="19050" cap="rnd">
              <a:solidFill>
                <a:schemeClr val="bg1">
                  <a:lumMod val="50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E36-42FE-A259-54D8D002EEE3}"/>
                </c:ext>
              </c:extLst>
            </c:dLbl>
            <c:dLbl>
              <c:idx val="7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E36-42FE-A259-54D8D002EE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'TG PN'!$AB$9:$AB$26</c:f>
              <c:numCache>
                <c:formatCode>0%</c:formatCode>
                <c:ptCount val="18"/>
                <c:pt idx="0">
                  <c:v>3.4243627065773531E-2</c:v>
                </c:pt>
                <c:pt idx="1">
                  <c:v>3.4243627065773531E-2</c:v>
                </c:pt>
                <c:pt idx="2">
                  <c:v>3.4243627065773531E-2</c:v>
                </c:pt>
                <c:pt idx="3">
                  <c:v>3.4243627065773531E-2</c:v>
                </c:pt>
                <c:pt idx="4">
                  <c:v>3.4243627065773531E-2</c:v>
                </c:pt>
                <c:pt idx="5">
                  <c:v>3.4243627065773531E-2</c:v>
                </c:pt>
                <c:pt idx="6">
                  <c:v>3.4243627065773531E-2</c:v>
                </c:pt>
                <c:pt idx="7">
                  <c:v>3.4243627065773531E-2</c:v>
                </c:pt>
                <c:pt idx="8">
                  <c:v>3.4243627065773531E-2</c:v>
                </c:pt>
                <c:pt idx="9">
                  <c:v>3.4243627065773531E-2</c:v>
                </c:pt>
                <c:pt idx="10">
                  <c:v>3.4243627065773531E-2</c:v>
                </c:pt>
                <c:pt idx="11">
                  <c:v>3.4243627065773531E-2</c:v>
                </c:pt>
                <c:pt idx="12">
                  <c:v>3.4243627065773531E-2</c:v>
                </c:pt>
                <c:pt idx="13">
                  <c:v>3.4243627065773531E-2</c:v>
                </c:pt>
                <c:pt idx="14">
                  <c:v>3.4243627065773531E-2</c:v>
                </c:pt>
                <c:pt idx="15">
                  <c:v>3.4243627065773531E-2</c:v>
                </c:pt>
                <c:pt idx="16">
                  <c:v>3.4243627065773531E-2</c:v>
                </c:pt>
                <c:pt idx="17">
                  <c:v>3.4243627065773531E-2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E36-42FE-A259-54D8D002EE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6668511"/>
        <c:axId val="717956223"/>
      </c:lineChart>
      <c:catAx>
        <c:axId val="586668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s-AR"/>
          </a:p>
        </c:txPr>
        <c:crossAx val="717956223"/>
        <c:crosses val="autoZero"/>
        <c:auto val="1"/>
        <c:lblAlgn val="ctr"/>
        <c:lblOffset val="100"/>
        <c:noMultiLvlLbl val="0"/>
      </c:catAx>
      <c:valAx>
        <c:axId val="717956223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s-AR"/>
          </a:p>
        </c:txPr>
        <c:crossAx val="586668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8.9402449693788327E-2"/>
          <c:y val="0.1873636628754739"/>
          <c:w val="0.20902799650043744"/>
          <c:h val="7.61315252260134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Cambria" panose="02040503050406030204" pitchFamily="18" charset="0"/>
          <a:ea typeface="Cambria" panose="020405030504060302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2060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r>
              <a:rPr lang="es-AR" b="1">
                <a:solidFill>
                  <a:srgbClr val="002060"/>
                </a:solidFill>
              </a:rPr>
              <a:t>Tasas de ganancia</a:t>
            </a:r>
          </a:p>
        </c:rich>
      </c:tx>
      <c:layout>
        <c:manualLayout>
          <c:xMode val="edge"/>
          <c:yMode val="edge"/>
          <c:x val="0.39122222222222225"/>
          <c:y val="1.38887706604242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2060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9.8861329833770772E-2"/>
          <c:y val="0.23797297297297298"/>
          <c:w val="0.80095669291338589"/>
          <c:h val="0.71247747747747747"/>
        </c:manualLayout>
      </c:layout>
      <c:lineChart>
        <c:grouping val="standard"/>
        <c:varyColors val="0"/>
        <c:ser>
          <c:idx val="0"/>
          <c:order val="0"/>
          <c:tx>
            <c:strRef>
              <c:f>'TG PN'!$Z$2</c:f>
              <c:strCache>
                <c:ptCount val="1"/>
                <c:pt idx="0">
                  <c:v>Tasa de ganancia capital propio desp de FBCF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5555555555555809E-3"/>
                  <c:y val="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AB0-4752-910B-812DA68B3EE9}"/>
                </c:ext>
              </c:extLst>
            </c:dLbl>
            <c:dLbl>
              <c:idx val="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AB0-4752-910B-812DA68B3EE9}"/>
                </c:ext>
              </c:extLst>
            </c:dLbl>
            <c:dLbl>
              <c:idx val="7"/>
              <c:layout>
                <c:manualLayout>
                  <c:x val="-8.611111111111111E-2"/>
                  <c:y val="5.55555555555553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AB0-4752-910B-812DA68B3EE9}"/>
                </c:ext>
              </c:extLst>
            </c:dLbl>
            <c:dLbl>
              <c:idx val="1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AB0-4752-910B-812DA68B3EE9}"/>
                </c:ext>
              </c:extLst>
            </c:dLbl>
            <c:dLbl>
              <c:idx val="13"/>
              <c:layout>
                <c:manualLayout>
                  <c:x val="-5.5555555555555552E-2"/>
                  <c:y val="-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AB0-4752-910B-812DA68B3EE9}"/>
                </c:ext>
              </c:extLst>
            </c:dLbl>
            <c:dLbl>
              <c:idx val="17"/>
              <c:layout>
                <c:manualLayout>
                  <c:x val="0"/>
                  <c:y val="-5.55555555555556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AB0-4752-910B-812DA68B3E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'TG PN'!$A$9:$A$26</c:f>
              <c:numCache>
                <c:formatCode>General</c:formatCode>
                <c:ptCount val="18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  <c:pt idx="17">
                  <c:v>2024</c:v>
                </c:pt>
              </c:numCache>
            </c:numRef>
          </c:cat>
          <c:val>
            <c:numRef>
              <c:f>'TG PN'!$Z$9:$Z$26</c:f>
              <c:numCache>
                <c:formatCode>0%</c:formatCode>
                <c:ptCount val="18"/>
                <c:pt idx="0">
                  <c:v>6.0268688198684015E-2</c:v>
                </c:pt>
                <c:pt idx="1">
                  <c:v>6.8178923350564469E-2</c:v>
                </c:pt>
                <c:pt idx="2">
                  <c:v>8.8245669257938059E-2</c:v>
                </c:pt>
                <c:pt idx="3">
                  <c:v>0.12133277039743941</c:v>
                </c:pt>
                <c:pt idx="4">
                  <c:v>0.11171077942011429</c:v>
                </c:pt>
                <c:pt idx="5">
                  <c:v>-5.3801888373208269E-2</c:v>
                </c:pt>
                <c:pt idx="6">
                  <c:v>-0.13899147818927188</c:v>
                </c:pt>
                <c:pt idx="7">
                  <c:v>-0.3059723803813939</c:v>
                </c:pt>
                <c:pt idx="8">
                  <c:v>-2.4255648674321818E-2</c:v>
                </c:pt>
                <c:pt idx="9">
                  <c:v>-5.8807850515553489E-3</c:v>
                </c:pt>
                <c:pt idx="10">
                  <c:v>0.12974153751927686</c:v>
                </c:pt>
                <c:pt idx="11">
                  <c:v>0.21214328691728088</c:v>
                </c:pt>
                <c:pt idx="12">
                  <c:v>8.4229510950586534E-2</c:v>
                </c:pt>
                <c:pt idx="13">
                  <c:v>3.4340413519527865E-2</c:v>
                </c:pt>
                <c:pt idx="14">
                  <c:v>5.8018617106412977E-2</c:v>
                </c:pt>
                <c:pt idx="15">
                  <c:v>8.9854237123365807E-2</c:v>
                </c:pt>
                <c:pt idx="16">
                  <c:v>2.0427180503912637E-2</c:v>
                </c:pt>
                <c:pt idx="17">
                  <c:v>6.6795853588570972E-2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FAB0-4752-910B-812DA68B3EE9}"/>
            </c:ext>
          </c:extLst>
        </c:ser>
        <c:ser>
          <c:idx val="1"/>
          <c:order val="1"/>
          <c:tx>
            <c:strRef>
              <c:f>'TG PN'!$X$2</c:f>
              <c:strCache>
                <c:ptCount val="1"/>
                <c:pt idx="0">
                  <c:v>Tasa de ganancia manuf</c:v>
                </c:pt>
              </c:strCache>
            </c:strRef>
          </c:tx>
          <c:spPr>
            <a:ln w="28575" cap="rnd">
              <a:solidFill>
                <a:srgbClr val="002060">
                  <a:alpha val="97000"/>
                </a:srgbClr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AB0-4752-910B-812DA68B3EE9}"/>
                </c:ext>
              </c:extLst>
            </c:dLbl>
            <c:dLbl>
              <c:idx val="7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AB0-4752-910B-812DA68B3E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'TG PN'!$X$9:$X$26</c:f>
              <c:numCache>
                <c:formatCode>0.0%</c:formatCode>
                <c:ptCount val="18"/>
                <c:pt idx="0">
                  <c:v>0.20411715173238273</c:v>
                </c:pt>
                <c:pt idx="1">
                  <c:v>0.18442417716988432</c:v>
                </c:pt>
                <c:pt idx="2">
                  <c:v>0.14116909098012231</c:v>
                </c:pt>
                <c:pt idx="3">
                  <c:v>0.17715348229994973</c:v>
                </c:pt>
                <c:pt idx="4">
                  <c:v>9.480203663437882E-2</c:v>
                </c:pt>
                <c:pt idx="5">
                  <c:v>7.5412325971362396E-2</c:v>
                </c:pt>
                <c:pt idx="6">
                  <c:v>6.691485840508439E-2</c:v>
                </c:pt>
                <c:pt idx="7">
                  <c:v>6.5803130363984191E-2</c:v>
                </c:pt>
                <c:pt idx="8">
                  <c:v>9.1845157039084926E-2</c:v>
                </c:pt>
                <c:pt idx="9">
                  <c:v>6.9469729153650739E-2</c:v>
                </c:pt>
                <c:pt idx="10">
                  <c:v>0.174220418387144</c:v>
                </c:pt>
                <c:pt idx="11">
                  <c:v>0.24285991568770546</c:v>
                </c:pt>
                <c:pt idx="12">
                  <c:v>0.16886688358100693</c:v>
                </c:pt>
                <c:pt idx="13">
                  <c:v>0.14670145622492484</c:v>
                </c:pt>
                <c:pt idx="14">
                  <c:v>0.23278643349120004</c:v>
                </c:pt>
                <c:pt idx="15">
                  <c:v>0.21851338737517986</c:v>
                </c:pt>
                <c:pt idx="16">
                  <c:v>0.13905213001464087</c:v>
                </c:pt>
                <c:pt idx="17">
                  <c:v>0.14549673751769573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FAB0-4752-910B-812DA68B3E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6668511"/>
        <c:axId val="717956223"/>
      </c:lineChart>
      <c:catAx>
        <c:axId val="586668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s-AR"/>
          </a:p>
        </c:txPr>
        <c:crossAx val="717956223"/>
        <c:crosses val="autoZero"/>
        <c:auto val="1"/>
        <c:lblAlgn val="ctr"/>
        <c:lblOffset val="100"/>
        <c:noMultiLvlLbl val="0"/>
      </c:catAx>
      <c:valAx>
        <c:axId val="717956223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s-AR"/>
          </a:p>
        </c:txPr>
        <c:crossAx val="586668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3.6111111111111108E-2"/>
          <c:y val="7.1255231609562333E-2"/>
          <c:w val="0.46388888888888891"/>
          <c:h val="0.224223593672412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Cambria" panose="02040503050406030204" pitchFamily="18" charset="0"/>
          <a:ea typeface="Cambria" panose="020405030504060302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2060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r>
              <a:rPr lang="es-AR" b="1">
                <a:solidFill>
                  <a:srgbClr val="002060"/>
                </a:solidFill>
              </a:rPr>
              <a:t>Tasas de ganancia</a:t>
            </a:r>
          </a:p>
        </c:rich>
      </c:tx>
      <c:layout>
        <c:manualLayout>
          <c:xMode val="edge"/>
          <c:yMode val="edge"/>
          <c:x val="0.37733333333333335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2060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0.10952821522309711"/>
          <c:y val="0.32619387103639075"/>
          <c:w val="0.86251202974628183"/>
          <c:h val="0.5290306448180464"/>
        </c:manualLayout>
      </c:layout>
      <c:lineChart>
        <c:grouping val="standard"/>
        <c:varyColors val="0"/>
        <c:ser>
          <c:idx val="0"/>
          <c:order val="0"/>
          <c:tx>
            <c:strRef>
              <c:f>'TG PN'!$X$2</c:f>
              <c:strCache>
                <c:ptCount val="1"/>
                <c:pt idx="0">
                  <c:v>Tasa de ganancia manuf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CF-43EC-9306-B1AEC859CC95}"/>
                </c:ext>
              </c:extLst>
            </c:dLbl>
            <c:dLbl>
              <c:idx val="7"/>
              <c:layout>
                <c:manualLayout>
                  <c:x val="-7.5000000000000108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CF-43EC-9306-B1AEC859CC95}"/>
                </c:ext>
              </c:extLst>
            </c:dLbl>
            <c:dLbl>
              <c:idx val="13"/>
              <c:layout>
                <c:manualLayout>
                  <c:x val="-6.9444444444444448E-2"/>
                  <c:y val="6.18117329928353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CF-43EC-9306-B1AEC859CC95}"/>
                </c:ext>
              </c:extLst>
            </c:dLbl>
            <c:dLbl>
              <c:idx val="17"/>
              <c:layout>
                <c:manualLayout>
                  <c:x val="-6.3888888888888995E-2"/>
                  <c:y val="9.75977158260622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CF-43EC-9306-B1AEC859CC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'TG PN'!$A$3:$A$26</c:f>
              <c:numCache>
                <c:formatCode>General</c:formatCode>
                <c:ptCount val="24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</c:numCache>
            </c:numRef>
          </c:cat>
          <c:val>
            <c:numRef>
              <c:f>'TG PN'!$X$3:$X$26</c:f>
              <c:numCache>
                <c:formatCode>0.0%</c:formatCode>
                <c:ptCount val="24"/>
                <c:pt idx="0">
                  <c:v>0.12760603054173855</c:v>
                </c:pt>
                <c:pt idx="1">
                  <c:v>0.26715959115094784</c:v>
                </c:pt>
                <c:pt idx="2">
                  <c:v>0.19274061943691359</c:v>
                </c:pt>
                <c:pt idx="3">
                  <c:v>0.26381692963759656</c:v>
                </c:pt>
                <c:pt idx="4">
                  <c:v>0.22872609363823235</c:v>
                </c:pt>
                <c:pt idx="5">
                  <c:v>0.2233534197964662</c:v>
                </c:pt>
                <c:pt idx="6">
                  <c:v>0.20411715173238273</c:v>
                </c:pt>
                <c:pt idx="7">
                  <c:v>0.18442417716988432</c:v>
                </c:pt>
                <c:pt idx="8">
                  <c:v>0.14116909098012231</c:v>
                </c:pt>
                <c:pt idx="9">
                  <c:v>0.17715348229994973</c:v>
                </c:pt>
                <c:pt idx="10">
                  <c:v>9.480203663437882E-2</c:v>
                </c:pt>
                <c:pt idx="11">
                  <c:v>7.5412325971362396E-2</c:v>
                </c:pt>
                <c:pt idx="12">
                  <c:v>6.691485840508439E-2</c:v>
                </c:pt>
                <c:pt idx="13">
                  <c:v>6.5803130363984191E-2</c:v>
                </c:pt>
                <c:pt idx="14">
                  <c:v>9.1845157039084926E-2</c:v>
                </c:pt>
                <c:pt idx="15">
                  <c:v>6.9469729153650739E-2</c:v>
                </c:pt>
                <c:pt idx="16">
                  <c:v>0.174220418387144</c:v>
                </c:pt>
                <c:pt idx="17">
                  <c:v>0.24285991568770546</c:v>
                </c:pt>
                <c:pt idx="18">
                  <c:v>0.16886688358100693</c:v>
                </c:pt>
                <c:pt idx="19">
                  <c:v>0.14670145622492484</c:v>
                </c:pt>
                <c:pt idx="20">
                  <c:v>0.23278643349120004</c:v>
                </c:pt>
                <c:pt idx="21">
                  <c:v>0.21851338737517986</c:v>
                </c:pt>
                <c:pt idx="22">
                  <c:v>0.13905213001464087</c:v>
                </c:pt>
                <c:pt idx="23">
                  <c:v>0.14549673751769573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97CF-43EC-9306-B1AEC859CC95}"/>
            </c:ext>
          </c:extLst>
        </c:ser>
        <c:ser>
          <c:idx val="1"/>
          <c:order val="1"/>
          <c:tx>
            <c:strRef>
              <c:f>'TG PN'!$AA$2</c:f>
              <c:strCache>
                <c:ptCount val="1"/>
                <c:pt idx="0">
                  <c:v>Tasa de ganancia PN (sobre capital fijo menos endeudamiento)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7CF-43EC-9306-B1AEC859CC95}"/>
                </c:ext>
              </c:extLst>
            </c:dLbl>
            <c:dLbl>
              <c:idx val="17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7CF-43EC-9306-B1AEC859CC95}"/>
                </c:ext>
              </c:extLst>
            </c:dLbl>
            <c:dLbl>
              <c:idx val="2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7CF-43EC-9306-B1AEC859CC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2060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'TG PN'!$A$3:$A$26</c:f>
              <c:numCache>
                <c:formatCode>General</c:formatCode>
                <c:ptCount val="24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</c:numCache>
            </c:numRef>
          </c:cat>
          <c:val>
            <c:numRef>
              <c:f>'TG PN'!$AA$3:$AA$26</c:f>
              <c:numCache>
                <c:formatCode>General</c:formatCode>
                <c:ptCount val="24"/>
                <c:pt idx="6" formatCode="0%">
                  <c:v>0.4634794467269665</c:v>
                </c:pt>
                <c:pt idx="7" formatCode="0%">
                  <c:v>0.35089197375034498</c:v>
                </c:pt>
                <c:pt idx="8" formatCode="0%">
                  <c:v>0.28617669221522801</c:v>
                </c:pt>
                <c:pt idx="9" formatCode="0%">
                  <c:v>0.3603707002870824</c:v>
                </c:pt>
                <c:pt idx="11" formatCode="0%">
                  <c:v>0.14625846467038925</c:v>
                </c:pt>
                <c:pt idx="12" formatCode="0%">
                  <c:v>0.12010729864933423</c:v>
                </c:pt>
                <c:pt idx="13" formatCode="0%">
                  <c:v>9.6885734575882732E-2</c:v>
                </c:pt>
                <c:pt idx="14" formatCode="0%">
                  <c:v>0.15277044486828872</c:v>
                </c:pt>
                <c:pt idx="15" formatCode="0%">
                  <c:v>0.1093248554093436</c:v>
                </c:pt>
                <c:pt idx="16" formatCode="0%">
                  <c:v>0.30056840437082399</c:v>
                </c:pt>
                <c:pt idx="17" formatCode="0%">
                  <c:v>0.44670824482984633</c:v>
                </c:pt>
                <c:pt idx="18" formatCode="0%">
                  <c:v>0.28980148215733514</c:v>
                </c:pt>
                <c:pt idx="19" formatCode="0%">
                  <c:v>0.24738151043084847</c:v>
                </c:pt>
                <c:pt idx="20" formatCode="0%">
                  <c:v>0.37706649120036417</c:v>
                </c:pt>
                <c:pt idx="21" formatCode="0%">
                  <c:v>0.36451094071040258</c:v>
                </c:pt>
                <c:pt idx="22" formatCode="0%">
                  <c:v>0.21471857169434674</c:v>
                </c:pt>
                <c:pt idx="23" formatCode="0%">
                  <c:v>0.21976912251055364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97CF-43EC-9306-B1AEC859C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6668511"/>
        <c:axId val="717956223"/>
      </c:lineChart>
      <c:catAx>
        <c:axId val="586668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s-AR"/>
          </a:p>
        </c:txPr>
        <c:crossAx val="717956223"/>
        <c:crosses val="autoZero"/>
        <c:auto val="1"/>
        <c:lblAlgn val="ctr"/>
        <c:lblOffset val="100"/>
        <c:noMultiLvlLbl val="0"/>
      </c:catAx>
      <c:valAx>
        <c:axId val="717956223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s-AR"/>
          </a:p>
        </c:txPr>
        <c:crossAx val="586668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"/>
          <c:y val="8.2766900759026749E-2"/>
          <c:w val="0.85295975503062116"/>
          <c:h val="0.142641696814925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Cambria" panose="02040503050406030204" pitchFamily="18" charset="0"/>
          <a:ea typeface="Cambria" panose="020405030504060302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2060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r>
              <a:rPr lang="es-AR" b="1">
                <a:solidFill>
                  <a:srgbClr val="002060"/>
                </a:solidFill>
              </a:rPr>
              <a:t>Abaratamiento por tc sobre ganancia desp de impuestos</a:t>
            </a:r>
          </a:p>
        </c:rich>
      </c:tx>
      <c:layout>
        <c:manualLayout>
          <c:xMode val="edge"/>
          <c:yMode val="edge"/>
          <c:x val="0.1495555555555555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2060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2777777777777778E-2"/>
                  <c:y val="-7.65765765765765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132-459B-9261-63A54BD8C32F}"/>
                </c:ext>
              </c:extLst>
            </c:dLbl>
            <c:dLbl>
              <c:idx val="7"/>
              <c:layout>
                <c:manualLayout>
                  <c:x val="-7.5000000000000108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132-459B-9261-63A54BD8C32F}"/>
                </c:ext>
              </c:extLst>
            </c:dLbl>
            <c:dLbl>
              <c:idx val="13"/>
              <c:layout>
                <c:manualLayout>
                  <c:x val="-7.5000000000000108E-2"/>
                  <c:y val="-4.6296296296296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132-459B-9261-63A54BD8C32F}"/>
                </c:ext>
              </c:extLst>
            </c:dLbl>
            <c:dLbl>
              <c:idx val="17"/>
              <c:layout>
                <c:manualLayout>
                  <c:x val="0"/>
                  <c:y val="-5.55555555555556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132-459B-9261-63A54BD8C32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'TG PN'!$A$9:$A$26</c:f>
              <c:numCache>
                <c:formatCode>General</c:formatCode>
                <c:ptCount val="18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  <c:pt idx="17">
                  <c:v>2024</c:v>
                </c:pt>
              </c:numCache>
            </c:numRef>
          </c:cat>
          <c:val>
            <c:numRef>
              <c:f>'TG PN'!$AH$8:$AH$26</c:f>
              <c:numCache>
                <c:formatCode>0%</c:formatCode>
                <c:ptCount val="19"/>
                <c:pt idx="0">
                  <c:v>2.4633990310244765E-2</c:v>
                </c:pt>
                <c:pt idx="1">
                  <c:v>2.4562945964312358E-2</c:v>
                </c:pt>
                <c:pt idx="2">
                  <c:v>2.9653969137991627E-2</c:v>
                </c:pt>
                <c:pt idx="3">
                  <c:v>4.5406057435520973E-2</c:v>
                </c:pt>
                <c:pt idx="4">
                  <c:v>3.4992256729706121E-2</c:v>
                </c:pt>
                <c:pt idx="5">
                  <c:v>7.5285885503565672E-2</c:v>
                </c:pt>
                <c:pt idx="6">
                  <c:v>0.10849176200187888</c:v>
                </c:pt>
                <c:pt idx="7">
                  <c:v>0.13099006063286653</c:v>
                </c:pt>
                <c:pt idx="8">
                  <c:v>9.4412795956810722E-2</c:v>
                </c:pt>
                <c:pt idx="9">
                  <c:v>5.5307814862479668E-2</c:v>
                </c:pt>
                <c:pt idx="10">
                  <c:v>7.4081669748767634E-2</c:v>
                </c:pt>
                <c:pt idx="11">
                  <c:v>3.2914022709166435E-2</c:v>
                </c:pt>
                <c:pt idx="12">
                  <c:v>2.4284232283108931E-2</c:v>
                </c:pt>
                <c:pt idx="13">
                  <c:v>2.9380215935783358E-2</c:v>
                </c:pt>
                <c:pt idx="14">
                  <c:v>2.7086148041850805E-2</c:v>
                </c:pt>
                <c:pt idx="15">
                  <c:v>1.1036433855679336E-2</c:v>
                </c:pt>
                <c:pt idx="16">
                  <c:v>1.5551666587292099E-2</c:v>
                </c:pt>
                <c:pt idx="17">
                  <c:v>4.3270364450906644E-2</c:v>
                </c:pt>
                <c:pt idx="18">
                  <c:v>3.7977635058470363E-2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A132-459B-9261-63A54BD8C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6668511"/>
        <c:axId val="717956223"/>
      </c:lineChart>
      <c:catAx>
        <c:axId val="586668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s-AR"/>
          </a:p>
        </c:txPr>
        <c:crossAx val="717956223"/>
        <c:crosses val="autoZero"/>
        <c:auto val="1"/>
        <c:lblAlgn val="ctr"/>
        <c:lblOffset val="100"/>
        <c:noMultiLvlLbl val="0"/>
      </c:catAx>
      <c:valAx>
        <c:axId val="717956223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s-AR"/>
          </a:p>
        </c:txPr>
        <c:crossAx val="586668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Cambria" panose="02040503050406030204" pitchFamily="18" charset="0"/>
          <a:ea typeface="Cambria" panose="020405030504060302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</xdr:row>
      <xdr:rowOff>0</xdr:rowOff>
    </xdr:from>
    <xdr:to>
      <xdr:col>4</xdr:col>
      <xdr:colOff>200025</xdr:colOff>
      <xdr:row>12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7397F01-7BEA-40E8-90CE-217AEE1894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390525</xdr:colOff>
      <xdr:row>0</xdr:row>
      <xdr:rowOff>9526</xdr:rowOff>
    </xdr:from>
    <xdr:to>
      <xdr:col>9</xdr:col>
      <xdr:colOff>514350</xdr:colOff>
      <xdr:row>11</xdr:row>
      <xdr:rowOff>123826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B1CFF08-3A2A-418B-BC52-91F4641AD2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12</xdr:row>
      <xdr:rowOff>124884</xdr:rowOff>
    </xdr:from>
    <xdr:to>
      <xdr:col>4</xdr:col>
      <xdr:colOff>571500</xdr:colOff>
      <xdr:row>26</xdr:row>
      <xdr:rowOff>86783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AFB908F-6A2C-4C42-84E7-1F6514BE4A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588434</xdr:colOff>
      <xdr:row>12</xdr:row>
      <xdr:rowOff>71967</xdr:rowOff>
    </xdr:from>
    <xdr:to>
      <xdr:col>9</xdr:col>
      <xdr:colOff>693208</xdr:colOff>
      <xdr:row>26</xdr:row>
      <xdr:rowOff>148168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AF1A488-23E4-4502-9862-3B02D81965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6</xdr:col>
      <xdr:colOff>0</xdr:colOff>
      <xdr:row>43</xdr:row>
      <xdr:rowOff>120650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6DD20F8-F550-4C27-8AF1-01AA894063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0</xdr:colOff>
      <xdr:row>28</xdr:row>
      <xdr:rowOff>0</xdr:rowOff>
    </xdr:from>
    <xdr:to>
      <xdr:col>12</xdr:col>
      <xdr:colOff>0</xdr:colOff>
      <xdr:row>43</xdr:row>
      <xdr:rowOff>120650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DB9BF3C-4FA7-4FC9-B685-86B5F7C706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44</xdr:row>
      <xdr:rowOff>105834</xdr:rowOff>
    </xdr:from>
    <xdr:to>
      <xdr:col>5</xdr:col>
      <xdr:colOff>497417</xdr:colOff>
      <xdr:row>58</xdr:row>
      <xdr:rowOff>120650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9FFA25EF-7159-4B73-872A-0877E64983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676275</xdr:colOff>
      <xdr:row>27</xdr:row>
      <xdr:rowOff>57150</xdr:rowOff>
    </xdr:from>
    <xdr:to>
      <xdr:col>3</xdr:col>
      <xdr:colOff>1181100</xdr:colOff>
      <xdr:row>40</xdr:row>
      <xdr:rowOff>176212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E1BA234-C729-4F40-8D16-79BA6442AB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314325</xdr:colOff>
      <xdr:row>42</xdr:row>
      <xdr:rowOff>28575</xdr:rowOff>
    </xdr:from>
    <xdr:to>
      <xdr:col>3</xdr:col>
      <xdr:colOff>819150</xdr:colOff>
      <xdr:row>55</xdr:row>
      <xdr:rowOff>147637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B342D9C-DF38-4F14-A01C-7ABAA1D5DF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57</xdr:row>
      <xdr:rowOff>0</xdr:rowOff>
    </xdr:from>
    <xdr:to>
      <xdr:col>3</xdr:col>
      <xdr:colOff>762000</xdr:colOff>
      <xdr:row>73</xdr:row>
      <xdr:rowOff>152400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6374668-709C-4998-9F16-F2B8D1E9D7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75</xdr:row>
      <xdr:rowOff>0</xdr:rowOff>
    </xdr:from>
    <xdr:to>
      <xdr:col>3</xdr:col>
      <xdr:colOff>762000</xdr:colOff>
      <xdr:row>91</xdr:row>
      <xdr:rowOff>152400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ADB8D776-EB47-4969-A778-E03FE4A4D1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93</xdr:row>
      <xdr:rowOff>0</xdr:rowOff>
    </xdr:from>
    <xdr:to>
      <xdr:col>3</xdr:col>
      <xdr:colOff>762000</xdr:colOff>
      <xdr:row>109</xdr:row>
      <xdr:rowOff>152400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B500566C-4E0D-4D7B-87EB-30FE19AD82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111</xdr:row>
      <xdr:rowOff>0</xdr:rowOff>
    </xdr:from>
    <xdr:to>
      <xdr:col>3</xdr:col>
      <xdr:colOff>762000</xdr:colOff>
      <xdr:row>127</xdr:row>
      <xdr:rowOff>152400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28ACCAFB-A37F-4CA5-9694-F19146A383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0</xdr:colOff>
      <xdr:row>28</xdr:row>
      <xdr:rowOff>0</xdr:rowOff>
    </xdr:from>
    <xdr:to>
      <xdr:col>9</xdr:col>
      <xdr:colOff>428625</xdr:colOff>
      <xdr:row>44</xdr:row>
      <xdr:rowOff>152400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5D86D018-5DB3-447F-B457-D0A1867446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iu.com.uy/wp-content/uploads/2026/04/Endeudamiento-industrial-N30_2-_Sem_2025.pdf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B61B0-A37F-4621-8F2A-D78DB77CDBC4}">
  <dimension ref="K2:K15"/>
  <sheetViews>
    <sheetView showGridLines="0" zoomScale="90" zoomScaleNormal="90" workbookViewId="0">
      <selection activeCell="J50" sqref="J50"/>
    </sheetView>
  </sheetViews>
  <sheetFormatPr baseColWidth="10" defaultRowHeight="14.25" x14ac:dyDescent="0.2"/>
  <cols>
    <col min="1" max="16384" width="11.42578125" style="3"/>
  </cols>
  <sheetData>
    <row r="2" spans="11:11" x14ac:dyDescent="0.2">
      <c r="K2" s="3" t="s">
        <v>303</v>
      </c>
    </row>
    <row r="15" spans="11:11" x14ac:dyDescent="0.2">
      <c r="K15" s="3" t="s">
        <v>304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4DD7D-02CB-4538-B50D-A44B6277FC97}">
  <dimension ref="B2:B5"/>
  <sheetViews>
    <sheetView showGridLines="0" workbookViewId="0">
      <selection activeCell="F11" sqref="F11"/>
    </sheetView>
  </sheetViews>
  <sheetFormatPr baseColWidth="10" defaultRowHeight="15" x14ac:dyDescent="0.25"/>
  <sheetData>
    <row r="2" spans="2:2" ht="15.75" x14ac:dyDescent="0.25">
      <c r="B2" s="16" t="s">
        <v>316</v>
      </c>
    </row>
    <row r="4" spans="2:2" x14ac:dyDescent="0.25">
      <c r="B4" s="17" t="s">
        <v>315</v>
      </c>
    </row>
    <row r="5" spans="2:2" x14ac:dyDescent="0.25">
      <c r="B5" s="15" t="s">
        <v>314</v>
      </c>
    </row>
  </sheetData>
  <hyperlinks>
    <hyperlink ref="B5" r:id="rId1" xr:uid="{56C4E9C6-6D58-4701-96C8-20B215A41514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4AF0E-81B6-44AA-A88B-0AFBB1E269EC}">
  <dimension ref="A1:AH27"/>
  <sheetViews>
    <sheetView showGridLines="0" tabSelected="1" zoomScale="80" zoomScaleNormal="80" workbookViewId="0">
      <pane xSplit="1" ySplit="2" topLeftCell="U18" activePane="bottomRight" state="frozen"/>
      <selection pane="topRight" activeCell="B1" sqref="B1"/>
      <selection pane="bottomLeft" activeCell="A3" sqref="A3"/>
      <selection pane="bottomRight" activeCell="AD28" sqref="AD28"/>
    </sheetView>
  </sheetViews>
  <sheetFormatPr baseColWidth="10" defaultRowHeight="12.75" x14ac:dyDescent="0.2"/>
  <cols>
    <col min="1" max="1" width="11.42578125" style="4"/>
    <col min="2" max="3" width="22.85546875" style="4" customWidth="1"/>
    <col min="4" max="6" width="19.5703125" style="4" customWidth="1"/>
    <col min="7" max="11" width="11.42578125" style="4"/>
    <col min="12" max="20" width="16.28515625" style="4" customWidth="1"/>
    <col min="21" max="33" width="11.42578125" style="4"/>
    <col min="34" max="34" width="13" style="4" bestFit="1" customWidth="1"/>
    <col min="35" max="16384" width="11.42578125" style="4"/>
  </cols>
  <sheetData>
    <row r="1" spans="1:34" x14ac:dyDescent="0.2">
      <c r="B1" s="4" t="s">
        <v>283</v>
      </c>
      <c r="C1" s="4" t="s">
        <v>283</v>
      </c>
      <c r="D1" s="4" t="s">
        <v>284</v>
      </c>
      <c r="E1" s="4" t="s">
        <v>283</v>
      </c>
      <c r="F1" s="4" t="s">
        <v>283</v>
      </c>
      <c r="G1" s="5" t="s">
        <v>287</v>
      </c>
      <c r="H1" s="5" t="s">
        <v>287</v>
      </c>
      <c r="I1" s="5"/>
      <c r="J1" s="4" t="s">
        <v>289</v>
      </c>
      <c r="L1" s="5" t="s">
        <v>287</v>
      </c>
      <c r="M1" s="5" t="s">
        <v>287</v>
      </c>
      <c r="N1" s="5" t="s">
        <v>287</v>
      </c>
      <c r="O1" s="5" t="s">
        <v>287</v>
      </c>
      <c r="P1" s="5" t="s">
        <v>287</v>
      </c>
      <c r="Q1" s="5" t="s">
        <v>287</v>
      </c>
      <c r="R1" s="5"/>
      <c r="S1" s="5" t="s">
        <v>287</v>
      </c>
      <c r="T1" s="5"/>
      <c r="AE1" s="4" t="s">
        <v>311</v>
      </c>
      <c r="AF1" s="4" t="s">
        <v>311</v>
      </c>
      <c r="AG1" s="4" t="s">
        <v>311</v>
      </c>
    </row>
    <row r="2" spans="1:34" ht="89.25" x14ac:dyDescent="0.2">
      <c r="B2" s="6" t="s">
        <v>144</v>
      </c>
      <c r="C2" s="6" t="s">
        <v>117</v>
      </c>
      <c r="D2" s="6" t="s">
        <v>144</v>
      </c>
      <c r="E2" s="6" t="s">
        <v>297</v>
      </c>
      <c r="F2" s="1" t="s">
        <v>96</v>
      </c>
      <c r="G2" s="6" t="s">
        <v>285</v>
      </c>
      <c r="H2" s="6" t="s">
        <v>286</v>
      </c>
      <c r="I2" s="6" t="s">
        <v>317</v>
      </c>
      <c r="J2" s="14" t="s">
        <v>288</v>
      </c>
      <c r="K2" s="14" t="s">
        <v>307</v>
      </c>
      <c r="L2" s="6" t="s">
        <v>144</v>
      </c>
      <c r="M2" s="6" t="s">
        <v>117</v>
      </c>
      <c r="N2" s="6" t="s">
        <v>293</v>
      </c>
      <c r="O2" s="6" t="s">
        <v>298</v>
      </c>
      <c r="P2" s="6" t="s">
        <v>294</v>
      </c>
      <c r="Q2" s="6" t="s">
        <v>300</v>
      </c>
      <c r="R2" s="6" t="s">
        <v>295</v>
      </c>
      <c r="S2" s="6" t="s">
        <v>292</v>
      </c>
      <c r="T2" s="6" t="s">
        <v>306</v>
      </c>
      <c r="U2" s="6" t="s">
        <v>290</v>
      </c>
      <c r="V2" s="6" t="s">
        <v>291</v>
      </c>
      <c r="W2" s="6" t="s">
        <v>299</v>
      </c>
      <c r="X2" s="6" t="s">
        <v>305</v>
      </c>
      <c r="Y2" s="6" t="s">
        <v>296</v>
      </c>
      <c r="Z2" s="6" t="s">
        <v>301</v>
      </c>
      <c r="AA2" s="6" t="s">
        <v>308</v>
      </c>
      <c r="AB2" s="6" t="s">
        <v>302</v>
      </c>
      <c r="AE2" s="6" t="s">
        <v>309</v>
      </c>
      <c r="AF2" s="6" t="s">
        <v>310</v>
      </c>
      <c r="AG2" s="6" t="s">
        <v>312</v>
      </c>
      <c r="AH2" s="6" t="s">
        <v>313</v>
      </c>
    </row>
    <row r="3" spans="1:34" x14ac:dyDescent="0.2">
      <c r="A3" s="4">
        <v>2001</v>
      </c>
      <c r="B3" s="7">
        <v>39864241987.7854</v>
      </c>
      <c r="C3" s="7">
        <v>28622363000</v>
      </c>
      <c r="D3" s="7">
        <v>239461222920.08801</v>
      </c>
      <c r="E3" s="7">
        <v>5086917680.6166</v>
      </c>
      <c r="F3" s="7">
        <v>3539644000</v>
      </c>
      <c r="J3" s="8">
        <v>13.408852</v>
      </c>
      <c r="K3" s="4">
        <v>19.078999</v>
      </c>
      <c r="L3" s="9">
        <f>B3/J3/1000000</f>
        <v>2972.9794905473937</v>
      </c>
      <c r="M3" s="9">
        <f>C3/J3/1000000</f>
        <v>2134.587136915226</v>
      </c>
      <c r="N3" s="9">
        <f>E3/J3/1000000</f>
        <v>379.37011167075309</v>
      </c>
      <c r="O3" s="9">
        <f t="shared" ref="O3:O25" si="0">F3/J3/1000000</f>
        <v>263.97815413280722</v>
      </c>
      <c r="P3" s="9"/>
      <c r="Q3" s="9"/>
      <c r="R3" s="9"/>
      <c r="S3" s="9"/>
      <c r="T3" s="9"/>
      <c r="W3" s="4">
        <f>M3/M$8*100</f>
        <v>89.859414676042107</v>
      </c>
      <c r="X3" s="13">
        <f>'rama-C'!AD2</f>
        <v>0.12760603054173855</v>
      </c>
    </row>
    <row r="4" spans="1:34" x14ac:dyDescent="0.2">
      <c r="A4" s="4">
        <v>2002</v>
      </c>
      <c r="B4" s="7">
        <v>50476907405.301498</v>
      </c>
      <c r="C4" s="7" t="s">
        <v>219</v>
      </c>
      <c r="D4" s="7">
        <v>209996122529.83499</v>
      </c>
      <c r="E4" s="7">
        <v>13485389944.9646</v>
      </c>
      <c r="F4" s="7" t="s">
        <v>219</v>
      </c>
      <c r="J4" s="8">
        <v>21.587268000000002</v>
      </c>
      <c r="K4" s="4">
        <v>22.652647000000002</v>
      </c>
      <c r="L4" s="9">
        <f t="shared" ref="L4:L26" si="1">B4/J4/1000000</f>
        <v>2338.2721428807713</v>
      </c>
      <c r="M4" s="9"/>
      <c r="N4" s="9">
        <f t="shared" ref="N4:N26" si="2">E4/J4/1000000</f>
        <v>624.69182969167741</v>
      </c>
      <c r="O4" s="9"/>
      <c r="P4" s="9"/>
      <c r="Q4" s="9"/>
      <c r="R4" s="9"/>
      <c r="S4" s="9"/>
      <c r="T4" s="9"/>
      <c r="X4" s="13">
        <f>'rama-C'!AD3</f>
        <v>0.26715959115094784</v>
      </c>
    </row>
    <row r="5" spans="1:34" x14ac:dyDescent="0.2">
      <c r="A5" s="4">
        <v>2003</v>
      </c>
      <c r="B5" s="7">
        <v>65662459347.958099</v>
      </c>
      <c r="C5" s="7">
        <v>48103564060</v>
      </c>
      <c r="D5" s="7">
        <v>198569505416.453</v>
      </c>
      <c r="E5" s="7">
        <v>12655823088.476601</v>
      </c>
      <c r="F5" s="7">
        <v>6899547696</v>
      </c>
      <c r="J5" s="8">
        <v>28.369938999999999</v>
      </c>
      <c r="K5" s="4">
        <v>26.367311999999998</v>
      </c>
      <c r="L5" s="9">
        <f t="shared" si="1"/>
        <v>2314.5083021841569</v>
      </c>
      <c r="M5" s="9">
        <f t="shared" ref="M5:M26" si="3">C5/J5/1000000</f>
        <v>1695.5822167964479</v>
      </c>
      <c r="N5" s="9">
        <f t="shared" si="2"/>
        <v>446.09976385485356</v>
      </c>
      <c r="O5" s="9">
        <f t="shared" si="0"/>
        <v>243.19924325533447</v>
      </c>
      <c r="P5" s="9"/>
      <c r="Q5" s="9"/>
      <c r="R5" s="9"/>
      <c r="S5" s="9"/>
      <c r="T5" s="9"/>
      <c r="W5" s="4">
        <f t="shared" ref="W5:W12" si="4">M5/M$8*100</f>
        <v>71.37868625809385</v>
      </c>
      <c r="X5" s="13">
        <f>'rama-C'!AD4</f>
        <v>0.19274061943691359</v>
      </c>
    </row>
    <row r="6" spans="1:34" x14ac:dyDescent="0.2">
      <c r="A6" s="4">
        <v>2004</v>
      </c>
      <c r="B6" s="7">
        <v>72889932573.568207</v>
      </c>
      <c r="C6" s="7">
        <v>50525577181</v>
      </c>
      <c r="D6" s="7">
        <v>249774503499.92801</v>
      </c>
      <c r="E6" s="7">
        <v>19229598213.050201</v>
      </c>
      <c r="F6" s="7">
        <v>6396127195</v>
      </c>
      <c r="J6" s="8">
        <v>28.703792</v>
      </c>
      <c r="K6" s="4">
        <v>29.122845999999999</v>
      </c>
      <c r="L6" s="9">
        <f t="shared" si="1"/>
        <v>2539.3833878662513</v>
      </c>
      <c r="M6" s="9">
        <f t="shared" si="3"/>
        <v>1760.2404999659975</v>
      </c>
      <c r="N6" s="9">
        <f t="shared" si="2"/>
        <v>669.93232855959252</v>
      </c>
      <c r="O6" s="9">
        <f t="shared" si="0"/>
        <v>222.83213294605812</v>
      </c>
      <c r="P6" s="9"/>
      <c r="Q6" s="9"/>
      <c r="R6" s="9"/>
      <c r="S6" s="9"/>
      <c r="T6" s="9"/>
      <c r="W6" s="4">
        <f t="shared" si="4"/>
        <v>74.100596916643951</v>
      </c>
      <c r="X6" s="13">
        <f>'rama-C'!AD5</f>
        <v>0.26381692963759656</v>
      </c>
    </row>
    <row r="7" spans="1:34" x14ac:dyDescent="0.2">
      <c r="A7" s="4">
        <v>2005</v>
      </c>
      <c r="B7" s="7">
        <v>75872496535.844803</v>
      </c>
      <c r="C7" s="7">
        <v>52418214093</v>
      </c>
      <c r="D7" s="7">
        <v>304509275539.28601</v>
      </c>
      <c r="E7" s="7">
        <v>17354019747.224098</v>
      </c>
      <c r="F7" s="7">
        <v>6464007473</v>
      </c>
      <c r="J7" s="8">
        <v>24.478579</v>
      </c>
      <c r="K7" s="4">
        <v>28.325216999999999</v>
      </c>
      <c r="L7" s="9">
        <f t="shared" si="1"/>
        <v>3099.5466091330222</v>
      </c>
      <c r="M7" s="9">
        <f t="shared" si="3"/>
        <v>2141.3912177255061</v>
      </c>
      <c r="N7" s="9">
        <f t="shared" si="2"/>
        <v>708.94718795662527</v>
      </c>
      <c r="O7" s="9">
        <f t="shared" si="0"/>
        <v>264.06792130376522</v>
      </c>
      <c r="P7" s="9"/>
      <c r="Q7" s="9"/>
      <c r="R7" s="9"/>
      <c r="S7" s="9"/>
      <c r="T7" s="9"/>
      <c r="W7" s="4">
        <f t="shared" si="4"/>
        <v>90.14584510956557</v>
      </c>
      <c r="X7" s="13">
        <f>'rama-C'!AD6</f>
        <v>0.22872609363823235</v>
      </c>
    </row>
    <row r="8" spans="1:34" x14ac:dyDescent="0.2">
      <c r="A8" s="4">
        <v>2006</v>
      </c>
      <c r="B8" s="7">
        <v>80567670011.130997</v>
      </c>
      <c r="C8" s="7">
        <v>57185676835.0951</v>
      </c>
      <c r="D8" s="7">
        <v>273923165915.57199</v>
      </c>
      <c r="E8" s="7">
        <v>17995064622.019302</v>
      </c>
      <c r="F8" s="7">
        <v>6516136919.5927401</v>
      </c>
      <c r="G8" s="10">
        <v>1556.8148162694117</v>
      </c>
      <c r="H8" s="10">
        <v>83.75346027316732</v>
      </c>
      <c r="I8" s="10">
        <f>H8*0.9</f>
        <v>75.378114245850597</v>
      </c>
      <c r="J8" s="8">
        <v>24.073374000000001</v>
      </c>
      <c r="K8" s="4">
        <v>29.954262</v>
      </c>
      <c r="L8" s="9">
        <f t="shared" si="1"/>
        <v>3346.7543856183597</v>
      </c>
      <c r="M8" s="9">
        <f t="shared" si="3"/>
        <v>2375.4741165527976</v>
      </c>
      <c r="N8" s="9">
        <f t="shared" si="2"/>
        <v>747.50903724668183</v>
      </c>
      <c r="O8" s="9">
        <f t="shared" si="0"/>
        <v>270.6781741351561</v>
      </c>
      <c r="P8" s="9">
        <f t="shared" ref="P8:P26" si="5">N8-H8</f>
        <v>663.75557697351451</v>
      </c>
      <c r="Q8" s="9">
        <f>P8-O8</f>
        <v>393.07740283835841</v>
      </c>
      <c r="R8" s="11">
        <f>H8/N8</f>
        <v>0.11204340830668545</v>
      </c>
      <c r="S8" s="9">
        <f t="shared" ref="S8:S26" si="6">L8-G8</f>
        <v>1789.939569348948</v>
      </c>
      <c r="T8" s="9">
        <f>M8-G8</f>
        <v>818.65930028338585</v>
      </c>
      <c r="U8" s="4">
        <f t="shared" ref="U8:U26" si="7">G8/L8</f>
        <v>0.46517151750344787</v>
      </c>
      <c r="V8" s="4">
        <f t="shared" ref="V8:V26" si="8">G8/G$8*100</f>
        <v>100</v>
      </c>
      <c r="W8" s="4">
        <f t="shared" si="4"/>
        <v>100</v>
      </c>
      <c r="X8" s="13">
        <f>'rama-C'!AD7</f>
        <v>0.2233534197964662</v>
      </c>
      <c r="AE8" s="9">
        <f>$I8*J8</f>
        <v>1814.6055356550894</v>
      </c>
      <c r="AF8" s="9">
        <f>$I8*K8</f>
        <v>2257.8957831861412</v>
      </c>
      <c r="AG8" s="9">
        <f>AF8-AE8</f>
        <v>443.29024753105182</v>
      </c>
      <c r="AH8" s="11">
        <f>AG8/(E8/1000000)</f>
        <v>2.4633990310244765E-2</v>
      </c>
    </row>
    <row r="9" spans="1:34" x14ac:dyDescent="0.2">
      <c r="A9" s="4">
        <v>2007</v>
      </c>
      <c r="B9" s="7">
        <v>118120892097.41901</v>
      </c>
      <c r="C9" s="7">
        <v>88288212567.623398</v>
      </c>
      <c r="D9" s="7">
        <v>324292281811.25598</v>
      </c>
      <c r="E9" s="7">
        <v>24110500055.013283</v>
      </c>
      <c r="F9" s="7">
        <v>17359289524.518902</v>
      </c>
      <c r="G9" s="10">
        <v>1737.3080523071112</v>
      </c>
      <c r="H9" s="10">
        <v>89.035722498457602</v>
      </c>
      <c r="I9" s="10">
        <f t="shared" ref="I9:I27" si="9">H9*0.9</f>
        <v>80.13215024861185</v>
      </c>
      <c r="J9" s="8">
        <v>23.471036000000002</v>
      </c>
      <c r="K9" s="4">
        <v>30.861639</v>
      </c>
      <c r="L9" s="9">
        <f t="shared" si="1"/>
        <v>5032.6237025676674</v>
      </c>
      <c r="M9" s="9">
        <f t="shared" si="3"/>
        <v>3761.5814047417166</v>
      </c>
      <c r="N9" s="9">
        <f t="shared" si="2"/>
        <v>1027.2448159089902</v>
      </c>
      <c r="O9" s="9">
        <f t="shared" si="0"/>
        <v>739.60474196873542</v>
      </c>
      <c r="P9" s="9">
        <f t="shared" si="5"/>
        <v>938.20909341053255</v>
      </c>
      <c r="Q9" s="9">
        <f t="shared" ref="Q9:Q26" si="10">P9-O9</f>
        <v>198.60435144179712</v>
      </c>
      <c r="R9" s="11">
        <f>H9/N9</f>
        <v>8.6674297226481026E-2</v>
      </c>
      <c r="S9" s="9">
        <f t="shared" si="6"/>
        <v>3295.3156502605561</v>
      </c>
      <c r="T9" s="9">
        <f>M9-G9</f>
        <v>2024.2733524346054</v>
      </c>
      <c r="U9" s="4">
        <f t="shared" si="7"/>
        <v>0.345209209943658</v>
      </c>
      <c r="V9" s="4">
        <f t="shared" si="8"/>
        <v>111.59375117396522</v>
      </c>
      <c r="W9" s="4">
        <f t="shared" si="4"/>
        <v>158.35076368671986</v>
      </c>
      <c r="X9" s="13">
        <f>'rama-C'!AD8</f>
        <v>0.20411715173238273</v>
      </c>
      <c r="Y9" s="11">
        <f t="shared" ref="Y9:Y26" si="11">S9/P9</f>
        <v>3.5123467395541685</v>
      </c>
      <c r="Z9" s="11">
        <f>Q9/S9</f>
        <v>6.0268688198684015E-2</v>
      </c>
      <c r="AA9" s="11">
        <f>P9/T9</f>
        <v>0.4634794467269665</v>
      </c>
      <c r="AB9" s="12">
        <f>AVERAGE(Z$9:Z$26)</f>
        <v>3.4243627065773531E-2</v>
      </c>
      <c r="AE9" s="9">
        <f t="shared" ref="AE9:AE26" si="12">$I9*J9</f>
        <v>1880.7845832425778</v>
      </c>
      <c r="AF9" s="9">
        <f t="shared" ref="AF9:AF26" si="13">$I9*K9</f>
        <v>2473.0094932664192</v>
      </c>
      <c r="AG9" s="9">
        <f t="shared" ref="AG9:AG26" si="14">AF9-AE9</f>
        <v>592.2249100238414</v>
      </c>
      <c r="AH9" s="11">
        <f t="shared" ref="AH9:AH26" si="15">AG9/(E9/1000000)</f>
        <v>2.4562945964312358E-2</v>
      </c>
    </row>
    <row r="10" spans="1:34" x14ac:dyDescent="0.2">
      <c r="A10" s="4">
        <v>2008</v>
      </c>
      <c r="B10" s="7">
        <v>144765634654.789</v>
      </c>
      <c r="C10" s="7">
        <v>107971212345.29601</v>
      </c>
      <c r="D10" s="7">
        <v>349687299770.34399</v>
      </c>
      <c r="E10" s="7">
        <v>26698283053.685555</v>
      </c>
      <c r="F10" s="7">
        <v>17442926160.214401</v>
      </c>
      <c r="G10" s="10">
        <v>1785.2371446391153</v>
      </c>
      <c r="H10" s="10">
        <v>92.377721543406437</v>
      </c>
      <c r="I10" s="10">
        <f t="shared" si="9"/>
        <v>83.139949389065791</v>
      </c>
      <c r="J10" s="8">
        <v>20.949345000000001</v>
      </c>
      <c r="K10" s="4">
        <v>30.471964</v>
      </c>
      <c r="L10" s="9">
        <f t="shared" si="1"/>
        <v>6910.270209153985</v>
      </c>
      <c r="M10" s="9">
        <f t="shared" si="3"/>
        <v>5153.9182893448933</v>
      </c>
      <c r="N10" s="9">
        <f t="shared" si="2"/>
        <v>1274.4208973447883</v>
      </c>
      <c r="O10" s="9">
        <f t="shared" si="0"/>
        <v>832.62393932671409</v>
      </c>
      <c r="P10" s="9">
        <f t="shared" si="5"/>
        <v>1182.0431758013819</v>
      </c>
      <c r="Q10" s="9">
        <f t="shared" si="10"/>
        <v>349.41923647466785</v>
      </c>
      <c r="R10" s="11">
        <f>H10/N10</f>
        <v>7.2486037961141572E-2</v>
      </c>
      <c r="S10" s="9">
        <f t="shared" si="6"/>
        <v>5125.0330645148697</v>
      </c>
      <c r="T10" s="9">
        <f>M10-G10</f>
        <v>3368.681144705778</v>
      </c>
      <c r="U10" s="4">
        <f t="shared" si="7"/>
        <v>0.25834549020590025</v>
      </c>
      <c r="V10" s="4">
        <f t="shared" si="8"/>
        <v>114.67241485516375</v>
      </c>
      <c r="W10" s="4">
        <f t="shared" si="4"/>
        <v>216.96377381809043</v>
      </c>
      <c r="X10" s="13">
        <f>'rama-C'!AD9</f>
        <v>0.18442417716988432</v>
      </c>
      <c r="Y10" s="11">
        <f t="shared" si="11"/>
        <v>4.3357410028955039</v>
      </c>
      <c r="Z10" s="11">
        <f t="shared" ref="Z10:Z26" si="16">Q10/S10</f>
        <v>6.8178923350564469E-2</v>
      </c>
      <c r="AA10" s="11">
        <f t="shared" ref="AA10:AA26" si="17">P10/T10</f>
        <v>0.35089197375034498</v>
      </c>
      <c r="AB10" s="12">
        <f t="shared" ref="AB10:AB26" si="18">AVERAGE(Z$9:Z$26)</f>
        <v>3.4243627065773531E-2</v>
      </c>
      <c r="AE10" s="9">
        <f t="shared" si="12"/>
        <v>1741.7274830340787</v>
      </c>
      <c r="AF10" s="9">
        <f t="shared" si="13"/>
        <v>2533.4375447454349</v>
      </c>
      <c r="AG10" s="9">
        <f t="shared" si="14"/>
        <v>791.71006171135627</v>
      </c>
      <c r="AH10" s="11">
        <f t="shared" si="15"/>
        <v>2.9653969137991627E-2</v>
      </c>
    </row>
    <row r="11" spans="1:34" x14ac:dyDescent="0.2">
      <c r="A11" s="4">
        <v>2009</v>
      </c>
      <c r="B11" s="7">
        <v>127638989405.789</v>
      </c>
      <c r="C11" s="7">
        <v>93192117548.195999</v>
      </c>
      <c r="D11" s="7">
        <v>335593659520.992</v>
      </c>
      <c r="E11" s="7">
        <v>18018680108.036697</v>
      </c>
      <c r="F11" s="7">
        <v>7961085386.4242697</v>
      </c>
      <c r="G11" s="10">
        <v>1666.644847</v>
      </c>
      <c r="H11" s="10">
        <v>93.635920193234909</v>
      </c>
      <c r="I11" s="10">
        <f t="shared" si="9"/>
        <v>84.272328173911419</v>
      </c>
      <c r="J11" s="8">
        <v>22.567971</v>
      </c>
      <c r="K11" s="4">
        <v>32.276463</v>
      </c>
      <c r="L11" s="9">
        <f t="shared" si="1"/>
        <v>5655.758304802368</v>
      </c>
      <c r="M11" s="9">
        <f t="shared" si="3"/>
        <v>4129.397257210052</v>
      </c>
      <c r="N11" s="9">
        <f t="shared" si="2"/>
        <v>798.41825869222794</v>
      </c>
      <c r="O11" s="9">
        <f t="shared" si="0"/>
        <v>352.76035166937561</v>
      </c>
      <c r="P11" s="9">
        <f t="shared" si="5"/>
        <v>704.782338498993</v>
      </c>
      <c r="Q11" s="9">
        <f t="shared" si="10"/>
        <v>352.02198682961739</v>
      </c>
      <c r="R11" s="11">
        <f>H11/N11</f>
        <v>0.11727677714510963</v>
      </c>
      <c r="S11" s="9">
        <f t="shared" si="6"/>
        <v>3989.113457802368</v>
      </c>
      <c r="T11" s="9">
        <f>M11-G11</f>
        <v>2462.7524102100519</v>
      </c>
      <c r="U11" s="4">
        <f t="shared" si="7"/>
        <v>0.29468105905176911</v>
      </c>
      <c r="V11" s="4">
        <f t="shared" si="8"/>
        <v>107.05479094769753</v>
      </c>
      <c r="W11" s="4">
        <f t="shared" si="4"/>
        <v>173.83465592975961</v>
      </c>
      <c r="X11" s="13">
        <f>'rama-C'!AD10</f>
        <v>0.14116909098012231</v>
      </c>
      <c r="Y11" s="11">
        <f t="shared" si="11"/>
        <v>5.6600644481219042</v>
      </c>
      <c r="Z11" s="11">
        <f t="shared" si="16"/>
        <v>8.8245669257938059E-2</v>
      </c>
      <c r="AA11" s="11">
        <f t="shared" si="17"/>
        <v>0.28617669221522801</v>
      </c>
      <c r="AB11" s="12">
        <f t="shared" si="18"/>
        <v>3.4243627065773531E-2</v>
      </c>
      <c r="AE11" s="9">
        <f t="shared" si="12"/>
        <v>1901.855458331316</v>
      </c>
      <c r="AF11" s="9">
        <f t="shared" si="13"/>
        <v>2720.0126822291095</v>
      </c>
      <c r="AG11" s="9">
        <f t="shared" si="14"/>
        <v>818.15722389779353</v>
      </c>
      <c r="AH11" s="11">
        <f t="shared" si="15"/>
        <v>4.5406057435520973E-2</v>
      </c>
    </row>
    <row r="12" spans="1:34" x14ac:dyDescent="0.2">
      <c r="A12" s="4">
        <v>2010</v>
      </c>
      <c r="B12" s="7">
        <v>138171906936.90302</v>
      </c>
      <c r="C12" s="7">
        <v>99737810059.451508</v>
      </c>
      <c r="D12" s="7">
        <v>406929488750.46399</v>
      </c>
      <c r="E12" s="7">
        <v>24477634469.89695</v>
      </c>
      <c r="F12" s="7">
        <v>10581328732.3151</v>
      </c>
      <c r="G12" s="10">
        <v>1792.8302759999999</v>
      </c>
      <c r="H12" s="10">
        <v>74.528890346052449</v>
      </c>
      <c r="I12" s="10">
        <f t="shared" si="9"/>
        <v>67.0760013114472</v>
      </c>
      <c r="J12" s="8">
        <v>20.059238000000001</v>
      </c>
      <c r="K12" s="4">
        <v>32.828747999999997</v>
      </c>
      <c r="L12" s="9">
        <f t="shared" si="1"/>
        <v>6888.193207384199</v>
      </c>
      <c r="M12" s="9">
        <f t="shared" si="3"/>
        <v>4972.1634520439666</v>
      </c>
      <c r="N12" s="9">
        <f t="shared" si="2"/>
        <v>1220.2674134429708</v>
      </c>
      <c r="O12" s="9">
        <f t="shared" si="0"/>
        <v>527.50402245165537</v>
      </c>
      <c r="P12" s="9">
        <f t="shared" si="5"/>
        <v>1145.7385230969182</v>
      </c>
      <c r="Q12" s="9">
        <f t="shared" si="10"/>
        <v>618.23450064526287</v>
      </c>
      <c r="R12" s="11">
        <f>H12/N12</f>
        <v>6.1075867080454128E-2</v>
      </c>
      <c r="S12" s="9">
        <f t="shared" si="6"/>
        <v>5095.3629313841993</v>
      </c>
      <c r="T12" s="9">
        <f>M12-G12</f>
        <v>3179.3331760439669</v>
      </c>
      <c r="U12" s="4">
        <f t="shared" si="7"/>
        <v>0.26027584041604279</v>
      </c>
      <c r="V12" s="4">
        <f t="shared" si="8"/>
        <v>115.16014989478009</v>
      </c>
      <c r="W12" s="4">
        <f t="shared" si="4"/>
        <v>209.312465978766</v>
      </c>
      <c r="X12" s="13">
        <f>'rama-C'!AD11</f>
        <v>0.17715348229994973</v>
      </c>
      <c r="Y12" s="11">
        <f t="shared" si="11"/>
        <v>4.4472301739593174</v>
      </c>
      <c r="Z12" s="11">
        <f t="shared" si="16"/>
        <v>0.12133277039743941</v>
      </c>
      <c r="AA12" s="11">
        <f t="shared" si="17"/>
        <v>0.3603707002870824</v>
      </c>
      <c r="AB12" s="12">
        <f t="shared" si="18"/>
        <v>3.4243627065773531E-2</v>
      </c>
      <c r="AE12" s="9">
        <f t="shared" si="12"/>
        <v>1345.4934743946314</v>
      </c>
      <c r="AF12" s="9">
        <f t="shared" si="13"/>
        <v>2202.0211439011696</v>
      </c>
      <c r="AG12" s="9">
        <f t="shared" si="14"/>
        <v>856.52766950653813</v>
      </c>
      <c r="AH12" s="11">
        <f t="shared" si="15"/>
        <v>3.4992256729706121E-2</v>
      </c>
    </row>
    <row r="13" spans="1:34" x14ac:dyDescent="0.2">
      <c r="A13" s="4">
        <v>2011</v>
      </c>
      <c r="B13" s="7">
        <v>164590514092.41199</v>
      </c>
      <c r="C13" s="7" t="s">
        <v>219</v>
      </c>
      <c r="D13" s="7">
        <v>394553982689.07098</v>
      </c>
      <c r="E13" s="7">
        <v>15603515946.660084</v>
      </c>
      <c r="F13" s="7" t="s">
        <v>219</v>
      </c>
      <c r="G13" s="10">
        <v>2051.703618</v>
      </c>
      <c r="H13" s="10">
        <v>85.105634776207978</v>
      </c>
      <c r="I13" s="10">
        <f t="shared" si="9"/>
        <v>76.595071298587186</v>
      </c>
      <c r="J13" s="8">
        <v>19.314209000000002</v>
      </c>
      <c r="K13" s="4">
        <v>34.651024999999997</v>
      </c>
      <c r="L13" s="9">
        <f t="shared" si="1"/>
        <v>8521.7320622559255</v>
      </c>
      <c r="M13" s="9"/>
      <c r="N13" s="9">
        <f t="shared" si="2"/>
        <v>807.87755515434685</v>
      </c>
      <c r="O13" s="9"/>
      <c r="P13" s="9">
        <f t="shared" si="5"/>
        <v>722.77192037813893</v>
      </c>
      <c r="Q13" s="9">
        <f t="shared" si="10"/>
        <v>722.77192037813893</v>
      </c>
      <c r="R13" s="11">
        <f>H13/N13</f>
        <v>0.1053447199185381</v>
      </c>
      <c r="S13" s="9">
        <f t="shared" si="6"/>
        <v>6470.0284442559259</v>
      </c>
      <c r="T13" s="9"/>
      <c r="U13" s="4">
        <f t="shared" si="7"/>
        <v>0.24076133854141155</v>
      </c>
      <c r="V13" s="4">
        <f t="shared" si="8"/>
        <v>131.7885464962678</v>
      </c>
      <c r="X13" s="13">
        <f>'rama-C'!AD12</f>
        <v>9.480203663437882E-2</v>
      </c>
      <c r="Y13" s="11">
        <f t="shared" si="11"/>
        <v>8.9516876096555382</v>
      </c>
      <c r="Z13" s="11">
        <f t="shared" si="16"/>
        <v>0.11171077942011429</v>
      </c>
      <c r="AA13" s="11"/>
      <c r="AB13" s="12">
        <f t="shared" si="18"/>
        <v>3.4243627065773531E-2</v>
      </c>
      <c r="AE13" s="9">
        <f t="shared" si="12"/>
        <v>1479.3732154308145</v>
      </c>
      <c r="AF13" s="9">
        <f t="shared" si="13"/>
        <v>2654.0977304441267</v>
      </c>
      <c r="AG13" s="9">
        <f t="shared" si="14"/>
        <v>1174.7245150133122</v>
      </c>
      <c r="AH13" s="11">
        <f t="shared" si="15"/>
        <v>7.5285885503565672E-2</v>
      </c>
    </row>
    <row r="14" spans="1:34" x14ac:dyDescent="0.2">
      <c r="A14" s="4">
        <v>2012</v>
      </c>
      <c r="B14" s="7">
        <v>167784888060.70901</v>
      </c>
      <c r="C14" s="7">
        <v>118070224347.511</v>
      </c>
      <c r="D14" s="7">
        <v>395091245724.24597</v>
      </c>
      <c r="E14" s="7">
        <v>12653048671.502739</v>
      </c>
      <c r="F14" s="7">
        <v>17144628448.139</v>
      </c>
      <c r="G14" s="10">
        <v>2252.2034780000004</v>
      </c>
      <c r="H14" s="10">
        <v>102.14218845301211</v>
      </c>
      <c r="I14" s="10">
        <f t="shared" si="9"/>
        <v>91.927969607710907</v>
      </c>
      <c r="J14" s="8">
        <v>20.310164</v>
      </c>
      <c r="K14" s="4">
        <v>35.243068000000001</v>
      </c>
      <c r="L14" s="9">
        <f t="shared" si="1"/>
        <v>8261.1291597994496</v>
      </c>
      <c r="M14" s="9">
        <f t="shared" si="3"/>
        <v>5813.3565217647183</v>
      </c>
      <c r="N14" s="9">
        <f t="shared" si="2"/>
        <v>622.99096509032324</v>
      </c>
      <c r="O14" s="9">
        <f t="shared" si="0"/>
        <v>844.14032541238953</v>
      </c>
      <c r="P14" s="9">
        <f t="shared" si="5"/>
        <v>520.84877663731118</v>
      </c>
      <c r="Q14" s="9">
        <f t="shared" si="10"/>
        <v>-323.29154877507835</v>
      </c>
      <c r="R14" s="11">
        <f>H14/N14</f>
        <v>0.16395452611131078</v>
      </c>
      <c r="S14" s="9">
        <f t="shared" si="6"/>
        <v>6008.9256817994492</v>
      </c>
      <c r="T14" s="9">
        <f t="shared" ref="T14:T26" si="19">M14-G14</f>
        <v>3561.1530437647179</v>
      </c>
      <c r="U14" s="4">
        <f t="shared" si="7"/>
        <v>0.27262659067960582</v>
      </c>
      <c r="V14" s="4">
        <f t="shared" si="8"/>
        <v>144.66739746201449</v>
      </c>
      <c r="W14" s="4">
        <f t="shared" ref="W14:W26" si="20">M14/M$8*100</f>
        <v>244.72405240099403</v>
      </c>
      <c r="X14" s="13">
        <f>'rama-C'!AD13</f>
        <v>7.5412325971362396E-2</v>
      </c>
      <c r="Y14" s="11">
        <f t="shared" si="11"/>
        <v>11.536795229882465</v>
      </c>
      <c r="Z14" s="11">
        <f t="shared" si="16"/>
        <v>-5.3801888373208269E-2</v>
      </c>
      <c r="AA14" s="11">
        <f t="shared" si="17"/>
        <v>0.14625846467038925</v>
      </c>
      <c r="AB14" s="12">
        <f t="shared" si="18"/>
        <v>3.4243627065773531E-2</v>
      </c>
      <c r="AE14" s="9">
        <f t="shared" si="12"/>
        <v>1867.0721389196242</v>
      </c>
      <c r="AF14" s="9">
        <f t="shared" si="13"/>
        <v>3239.823683986489</v>
      </c>
      <c r="AG14" s="9">
        <f t="shared" si="14"/>
        <v>1372.7515450668648</v>
      </c>
      <c r="AH14" s="11">
        <f t="shared" si="15"/>
        <v>0.10849176200187888</v>
      </c>
    </row>
    <row r="15" spans="1:34" x14ac:dyDescent="0.2">
      <c r="A15" s="4">
        <v>2013</v>
      </c>
      <c r="B15" s="7">
        <v>183498071401.983</v>
      </c>
      <c r="C15" s="7">
        <v>130303268121.312</v>
      </c>
      <c r="D15" s="7">
        <v>410912621918.95001</v>
      </c>
      <c r="E15" s="7">
        <v>12278747465.469757</v>
      </c>
      <c r="F15" s="7">
        <v>28790672811.2985</v>
      </c>
      <c r="G15" s="10">
        <v>2329.9270850000003</v>
      </c>
      <c r="H15" s="10">
        <v>115.22407424619011</v>
      </c>
      <c r="I15" s="10">
        <f t="shared" si="9"/>
        <v>103.70166682157111</v>
      </c>
      <c r="J15" s="8">
        <v>20.481618000000001</v>
      </c>
      <c r="K15" s="4">
        <v>35.991435000000003</v>
      </c>
      <c r="L15" s="9">
        <f t="shared" si="1"/>
        <v>8959.1589591204665</v>
      </c>
      <c r="M15" s="9">
        <f t="shared" si="3"/>
        <v>6361.9616439146548</v>
      </c>
      <c r="N15" s="9">
        <f t="shared" si="2"/>
        <v>599.50085317818912</v>
      </c>
      <c r="O15" s="9">
        <f t="shared" si="0"/>
        <v>1405.6835163754397</v>
      </c>
      <c r="P15" s="9">
        <f>N15-H15</f>
        <v>484.27677893199899</v>
      </c>
      <c r="Q15" s="9">
        <f t="shared" si="10"/>
        <v>-921.40673744344076</v>
      </c>
      <c r="R15" s="11">
        <f>H15/N15</f>
        <v>0.19220001712314855</v>
      </c>
      <c r="S15" s="9">
        <f t="shared" si="6"/>
        <v>6629.2318741204663</v>
      </c>
      <c r="T15" s="9">
        <f t="shared" si="19"/>
        <v>4032.0345589146546</v>
      </c>
      <c r="U15" s="4">
        <f t="shared" si="7"/>
        <v>0.26006091594436143</v>
      </c>
      <c r="V15" s="4">
        <f t="shared" si="8"/>
        <v>149.65987352196416</v>
      </c>
      <c r="W15" s="4">
        <f t="shared" si="20"/>
        <v>267.81860511900271</v>
      </c>
      <c r="X15" s="13">
        <f>'rama-C'!AD14</f>
        <v>6.691485840508439E-2</v>
      </c>
      <c r="Y15" s="11">
        <f t="shared" si="11"/>
        <v>13.688931954863207</v>
      </c>
      <c r="Z15" s="11">
        <f t="shared" si="16"/>
        <v>-0.13899147818927188</v>
      </c>
      <c r="AA15" s="11">
        <f t="shared" si="17"/>
        <v>0.12010729864933423</v>
      </c>
      <c r="AB15" s="12">
        <f t="shared" si="18"/>
        <v>3.4243627065773531E-2</v>
      </c>
      <c r="AE15" s="9">
        <f t="shared" si="12"/>
        <v>2123.9779258026938</v>
      </c>
      <c r="AF15" s="9">
        <f t="shared" si="13"/>
        <v>3732.3718008002334</v>
      </c>
      <c r="AG15" s="9">
        <f t="shared" si="14"/>
        <v>1608.3938749975396</v>
      </c>
      <c r="AH15" s="11">
        <f t="shared" si="15"/>
        <v>0.13099006063286653</v>
      </c>
    </row>
    <row r="16" spans="1:34" x14ac:dyDescent="0.2">
      <c r="A16" s="4">
        <v>2014</v>
      </c>
      <c r="B16" s="7">
        <v>259377141950.67499</v>
      </c>
      <c r="C16" s="7">
        <v>198429417562.73401</v>
      </c>
      <c r="D16" s="7">
        <v>454201257170.14203</v>
      </c>
      <c r="E16" s="7">
        <v>17067827885.217899</v>
      </c>
      <c r="F16" s="7">
        <v>78176629453.823105</v>
      </c>
      <c r="G16" s="10">
        <v>2179.4861389999996</v>
      </c>
      <c r="H16" s="10">
        <v>118.36466301416122</v>
      </c>
      <c r="I16" s="10">
        <f t="shared" si="9"/>
        <v>106.5281967127451</v>
      </c>
      <c r="J16" s="8">
        <v>23.246061000000001</v>
      </c>
      <c r="K16" s="4">
        <v>38.372773000000002</v>
      </c>
      <c r="L16" s="9">
        <f t="shared" si="1"/>
        <v>11157.896469026515</v>
      </c>
      <c r="M16" s="9">
        <f t="shared" si="3"/>
        <v>8536.0447760476072</v>
      </c>
      <c r="N16" s="9">
        <f t="shared" si="2"/>
        <v>734.22451593919061</v>
      </c>
      <c r="O16" s="9">
        <f t="shared" si="0"/>
        <v>3363.005433644139</v>
      </c>
      <c r="P16" s="9">
        <f t="shared" si="5"/>
        <v>615.85985292502937</v>
      </c>
      <c r="Q16" s="9">
        <f t="shared" si="10"/>
        <v>-2747.1455807191096</v>
      </c>
      <c r="R16" s="11">
        <f>H16/N16</f>
        <v>0.16121044781888533</v>
      </c>
      <c r="S16" s="9">
        <f t="shared" si="6"/>
        <v>8978.410330026516</v>
      </c>
      <c r="T16" s="9">
        <f t="shared" si="19"/>
        <v>6356.5586370476076</v>
      </c>
      <c r="U16" s="4">
        <f t="shared" si="7"/>
        <v>0.19533127458657554</v>
      </c>
      <c r="V16" s="4">
        <f t="shared" si="8"/>
        <v>139.99649259651142</v>
      </c>
      <c r="W16" s="4">
        <f t="shared" si="20"/>
        <v>359.34067715436981</v>
      </c>
      <c r="X16" s="13">
        <f>'rama-C'!AD15</f>
        <v>6.5803130363984191E-2</v>
      </c>
      <c r="Y16" s="11">
        <f t="shared" si="11"/>
        <v>14.578658257042592</v>
      </c>
      <c r="Z16" s="11">
        <f t="shared" si="16"/>
        <v>-0.3059723803813939</v>
      </c>
      <c r="AA16" s="11">
        <f t="shared" si="17"/>
        <v>9.6885734575882732E-2</v>
      </c>
      <c r="AB16" s="12">
        <f t="shared" si="18"/>
        <v>3.4243627065773531E-2</v>
      </c>
      <c r="AE16" s="9">
        <f t="shared" si="12"/>
        <v>2476.3609590044721</v>
      </c>
      <c r="AF16" s="9">
        <f t="shared" si="13"/>
        <v>4087.7823105575139</v>
      </c>
      <c r="AG16" s="9">
        <f t="shared" si="14"/>
        <v>1611.4213515530419</v>
      </c>
      <c r="AH16" s="11">
        <f t="shared" si="15"/>
        <v>9.4412795956810722E-2</v>
      </c>
    </row>
    <row r="17" spans="1:34" x14ac:dyDescent="0.2">
      <c r="A17" s="4">
        <v>2015</v>
      </c>
      <c r="B17" s="7">
        <v>270460042903.50201</v>
      </c>
      <c r="C17" s="7">
        <v>207813793849.16599</v>
      </c>
      <c r="D17" s="7">
        <v>454671896763.125</v>
      </c>
      <c r="E17" s="7">
        <v>24840445113.269791</v>
      </c>
      <c r="F17" s="7">
        <v>26806672376.5168</v>
      </c>
      <c r="G17" s="10">
        <v>2377.4683530000002</v>
      </c>
      <c r="H17" s="10">
        <v>110.44210495980047</v>
      </c>
      <c r="I17" s="10">
        <f t="shared" si="9"/>
        <v>99.397894463820435</v>
      </c>
      <c r="J17" s="8">
        <v>27.327226</v>
      </c>
      <c r="K17" s="4">
        <v>41.149155999999998</v>
      </c>
      <c r="L17" s="9">
        <f t="shared" si="1"/>
        <v>9897.0910147814502</v>
      </c>
      <c r="M17" s="9">
        <f t="shared" si="3"/>
        <v>7604.6428513880628</v>
      </c>
      <c r="N17" s="9">
        <f t="shared" si="2"/>
        <v>908.99987848271871</v>
      </c>
      <c r="O17" s="9">
        <f t="shared" si="0"/>
        <v>980.95109897055784</v>
      </c>
      <c r="P17" s="9">
        <f t="shared" si="5"/>
        <v>798.5577735229183</v>
      </c>
      <c r="Q17" s="9">
        <f t="shared" si="10"/>
        <v>-182.39332544763954</v>
      </c>
      <c r="R17" s="11">
        <f>H17/N17</f>
        <v>0.12149848154451665</v>
      </c>
      <c r="S17" s="9">
        <f>L17-G17</f>
        <v>7519.62266178145</v>
      </c>
      <c r="T17" s="9">
        <f t="shared" si="19"/>
        <v>5227.1744983880626</v>
      </c>
      <c r="U17" s="4">
        <f t="shared" si="7"/>
        <v>0.24021890366060253</v>
      </c>
      <c r="V17" s="4">
        <f t="shared" si="8"/>
        <v>152.71362580535538</v>
      </c>
      <c r="W17" s="4">
        <f t="shared" si="20"/>
        <v>320.13158124507987</v>
      </c>
      <c r="X17" s="13">
        <f>'rama-C'!AD16</f>
        <v>9.1845157039084926E-2</v>
      </c>
      <c r="Y17" s="11">
        <f t="shared" si="11"/>
        <v>9.4165042419008387</v>
      </c>
      <c r="Z17" s="11">
        <f t="shared" si="16"/>
        <v>-2.4255648674321818E-2</v>
      </c>
      <c r="AA17" s="11">
        <f t="shared" si="17"/>
        <v>0.15277044486828872</v>
      </c>
      <c r="AB17" s="12">
        <f t="shared" si="18"/>
        <v>3.4243627065773531E-2</v>
      </c>
      <c r="AE17" s="9">
        <f t="shared" si="12"/>
        <v>2716.26872593697</v>
      </c>
      <c r="AF17" s="9">
        <f t="shared" si="13"/>
        <v>4090.1394653632833</v>
      </c>
      <c r="AG17" s="9">
        <f t="shared" si="14"/>
        <v>1373.8707394263133</v>
      </c>
      <c r="AH17" s="11">
        <f t="shared" si="15"/>
        <v>5.5307814862479668E-2</v>
      </c>
    </row>
    <row r="18" spans="1:34" x14ac:dyDescent="0.2">
      <c r="A18" s="4">
        <v>2016</v>
      </c>
      <c r="B18" s="7">
        <v>283302377562.35797</v>
      </c>
      <c r="C18" s="7">
        <v>218824498043.51999</v>
      </c>
      <c r="D18" s="7">
        <v>458197444854.55499</v>
      </c>
      <c r="E18" s="7">
        <v>19680939437.842308</v>
      </c>
      <c r="F18" s="7">
        <v>17409371770.145</v>
      </c>
      <c r="G18" s="10">
        <v>2353.9156059999996</v>
      </c>
      <c r="H18" s="10">
        <v>116.70317056701678</v>
      </c>
      <c r="I18" s="10">
        <f t="shared" si="9"/>
        <v>105.03285351031511</v>
      </c>
      <c r="J18" s="8">
        <v>30.162600000000001</v>
      </c>
      <c r="K18" s="4">
        <v>44.043940999999997</v>
      </c>
      <c r="L18" s="9">
        <f t="shared" si="1"/>
        <v>9392.5052071889695</v>
      </c>
      <c r="M18" s="9">
        <f t="shared" si="3"/>
        <v>7254.8287628891403</v>
      </c>
      <c r="N18" s="9">
        <f t="shared" si="2"/>
        <v>652.49479281767174</v>
      </c>
      <c r="O18" s="9">
        <f t="shared" si="0"/>
        <v>577.18405476136002</v>
      </c>
      <c r="P18" s="9">
        <f t="shared" si="5"/>
        <v>535.791622250655</v>
      </c>
      <c r="Q18" s="9">
        <f t="shared" si="10"/>
        <v>-41.392432510705021</v>
      </c>
      <c r="R18" s="11">
        <f>H18/N18</f>
        <v>0.17885686116061841</v>
      </c>
      <c r="S18" s="9">
        <f t="shared" si="6"/>
        <v>7038.5896011889699</v>
      </c>
      <c r="T18" s="9">
        <f t="shared" si="19"/>
        <v>4900.9131568891407</v>
      </c>
      <c r="U18" s="4">
        <f t="shared" si="7"/>
        <v>0.25061637487284288</v>
      </c>
      <c r="V18" s="4">
        <f t="shared" si="8"/>
        <v>151.20074535522966</v>
      </c>
      <c r="W18" s="4">
        <f t="shared" si="20"/>
        <v>305.40550672962439</v>
      </c>
      <c r="X18" s="13">
        <f>'rama-C'!AD17</f>
        <v>6.9469729153650739E-2</v>
      </c>
      <c r="Y18" s="11">
        <f t="shared" si="11"/>
        <v>13.136804139681312</v>
      </c>
      <c r="Z18" s="11">
        <f t="shared" si="16"/>
        <v>-5.8807850515553489E-3</v>
      </c>
      <c r="AA18" s="11">
        <f t="shared" si="17"/>
        <v>0.1093248554093436</v>
      </c>
      <c r="AB18" s="12">
        <f t="shared" si="18"/>
        <v>3.4243627065773531E-2</v>
      </c>
      <c r="AE18" s="9">
        <f t="shared" si="12"/>
        <v>3168.0639472902308</v>
      </c>
      <c r="AF18" s="9">
        <f t="shared" si="13"/>
        <v>4626.0608030699614</v>
      </c>
      <c r="AG18" s="9">
        <f t="shared" si="14"/>
        <v>1457.9968557797306</v>
      </c>
      <c r="AH18" s="11">
        <f t="shared" si="15"/>
        <v>7.4081669748767634E-2</v>
      </c>
    </row>
    <row r="19" spans="1:34" x14ac:dyDescent="0.2">
      <c r="A19" s="4">
        <v>2017</v>
      </c>
      <c r="B19" s="7">
        <v>273206637485.992</v>
      </c>
      <c r="C19" s="7">
        <v>209773097223.23999</v>
      </c>
      <c r="D19" s="7">
        <v>456886334306.29199</v>
      </c>
      <c r="E19" s="7">
        <v>47598174688.954308</v>
      </c>
      <c r="F19" s="7">
        <v>17036239960.98</v>
      </c>
      <c r="G19" s="10">
        <v>2159.4332289999998</v>
      </c>
      <c r="H19" s="10">
        <v>109.68600650032801</v>
      </c>
      <c r="I19" s="10">
        <f t="shared" si="9"/>
        <v>98.717405850295208</v>
      </c>
      <c r="J19" s="8">
        <v>28.65</v>
      </c>
      <c r="K19" s="4">
        <v>44.520021999999997</v>
      </c>
      <c r="L19" s="9">
        <f t="shared" si="1"/>
        <v>9536.0082892143801</v>
      </c>
      <c r="M19" s="9">
        <f t="shared" si="3"/>
        <v>7321.9231142492154</v>
      </c>
      <c r="N19" s="9">
        <f t="shared" si="2"/>
        <v>1661.3673538902028</v>
      </c>
      <c r="O19" s="9">
        <f t="shared" si="0"/>
        <v>594.63315745130899</v>
      </c>
      <c r="P19" s="9">
        <f t="shared" si="5"/>
        <v>1551.6813473898749</v>
      </c>
      <c r="Q19" s="9">
        <f t="shared" si="10"/>
        <v>957.04818993856588</v>
      </c>
      <c r="R19" s="11">
        <f>H19/N19</f>
        <v>6.6021525127173644E-2</v>
      </c>
      <c r="S19" s="9">
        <f>L19-G19</f>
        <v>7376.5750602143798</v>
      </c>
      <c r="T19" s="9">
        <f t="shared" si="19"/>
        <v>5162.4898852492151</v>
      </c>
      <c r="U19" s="4">
        <f t="shared" si="7"/>
        <v>0.22645043539259588</v>
      </c>
      <c r="V19" s="4">
        <f t="shared" si="8"/>
        <v>138.70841968055259</v>
      </c>
      <c r="W19" s="4">
        <f t="shared" si="20"/>
        <v>308.22996820838978</v>
      </c>
      <c r="X19" s="13">
        <f>'rama-C'!AD18</f>
        <v>0.174220418387144</v>
      </c>
      <c r="Y19" s="11">
        <f t="shared" si="11"/>
        <v>4.7539239113898715</v>
      </c>
      <c r="Z19" s="11">
        <f t="shared" si="16"/>
        <v>0.12974153751927686</v>
      </c>
      <c r="AA19" s="11">
        <f t="shared" si="17"/>
        <v>0.30056840437082399</v>
      </c>
      <c r="AB19" s="12">
        <f t="shared" si="18"/>
        <v>3.4243627065773531E-2</v>
      </c>
      <c r="AE19" s="9">
        <f t="shared" si="12"/>
        <v>2828.2536776109578</v>
      </c>
      <c r="AF19" s="9">
        <f t="shared" si="13"/>
        <v>4394.9010802380708</v>
      </c>
      <c r="AG19" s="9">
        <f t="shared" si="14"/>
        <v>1566.647402627113</v>
      </c>
      <c r="AH19" s="11">
        <f t="shared" si="15"/>
        <v>3.2914022709166435E-2</v>
      </c>
    </row>
    <row r="20" spans="1:34" x14ac:dyDescent="0.2">
      <c r="A20" s="4">
        <v>2018</v>
      </c>
      <c r="B20" s="7">
        <v>303469927276</v>
      </c>
      <c r="C20" s="7">
        <v>230944653073.897</v>
      </c>
      <c r="D20" s="7">
        <v>466608647222.88</v>
      </c>
      <c r="E20" s="7">
        <v>73700680952.003464</v>
      </c>
      <c r="F20" s="7">
        <v>21403883661.212399</v>
      </c>
      <c r="G20" s="10">
        <v>2408.2764909999996</v>
      </c>
      <c r="H20" s="10">
        <v>118.23441397041888</v>
      </c>
      <c r="I20" s="10">
        <f t="shared" si="9"/>
        <v>106.41097257337699</v>
      </c>
      <c r="J20" s="8">
        <v>30.77</v>
      </c>
      <c r="K20" s="4">
        <v>47.589359999999999</v>
      </c>
      <c r="L20" s="9">
        <f t="shared" si="1"/>
        <v>9862.5260733181676</v>
      </c>
      <c r="M20" s="9">
        <f t="shared" si="3"/>
        <v>7505.5135870619761</v>
      </c>
      <c r="N20" s="9">
        <f t="shared" si="2"/>
        <v>2395.2122506338469</v>
      </c>
      <c r="O20" s="9">
        <f t="shared" si="0"/>
        <v>695.60882876868379</v>
      </c>
      <c r="P20" s="9">
        <f t="shared" si="5"/>
        <v>2276.9778366634282</v>
      </c>
      <c r="Q20" s="9">
        <f t="shared" si="10"/>
        <v>1581.3690078947443</v>
      </c>
      <c r="R20" s="11">
        <f>H20/N20</f>
        <v>4.9362812810902421E-2</v>
      </c>
      <c r="S20" s="9">
        <f>L20-G20</f>
        <v>7454.249582318168</v>
      </c>
      <c r="T20" s="9">
        <f t="shared" si="19"/>
        <v>5097.2370960619764</v>
      </c>
      <c r="U20" s="4">
        <f t="shared" si="7"/>
        <v>0.24418454999224701</v>
      </c>
      <c r="V20" s="4">
        <f t="shared" si="8"/>
        <v>154.69254697684224</v>
      </c>
      <c r="W20" s="4">
        <f t="shared" si="20"/>
        <v>315.95855053784828</v>
      </c>
      <c r="X20" s="13">
        <f>'rama-C'!AD19</f>
        <v>0.24285991568770546</v>
      </c>
      <c r="Y20" s="11">
        <f t="shared" si="11"/>
        <v>3.2737470968278113</v>
      </c>
      <c r="Z20" s="11">
        <f t="shared" si="16"/>
        <v>0.21214328691728088</v>
      </c>
      <c r="AA20" s="11">
        <f t="shared" si="17"/>
        <v>0.44670824482984633</v>
      </c>
      <c r="AB20" s="12">
        <f t="shared" si="18"/>
        <v>3.4243627065773531E-2</v>
      </c>
      <c r="AE20" s="9">
        <f t="shared" si="12"/>
        <v>3274.2656260828103</v>
      </c>
      <c r="AF20" s="9">
        <f t="shared" si="13"/>
        <v>5064.0300817445641</v>
      </c>
      <c r="AG20" s="9">
        <f t="shared" si="14"/>
        <v>1789.7644556617538</v>
      </c>
      <c r="AH20" s="11">
        <f t="shared" si="15"/>
        <v>2.4284232283108931E-2</v>
      </c>
    </row>
    <row r="21" spans="1:34" x14ac:dyDescent="0.2">
      <c r="A21" s="4">
        <v>2019</v>
      </c>
      <c r="B21" s="7">
        <v>338490559626.54498</v>
      </c>
      <c r="C21" s="7">
        <v>259048160897</v>
      </c>
      <c r="D21" s="7">
        <v>479657109055.97601</v>
      </c>
      <c r="E21" s="7">
        <v>57159845925.725655</v>
      </c>
      <c r="F21" s="7">
        <v>30759048024</v>
      </c>
      <c r="G21" s="10">
        <v>2177.6591509999998</v>
      </c>
      <c r="H21" s="10">
        <v>123.64706340753941</v>
      </c>
      <c r="I21" s="10">
        <f t="shared" si="9"/>
        <v>111.28235706678547</v>
      </c>
      <c r="J21" s="8">
        <v>35.299999999999997</v>
      </c>
      <c r="K21" s="4">
        <v>50.391058999999998</v>
      </c>
      <c r="L21" s="9">
        <f t="shared" si="1"/>
        <v>9588.9676948029755</v>
      </c>
      <c r="M21" s="9">
        <f t="shared" si="3"/>
        <v>7338.4748129461768</v>
      </c>
      <c r="N21" s="9">
        <f t="shared" si="2"/>
        <v>1619.2590913803303</v>
      </c>
      <c r="O21" s="9">
        <f t="shared" si="0"/>
        <v>871.36113382436258</v>
      </c>
      <c r="P21" s="9">
        <f t="shared" si="5"/>
        <v>1495.6120279727909</v>
      </c>
      <c r="Q21" s="9">
        <f t="shared" si="10"/>
        <v>624.2508941484283</v>
      </c>
      <c r="R21" s="11">
        <f>H21/N21</f>
        <v>7.636027122882294E-2</v>
      </c>
      <c r="S21" s="9">
        <f t="shared" si="6"/>
        <v>7411.3085438029757</v>
      </c>
      <c r="T21" s="9">
        <f t="shared" si="19"/>
        <v>5160.815661946177</v>
      </c>
      <c r="U21" s="4">
        <f t="shared" si="7"/>
        <v>0.22710047841544473</v>
      </c>
      <c r="V21" s="4">
        <f t="shared" si="8"/>
        <v>139.87913836909098</v>
      </c>
      <c r="W21" s="4">
        <f t="shared" si="20"/>
        <v>308.9267427420134</v>
      </c>
      <c r="X21" s="13">
        <f>'rama-C'!AD20</f>
        <v>0.16886688358100693</v>
      </c>
      <c r="Y21" s="11">
        <f t="shared" si="11"/>
        <v>4.9553683744096011</v>
      </c>
      <c r="Z21" s="11">
        <f t="shared" si="16"/>
        <v>8.4229510950586534E-2</v>
      </c>
      <c r="AA21" s="11">
        <f t="shared" si="17"/>
        <v>0.28980148215733514</v>
      </c>
      <c r="AB21" s="12">
        <f t="shared" si="18"/>
        <v>3.4243627065773531E-2</v>
      </c>
      <c r="AE21" s="9">
        <f t="shared" si="12"/>
        <v>3928.2672044575265</v>
      </c>
      <c r="AF21" s="9">
        <f t="shared" si="13"/>
        <v>5607.6358206114528</v>
      </c>
      <c r="AG21" s="9">
        <f t="shared" si="14"/>
        <v>1679.3686161539263</v>
      </c>
      <c r="AH21" s="11">
        <f t="shared" si="15"/>
        <v>2.9380215935783358E-2</v>
      </c>
    </row>
    <row r="22" spans="1:34" x14ac:dyDescent="0.2">
      <c r="A22" s="4">
        <v>2020</v>
      </c>
      <c r="B22" s="7">
        <v>376276396874.06097</v>
      </c>
      <c r="C22" s="7">
        <v>296322600807.052</v>
      </c>
      <c r="D22" s="7">
        <v>448150142520.28198</v>
      </c>
      <c r="E22" s="7">
        <v>55200295364.4925</v>
      </c>
      <c r="F22" s="7">
        <v>40941559983.906898</v>
      </c>
      <c r="G22" s="10">
        <v>2172.8074104583329</v>
      </c>
      <c r="H22" s="10">
        <v>106.45435055182325</v>
      </c>
      <c r="I22" s="10">
        <f t="shared" si="9"/>
        <v>95.808915496640935</v>
      </c>
      <c r="J22" s="8">
        <v>42</v>
      </c>
      <c r="K22" s="4">
        <v>57.605680999999997</v>
      </c>
      <c r="L22" s="9">
        <f t="shared" si="1"/>
        <v>8958.9618303347852</v>
      </c>
      <c r="M22" s="9">
        <f t="shared" si="3"/>
        <v>7055.3000192155241</v>
      </c>
      <c r="N22" s="9">
        <f t="shared" si="2"/>
        <v>1314.2927467736308</v>
      </c>
      <c r="O22" s="9">
        <f t="shared" si="0"/>
        <v>974.79904723587856</v>
      </c>
      <c r="P22" s="9">
        <f t="shared" si="5"/>
        <v>1207.8383962218077</v>
      </c>
      <c r="Q22" s="9">
        <f t="shared" si="10"/>
        <v>233.03934898592911</v>
      </c>
      <c r="R22" s="11">
        <f>H22/N22</f>
        <v>8.0997442018264879E-2</v>
      </c>
      <c r="S22" s="9">
        <f t="shared" si="6"/>
        <v>6786.1544198764523</v>
      </c>
      <c r="T22" s="9">
        <f t="shared" si="19"/>
        <v>4882.4926087571912</v>
      </c>
      <c r="U22" s="4">
        <f t="shared" si="7"/>
        <v>0.24252892819581728</v>
      </c>
      <c r="V22" s="4">
        <f t="shared" si="8"/>
        <v>139.56749304744039</v>
      </c>
      <c r="W22" s="4">
        <f t="shared" si="20"/>
        <v>297.00597325193849</v>
      </c>
      <c r="X22" s="13">
        <f>'rama-C'!AD21</f>
        <v>0.14670145622492484</v>
      </c>
      <c r="Y22" s="11">
        <f t="shared" si="11"/>
        <v>5.6184291218957423</v>
      </c>
      <c r="Z22" s="11">
        <f t="shared" si="16"/>
        <v>3.4340413519527865E-2</v>
      </c>
      <c r="AA22" s="11">
        <f t="shared" si="17"/>
        <v>0.24738151043084847</v>
      </c>
      <c r="AB22" s="12">
        <f t="shared" si="18"/>
        <v>3.4243627065773531E-2</v>
      </c>
      <c r="AE22" s="9">
        <f t="shared" si="12"/>
        <v>4023.9744508589192</v>
      </c>
      <c r="AF22" s="9">
        <f t="shared" si="13"/>
        <v>5519.1378230554537</v>
      </c>
      <c r="AG22" s="9">
        <f t="shared" si="14"/>
        <v>1495.1633721965345</v>
      </c>
      <c r="AH22" s="11">
        <f t="shared" si="15"/>
        <v>2.7086148041850805E-2</v>
      </c>
    </row>
    <row r="23" spans="1:34" x14ac:dyDescent="0.2">
      <c r="A23" s="4">
        <v>2021</v>
      </c>
      <c r="B23" s="7">
        <v>469698711522.27502</v>
      </c>
      <c r="C23" s="7">
        <v>377193985828.289</v>
      </c>
      <c r="D23" s="7">
        <v>457591011871.85199</v>
      </c>
      <c r="E23" s="7">
        <v>109339487870.68243</v>
      </c>
      <c r="F23" s="7">
        <v>83942983585.564697</v>
      </c>
      <c r="G23" s="10">
        <v>2232.9524127291666</v>
      </c>
      <c r="H23" s="10">
        <v>86.973256090721023</v>
      </c>
      <c r="I23" s="10">
        <f t="shared" si="9"/>
        <v>78.275930481648928</v>
      </c>
      <c r="J23" s="8">
        <v>43.56</v>
      </c>
      <c r="K23" s="4">
        <v>58.976208</v>
      </c>
      <c r="L23" s="9">
        <f t="shared" si="1"/>
        <v>10782.798703449838</v>
      </c>
      <c r="M23" s="9">
        <f t="shared" si="3"/>
        <v>8659.1824111177448</v>
      </c>
      <c r="N23" s="9">
        <f t="shared" si="2"/>
        <v>2510.0892532296243</v>
      </c>
      <c r="O23" s="9">
        <f t="shared" si="0"/>
        <v>1927.0657388788954</v>
      </c>
      <c r="P23" s="9">
        <f t="shared" si="5"/>
        <v>2423.1159971389034</v>
      </c>
      <c r="Q23" s="9">
        <f t="shared" si="10"/>
        <v>496.05025826000792</v>
      </c>
      <c r="R23" s="11">
        <f>H23/N23</f>
        <v>3.4649467535393913E-2</v>
      </c>
      <c r="S23" s="9">
        <f t="shared" si="6"/>
        <v>8549.8462907206722</v>
      </c>
      <c r="T23" s="9">
        <f t="shared" si="19"/>
        <v>6426.2299983885787</v>
      </c>
      <c r="U23" s="4">
        <f t="shared" si="7"/>
        <v>0.20708467941766898</v>
      </c>
      <c r="V23" s="4">
        <f t="shared" si="8"/>
        <v>143.43083001226699</v>
      </c>
      <c r="W23" s="4">
        <f t="shared" si="20"/>
        <v>364.52438487031964</v>
      </c>
      <c r="X23" s="13">
        <f>'rama-C'!AD22</f>
        <v>0.23278643349120004</v>
      </c>
      <c r="Y23" s="11">
        <f t="shared" si="11"/>
        <v>3.5284510938873384</v>
      </c>
      <c r="Z23" s="11">
        <f t="shared" si="16"/>
        <v>5.8018617106412977E-2</v>
      </c>
      <c r="AA23" s="11">
        <f t="shared" si="17"/>
        <v>0.37706649120036417</v>
      </c>
      <c r="AB23" s="12">
        <f t="shared" si="18"/>
        <v>3.4243627065773531E-2</v>
      </c>
      <c r="AE23" s="9">
        <f t="shared" si="12"/>
        <v>3409.6995317806272</v>
      </c>
      <c r="AF23" s="9">
        <f t="shared" si="13"/>
        <v>4616.4175574792671</v>
      </c>
      <c r="AG23" s="9">
        <f t="shared" si="14"/>
        <v>1206.7180256986398</v>
      </c>
      <c r="AH23" s="11">
        <f t="shared" si="15"/>
        <v>1.1036433855679336E-2</v>
      </c>
    </row>
    <row r="24" spans="1:34" x14ac:dyDescent="0.2">
      <c r="A24" s="4">
        <v>2022</v>
      </c>
      <c r="B24" s="7">
        <v>507413899940.41602</v>
      </c>
      <c r="C24" s="7">
        <v>392603477898.92603</v>
      </c>
      <c r="D24" s="7">
        <v>456462007528.55499</v>
      </c>
      <c r="E24" s="7">
        <v>110876730077.23088</v>
      </c>
      <c r="F24" s="7">
        <v>69687013752.249298</v>
      </c>
      <c r="G24" s="10">
        <v>2453.2461271867433</v>
      </c>
      <c r="H24" s="10">
        <v>113.81052630549033</v>
      </c>
      <c r="I24" s="10">
        <f t="shared" si="9"/>
        <v>102.42947367494129</v>
      </c>
      <c r="J24" s="8">
        <v>41.3</v>
      </c>
      <c r="K24" s="4">
        <v>58.134197</v>
      </c>
      <c r="L24" s="9">
        <f t="shared" si="1"/>
        <v>12286.050846014918</v>
      </c>
      <c r="M24" s="9">
        <f t="shared" si="3"/>
        <v>9506.1374793928826</v>
      </c>
      <c r="N24" s="9">
        <f t="shared" si="2"/>
        <v>2684.6665878264134</v>
      </c>
      <c r="O24" s="9">
        <f t="shared" si="0"/>
        <v>1687.336894727586</v>
      </c>
      <c r="P24" s="9">
        <f t="shared" si="5"/>
        <v>2570.856061520923</v>
      </c>
      <c r="Q24" s="9">
        <f t="shared" si="10"/>
        <v>883.51916679333704</v>
      </c>
      <c r="R24" s="11">
        <f>H24/N24</f>
        <v>4.2392797236559171E-2</v>
      </c>
      <c r="S24" s="9">
        <f t="shared" si="6"/>
        <v>9832.8047188281744</v>
      </c>
      <c r="T24" s="9">
        <f t="shared" si="19"/>
        <v>7052.8913522061393</v>
      </c>
      <c r="U24" s="4">
        <f t="shared" si="7"/>
        <v>0.19967735425598324</v>
      </c>
      <c r="V24" s="4">
        <f t="shared" si="8"/>
        <v>157.58111379396078</v>
      </c>
      <c r="W24" s="4">
        <f t="shared" si="20"/>
        <v>400.17853333581456</v>
      </c>
      <c r="X24" s="13">
        <f>'rama-C'!AD23</f>
        <v>0.21851338737517986</v>
      </c>
      <c r="Y24" s="11">
        <f t="shared" si="11"/>
        <v>3.8247200479248415</v>
      </c>
      <c r="Z24" s="11">
        <f t="shared" si="16"/>
        <v>8.9854237123365807E-2</v>
      </c>
      <c r="AA24" s="11">
        <f t="shared" si="17"/>
        <v>0.36451094071040258</v>
      </c>
      <c r="AB24" s="12">
        <f t="shared" si="18"/>
        <v>3.4243627065773531E-2</v>
      </c>
      <c r="AE24" s="9">
        <f t="shared" si="12"/>
        <v>4230.337262775075</v>
      </c>
      <c r="AF24" s="9">
        <f t="shared" si="13"/>
        <v>5954.6552012253514</v>
      </c>
      <c r="AG24" s="9">
        <f t="shared" si="14"/>
        <v>1724.3179384502764</v>
      </c>
      <c r="AH24" s="11">
        <f t="shared" si="15"/>
        <v>1.5551666587292099E-2</v>
      </c>
    </row>
    <row r="25" spans="1:34" x14ac:dyDescent="0.2">
      <c r="A25" s="4">
        <v>2023</v>
      </c>
      <c r="B25" s="7">
        <v>510913341922.44598</v>
      </c>
      <c r="C25" s="7">
        <v>402462792005.25299</v>
      </c>
      <c r="D25" s="7">
        <v>465889304287.64502</v>
      </c>
      <c r="E25" s="7">
        <v>71043588447.21463</v>
      </c>
      <c r="F25" s="7">
        <v>56457788625.375702</v>
      </c>
      <c r="G25" s="10">
        <v>2596.6552987203804</v>
      </c>
      <c r="H25" s="10">
        <v>160.27275777475361</v>
      </c>
      <c r="I25" s="10">
        <f t="shared" si="9"/>
        <v>144.24548199727826</v>
      </c>
      <c r="J25" s="8">
        <v>38.695</v>
      </c>
      <c r="K25" s="4">
        <v>60.006461000000002</v>
      </c>
      <c r="L25" s="9">
        <f t="shared" si="1"/>
        <v>13203.601031721048</v>
      </c>
      <c r="M25" s="9">
        <f t="shared" si="3"/>
        <v>10400.899134390826</v>
      </c>
      <c r="N25" s="9">
        <f t="shared" si="2"/>
        <v>1835.9888473243218</v>
      </c>
      <c r="O25" s="9">
        <f t="shared" si="0"/>
        <v>1459.0460944663575</v>
      </c>
      <c r="P25" s="9">
        <f t="shared" si="5"/>
        <v>1675.7160895495681</v>
      </c>
      <c r="Q25" s="9">
        <f t="shared" si="10"/>
        <v>216.66999508321055</v>
      </c>
      <c r="R25" s="11">
        <f>H25/N25</f>
        <v>8.7295060647196804E-2</v>
      </c>
      <c r="S25" s="9">
        <f t="shared" si="6"/>
        <v>10606.945733000666</v>
      </c>
      <c r="T25" s="9">
        <f t="shared" si="19"/>
        <v>7804.2438356704452</v>
      </c>
      <c r="U25" s="4">
        <f t="shared" si="7"/>
        <v>0.19666265986695863</v>
      </c>
      <c r="V25" s="4">
        <f t="shared" si="8"/>
        <v>166.79281771885584</v>
      </c>
      <c r="W25" s="4">
        <f t="shared" si="20"/>
        <v>437.84518896312943</v>
      </c>
      <c r="X25" s="13">
        <f>'rama-C'!AD24</f>
        <v>0.13905213001464087</v>
      </c>
      <c r="Y25" s="11">
        <f t="shared" si="11"/>
        <v>6.3297988240071206</v>
      </c>
      <c r="Z25" s="11">
        <f t="shared" si="16"/>
        <v>2.0427180503912637E-2</v>
      </c>
      <c r="AA25" s="11">
        <f t="shared" si="17"/>
        <v>0.21471857169434674</v>
      </c>
      <c r="AB25" s="12">
        <f t="shared" si="18"/>
        <v>3.4243627065773531E-2</v>
      </c>
      <c r="AE25" s="9">
        <f t="shared" si="12"/>
        <v>5581.5789258846826</v>
      </c>
      <c r="AF25" s="9">
        <f t="shared" si="13"/>
        <v>8655.6608898958802</v>
      </c>
      <c r="AG25" s="9">
        <f t="shared" si="14"/>
        <v>3074.0819640111977</v>
      </c>
      <c r="AH25" s="11">
        <f t="shared" si="15"/>
        <v>4.3270364450906644E-2</v>
      </c>
    </row>
    <row r="26" spans="1:34" x14ac:dyDescent="0.2">
      <c r="A26" s="4">
        <v>2024</v>
      </c>
      <c r="B26" s="7">
        <v>550965223542.48206</v>
      </c>
      <c r="C26" s="7">
        <v>436965957591.82397</v>
      </c>
      <c r="D26" s="7">
        <v>483989418307.88702</v>
      </c>
      <c r="E26" s="7">
        <v>80163642511.139069</v>
      </c>
      <c r="F26" s="7">
        <v>43801057524.488998</v>
      </c>
      <c r="G26" s="10">
        <v>2506.6900498683785</v>
      </c>
      <c r="H26" s="10">
        <v>156.51050634763018</v>
      </c>
      <c r="I26" s="10">
        <f t="shared" si="9"/>
        <v>140.85945571286717</v>
      </c>
      <c r="J26" s="8">
        <v>40.234999999999999</v>
      </c>
      <c r="K26" s="4">
        <v>61.848213999999999</v>
      </c>
      <c r="L26" s="9">
        <f t="shared" si="1"/>
        <v>13693.6802172855</v>
      </c>
      <c r="M26" s="9">
        <f t="shared" si="3"/>
        <v>10860.344416349546</v>
      </c>
      <c r="N26" s="9">
        <f t="shared" si="2"/>
        <v>1992.3857962256511</v>
      </c>
      <c r="O26" s="9">
        <f>F26/J26/1000000</f>
        <v>1088.6307325584439</v>
      </c>
      <c r="P26" s="9">
        <f t="shared" si="5"/>
        <v>1835.875289878021</v>
      </c>
      <c r="Q26" s="9">
        <f t="shared" si="10"/>
        <v>747.2445573195771</v>
      </c>
      <c r="R26" s="11">
        <f>H26/N26</f>
        <v>7.8554317464078288E-2</v>
      </c>
      <c r="S26" s="9">
        <f t="shared" si="6"/>
        <v>11186.990167417121</v>
      </c>
      <c r="T26" s="9">
        <f t="shared" si="19"/>
        <v>8353.654366481167</v>
      </c>
      <c r="U26" s="4">
        <f t="shared" si="7"/>
        <v>0.18305451931791059</v>
      </c>
      <c r="V26" s="4">
        <f t="shared" si="8"/>
        <v>161.01401551888802</v>
      </c>
      <c r="W26" s="4">
        <f t="shared" si="20"/>
        <v>457.18639242046078</v>
      </c>
      <c r="X26" s="13">
        <f>'rama-C'!AD25</f>
        <v>0.14549673751769573</v>
      </c>
      <c r="Y26" s="11">
        <f t="shared" si="11"/>
        <v>6.0935458029724918</v>
      </c>
      <c r="Z26" s="11">
        <f t="shared" si="16"/>
        <v>6.6795853588570972E-2</v>
      </c>
      <c r="AA26" s="11">
        <f t="shared" si="17"/>
        <v>0.21976912251055364</v>
      </c>
      <c r="AB26" s="12">
        <f t="shared" si="18"/>
        <v>3.4243627065773531E-2</v>
      </c>
      <c r="AE26" s="9">
        <f t="shared" si="12"/>
        <v>5667.4802006072105</v>
      </c>
      <c r="AF26" s="9">
        <f t="shared" si="13"/>
        <v>8711.9057608529311</v>
      </c>
      <c r="AG26" s="9">
        <f t="shared" si="14"/>
        <v>3044.4255602457206</v>
      </c>
      <c r="AH26" s="11">
        <f t="shared" si="15"/>
        <v>3.7977635058470363E-2</v>
      </c>
    </row>
    <row r="27" spans="1:34" x14ac:dyDescent="0.2">
      <c r="A27" s="4">
        <v>2025</v>
      </c>
      <c r="G27" s="10">
        <v>2704.0962738723397</v>
      </c>
      <c r="H27" s="10">
        <v>144.46262569326208</v>
      </c>
      <c r="I27" s="10">
        <f t="shared" si="9"/>
        <v>130.01636312393589</v>
      </c>
      <c r="J27" s="8">
        <v>41.08</v>
      </c>
      <c r="K27" s="4">
        <v>62.865715000000002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"/>
  <sheetViews>
    <sheetView workbookViewId="0">
      <pane ySplit="1" topLeftCell="A17" activePane="bottomLeft" state="frozen"/>
      <selection pane="bottomLeft" activeCell="C1" sqref="C1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12</v>
      </c>
      <c r="C3" t="s">
        <v>8</v>
      </c>
      <c r="D3" t="s">
        <v>13</v>
      </c>
      <c r="E3" t="s">
        <v>14</v>
      </c>
      <c r="F3" t="s">
        <v>15</v>
      </c>
    </row>
    <row r="4" spans="1:6" x14ac:dyDescent="0.25">
      <c r="A4" t="s">
        <v>6</v>
      </c>
      <c r="B4" t="s">
        <v>16</v>
      </c>
      <c r="C4" t="s">
        <v>8</v>
      </c>
      <c r="D4" t="s">
        <v>13</v>
      </c>
      <c r="E4" t="s">
        <v>17</v>
      </c>
      <c r="F4" t="s">
        <v>18</v>
      </c>
    </row>
    <row r="5" spans="1:6" x14ac:dyDescent="0.25">
      <c r="A5" t="s">
        <v>6</v>
      </c>
      <c r="B5" t="s">
        <v>19</v>
      </c>
      <c r="C5" t="s">
        <v>8</v>
      </c>
      <c r="D5" t="s">
        <v>20</v>
      </c>
      <c r="E5" t="s">
        <v>21</v>
      </c>
      <c r="F5" t="s">
        <v>22</v>
      </c>
    </row>
    <row r="6" spans="1:6" x14ac:dyDescent="0.25">
      <c r="A6" t="s">
        <v>6</v>
      </c>
      <c r="B6" t="s">
        <v>23</v>
      </c>
      <c r="C6" t="s">
        <v>8</v>
      </c>
      <c r="D6" t="s">
        <v>13</v>
      </c>
      <c r="E6" t="s">
        <v>24</v>
      </c>
      <c r="F6" t="s">
        <v>25</v>
      </c>
    </row>
    <row r="7" spans="1:6" x14ac:dyDescent="0.25">
      <c r="A7" t="s">
        <v>6</v>
      </c>
      <c r="B7" t="s">
        <v>26</v>
      </c>
      <c r="C7" t="s">
        <v>8</v>
      </c>
      <c r="D7" t="s">
        <v>20</v>
      </c>
      <c r="E7" t="s">
        <v>27</v>
      </c>
      <c r="F7" t="s">
        <v>28</v>
      </c>
    </row>
    <row r="8" spans="1:6" x14ac:dyDescent="0.25">
      <c r="A8" t="s">
        <v>6</v>
      </c>
      <c r="B8" t="s">
        <v>29</v>
      </c>
      <c r="C8" t="s">
        <v>8</v>
      </c>
      <c r="D8" t="s">
        <v>30</v>
      </c>
      <c r="E8" t="s">
        <v>31</v>
      </c>
      <c r="F8" t="s">
        <v>32</v>
      </c>
    </row>
    <row r="9" spans="1:6" x14ac:dyDescent="0.25">
      <c r="A9" t="s">
        <v>6</v>
      </c>
      <c r="B9" t="s">
        <v>33</v>
      </c>
      <c r="C9" t="s">
        <v>8</v>
      </c>
      <c r="D9" t="s">
        <v>30</v>
      </c>
      <c r="E9" t="s">
        <v>34</v>
      </c>
      <c r="F9" t="s">
        <v>35</v>
      </c>
    </row>
    <row r="10" spans="1:6" x14ac:dyDescent="0.25">
      <c r="A10" t="s">
        <v>6</v>
      </c>
      <c r="B10" t="s">
        <v>36</v>
      </c>
      <c r="C10" t="s">
        <v>8</v>
      </c>
      <c r="D10" t="s">
        <v>30</v>
      </c>
      <c r="E10" t="s">
        <v>37</v>
      </c>
      <c r="F10" t="s">
        <v>38</v>
      </c>
    </row>
    <row r="11" spans="1:6" x14ac:dyDescent="0.25">
      <c r="A11" t="s">
        <v>6</v>
      </c>
      <c r="B11" t="s">
        <v>39</v>
      </c>
      <c r="C11" t="s">
        <v>8</v>
      </c>
      <c r="D11" t="s">
        <v>30</v>
      </c>
      <c r="E11" t="s">
        <v>40</v>
      </c>
      <c r="F11" t="s">
        <v>38</v>
      </c>
    </row>
    <row r="12" spans="1:6" x14ac:dyDescent="0.25">
      <c r="A12" t="s">
        <v>6</v>
      </c>
      <c r="B12" t="s">
        <v>41</v>
      </c>
      <c r="C12" t="s">
        <v>8</v>
      </c>
      <c r="D12" t="s">
        <v>30</v>
      </c>
      <c r="E12" t="s">
        <v>42</v>
      </c>
      <c r="F12" t="s">
        <v>43</v>
      </c>
    </row>
    <row r="13" spans="1:6" x14ac:dyDescent="0.25">
      <c r="A13" t="s">
        <v>6</v>
      </c>
      <c r="B13" t="s">
        <v>44</v>
      </c>
      <c r="C13" t="s">
        <v>8</v>
      </c>
      <c r="D13" t="s">
        <v>30</v>
      </c>
      <c r="E13" t="s">
        <v>45</v>
      </c>
      <c r="F13" t="s">
        <v>43</v>
      </c>
    </row>
    <row r="14" spans="1:6" x14ac:dyDescent="0.25">
      <c r="A14" t="s">
        <v>6</v>
      </c>
      <c r="B14" t="s">
        <v>46</v>
      </c>
      <c r="C14" t="s">
        <v>8</v>
      </c>
      <c r="D14" t="s">
        <v>30</v>
      </c>
      <c r="E14" t="s">
        <v>47</v>
      </c>
      <c r="F14" t="s">
        <v>48</v>
      </c>
    </row>
    <row r="15" spans="1:6" x14ac:dyDescent="0.25">
      <c r="A15" t="s">
        <v>6</v>
      </c>
      <c r="B15" t="s">
        <v>49</v>
      </c>
      <c r="C15" t="s">
        <v>8</v>
      </c>
      <c r="D15" t="s">
        <v>30</v>
      </c>
      <c r="E15" t="s">
        <v>50</v>
      </c>
      <c r="F15" t="s">
        <v>48</v>
      </c>
    </row>
    <row r="16" spans="1:6" x14ac:dyDescent="0.25">
      <c r="A16" t="s">
        <v>51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</row>
    <row r="17" spans="1:6" x14ac:dyDescent="0.25">
      <c r="A17" t="s">
        <v>51</v>
      </c>
      <c r="B17" t="s">
        <v>57</v>
      </c>
      <c r="C17" t="s">
        <v>53</v>
      </c>
      <c r="D17" t="s">
        <v>58</v>
      </c>
      <c r="E17" t="s">
        <v>59</v>
      </c>
      <c r="F17" t="s">
        <v>60</v>
      </c>
    </row>
    <row r="18" spans="1:6" x14ac:dyDescent="0.25">
      <c r="A18" t="s">
        <v>51</v>
      </c>
      <c r="B18" t="s">
        <v>61</v>
      </c>
      <c r="C18" t="s">
        <v>53</v>
      </c>
      <c r="D18" t="s">
        <v>62</v>
      </c>
      <c r="E18" t="s">
        <v>63</v>
      </c>
      <c r="F18" t="s">
        <v>64</v>
      </c>
    </row>
    <row r="19" spans="1:6" x14ac:dyDescent="0.25">
      <c r="A19" t="s">
        <v>51</v>
      </c>
      <c r="B19" t="s">
        <v>65</v>
      </c>
      <c r="C19" t="s">
        <v>66</v>
      </c>
      <c r="D19" t="s">
        <v>13</v>
      </c>
      <c r="E19" t="s">
        <v>67</v>
      </c>
      <c r="F19" t="s">
        <v>68</v>
      </c>
    </row>
    <row r="20" spans="1:6" x14ac:dyDescent="0.25">
      <c r="A20" t="s">
        <v>51</v>
      </c>
      <c r="B20" t="s">
        <v>69</v>
      </c>
      <c r="C20" t="s">
        <v>66</v>
      </c>
      <c r="D20" t="s">
        <v>13</v>
      </c>
      <c r="E20" t="s">
        <v>70</v>
      </c>
      <c r="F20" t="s">
        <v>68</v>
      </c>
    </row>
    <row r="21" spans="1:6" x14ac:dyDescent="0.25">
      <c r="A21" t="s">
        <v>51</v>
      </c>
      <c r="B21" t="s">
        <v>71</v>
      </c>
      <c r="C21" t="s">
        <v>72</v>
      </c>
      <c r="D21" t="s">
        <v>62</v>
      </c>
      <c r="E21" t="s">
        <v>73</v>
      </c>
      <c r="F21" t="s">
        <v>74</v>
      </c>
    </row>
    <row r="22" spans="1:6" x14ac:dyDescent="0.25">
      <c r="A22" t="s">
        <v>51</v>
      </c>
      <c r="B22" t="s">
        <v>75</v>
      </c>
      <c r="C22" t="s">
        <v>76</v>
      </c>
      <c r="D22" t="s">
        <v>58</v>
      </c>
      <c r="E22" t="s">
        <v>77</v>
      </c>
      <c r="F22" t="s">
        <v>78</v>
      </c>
    </row>
    <row r="23" spans="1:6" x14ac:dyDescent="0.25">
      <c r="A23" t="s">
        <v>51</v>
      </c>
      <c r="B23" t="s">
        <v>79</v>
      </c>
      <c r="C23" t="s">
        <v>76</v>
      </c>
      <c r="D23" t="s">
        <v>13</v>
      </c>
      <c r="E23" t="s">
        <v>80</v>
      </c>
      <c r="F23" t="s">
        <v>81</v>
      </c>
    </row>
    <row r="24" spans="1:6" x14ac:dyDescent="0.25">
      <c r="A24" t="s">
        <v>51</v>
      </c>
      <c r="B24" t="s">
        <v>82</v>
      </c>
      <c r="C24" t="s">
        <v>76</v>
      </c>
      <c r="D24" t="s">
        <v>58</v>
      </c>
      <c r="E24" t="s">
        <v>83</v>
      </c>
      <c r="F24" t="s">
        <v>78</v>
      </c>
    </row>
    <row r="25" spans="1:6" x14ac:dyDescent="0.25">
      <c r="A25" t="s">
        <v>51</v>
      </c>
      <c r="B25" t="s">
        <v>84</v>
      </c>
      <c r="C25" t="s">
        <v>76</v>
      </c>
      <c r="D25" t="s">
        <v>13</v>
      </c>
      <c r="E25" t="s">
        <v>85</v>
      </c>
      <c r="F25" t="s">
        <v>81</v>
      </c>
    </row>
    <row r="26" spans="1:6" x14ac:dyDescent="0.25">
      <c r="A26" t="s">
        <v>51</v>
      </c>
      <c r="B26" t="s">
        <v>86</v>
      </c>
      <c r="C26" t="s">
        <v>76</v>
      </c>
      <c r="D26" t="s">
        <v>13</v>
      </c>
      <c r="E26" t="s">
        <v>87</v>
      </c>
      <c r="F26" t="s">
        <v>88</v>
      </c>
    </row>
    <row r="27" spans="1:6" x14ac:dyDescent="0.25">
      <c r="A27" t="s">
        <v>51</v>
      </c>
      <c r="B27" t="s">
        <v>89</v>
      </c>
      <c r="C27" t="s">
        <v>76</v>
      </c>
      <c r="D27" t="s">
        <v>58</v>
      </c>
      <c r="E27" t="s">
        <v>90</v>
      </c>
      <c r="F27" t="s">
        <v>91</v>
      </c>
    </row>
    <row r="28" spans="1:6" x14ac:dyDescent="0.25">
      <c r="A28" t="s">
        <v>51</v>
      </c>
      <c r="B28" t="s">
        <v>92</v>
      </c>
      <c r="C28" t="s">
        <v>93</v>
      </c>
      <c r="D28" t="s">
        <v>13</v>
      </c>
      <c r="E28" t="s">
        <v>94</v>
      </c>
      <c r="F28" t="s">
        <v>95</v>
      </c>
    </row>
    <row r="29" spans="1:6" x14ac:dyDescent="0.25">
      <c r="A29" t="s">
        <v>51</v>
      </c>
      <c r="B29" t="s">
        <v>96</v>
      </c>
      <c r="C29" t="s">
        <v>76</v>
      </c>
      <c r="D29" t="s">
        <v>13</v>
      </c>
      <c r="E29" t="s">
        <v>97</v>
      </c>
      <c r="F29" t="s">
        <v>98</v>
      </c>
    </row>
    <row r="30" spans="1:6" x14ac:dyDescent="0.25">
      <c r="A30" t="s">
        <v>51</v>
      </c>
      <c r="B30" t="s">
        <v>99</v>
      </c>
      <c r="C30" t="s">
        <v>76</v>
      </c>
      <c r="D30" t="s">
        <v>58</v>
      </c>
      <c r="E30" t="s">
        <v>100</v>
      </c>
      <c r="F30" t="s">
        <v>101</v>
      </c>
    </row>
    <row r="31" spans="1:6" x14ac:dyDescent="0.25">
      <c r="A31" t="s">
        <v>51</v>
      </c>
      <c r="B31" t="s">
        <v>102</v>
      </c>
      <c r="C31" t="s">
        <v>76</v>
      </c>
      <c r="D31" t="s">
        <v>13</v>
      </c>
      <c r="E31" t="s">
        <v>103</v>
      </c>
      <c r="F31" t="s">
        <v>98</v>
      </c>
    </row>
    <row r="32" spans="1:6" x14ac:dyDescent="0.25">
      <c r="A32" t="s">
        <v>51</v>
      </c>
      <c r="B32" t="s">
        <v>104</v>
      </c>
      <c r="C32" t="s">
        <v>76</v>
      </c>
      <c r="D32" t="s">
        <v>58</v>
      </c>
      <c r="E32" t="s">
        <v>105</v>
      </c>
      <c r="F32" t="s">
        <v>106</v>
      </c>
    </row>
    <row r="33" spans="1:6" x14ac:dyDescent="0.25">
      <c r="A33" t="s">
        <v>51</v>
      </c>
      <c r="B33" t="s">
        <v>107</v>
      </c>
      <c r="C33" t="s">
        <v>108</v>
      </c>
      <c r="D33" t="s">
        <v>58</v>
      </c>
      <c r="E33" t="s">
        <v>109</v>
      </c>
      <c r="F33" t="s">
        <v>110</v>
      </c>
    </row>
    <row r="34" spans="1:6" x14ac:dyDescent="0.25">
      <c r="A34" t="s">
        <v>51</v>
      </c>
      <c r="B34" t="s">
        <v>111</v>
      </c>
      <c r="C34" t="s">
        <v>76</v>
      </c>
      <c r="D34" t="s">
        <v>58</v>
      </c>
      <c r="E34" t="s">
        <v>112</v>
      </c>
      <c r="F34" t="s">
        <v>113</v>
      </c>
    </row>
    <row r="35" spans="1:6" x14ac:dyDescent="0.25">
      <c r="A35" t="s">
        <v>51</v>
      </c>
      <c r="B35" t="s">
        <v>114</v>
      </c>
      <c r="C35" t="s">
        <v>76</v>
      </c>
      <c r="D35" t="s">
        <v>13</v>
      </c>
      <c r="E35" t="s">
        <v>115</v>
      </c>
      <c r="F35" t="s">
        <v>116</v>
      </c>
    </row>
    <row r="36" spans="1:6" x14ac:dyDescent="0.25">
      <c r="A36" t="s">
        <v>51</v>
      </c>
      <c r="B36" t="s">
        <v>117</v>
      </c>
      <c r="C36" t="s">
        <v>76</v>
      </c>
      <c r="D36" t="s">
        <v>58</v>
      </c>
      <c r="E36" t="s">
        <v>118</v>
      </c>
      <c r="F36" t="s">
        <v>119</v>
      </c>
    </row>
    <row r="37" spans="1:6" x14ac:dyDescent="0.25">
      <c r="A37" t="s">
        <v>51</v>
      </c>
      <c r="B37" t="s">
        <v>120</v>
      </c>
      <c r="C37" t="s">
        <v>108</v>
      </c>
      <c r="D37" t="s">
        <v>58</v>
      </c>
      <c r="E37" t="s">
        <v>121</v>
      </c>
      <c r="F37" t="s">
        <v>122</v>
      </c>
    </row>
    <row r="38" spans="1:6" x14ac:dyDescent="0.25">
      <c r="A38" t="s">
        <v>51</v>
      </c>
      <c r="B38" t="s">
        <v>123</v>
      </c>
      <c r="C38" t="s">
        <v>108</v>
      </c>
      <c r="D38" t="s">
        <v>58</v>
      </c>
      <c r="E38" t="s">
        <v>124</v>
      </c>
      <c r="F38" t="s">
        <v>125</v>
      </c>
    </row>
    <row r="39" spans="1:6" x14ac:dyDescent="0.25">
      <c r="A39" t="s">
        <v>51</v>
      </c>
      <c r="B39" t="s">
        <v>126</v>
      </c>
      <c r="C39" t="s">
        <v>127</v>
      </c>
      <c r="D39" t="s">
        <v>128</v>
      </c>
      <c r="E39" t="s">
        <v>129</v>
      </c>
      <c r="F39" t="s">
        <v>130</v>
      </c>
    </row>
    <row r="40" spans="1:6" x14ac:dyDescent="0.25">
      <c r="A40" t="s">
        <v>51</v>
      </c>
      <c r="B40" t="s">
        <v>131</v>
      </c>
      <c r="C40" t="s">
        <v>132</v>
      </c>
      <c r="D40" t="s">
        <v>128</v>
      </c>
      <c r="E40" t="s">
        <v>133</v>
      </c>
      <c r="F40" t="s">
        <v>134</v>
      </c>
    </row>
    <row r="41" spans="1:6" x14ac:dyDescent="0.25">
      <c r="A41" t="s">
        <v>51</v>
      </c>
      <c r="B41" t="s">
        <v>135</v>
      </c>
      <c r="C41" t="s">
        <v>108</v>
      </c>
      <c r="D41" t="s">
        <v>13</v>
      </c>
      <c r="E41" t="s">
        <v>136</v>
      </c>
      <c r="F41" t="s">
        <v>137</v>
      </c>
    </row>
    <row r="42" spans="1:6" x14ac:dyDescent="0.25">
      <c r="A42" t="s">
        <v>51</v>
      </c>
      <c r="B42" t="s">
        <v>138</v>
      </c>
      <c r="C42" t="s">
        <v>108</v>
      </c>
      <c r="D42" t="s">
        <v>13</v>
      </c>
      <c r="E42" t="s">
        <v>139</v>
      </c>
      <c r="F42" t="s">
        <v>140</v>
      </c>
    </row>
    <row r="43" spans="1:6" x14ac:dyDescent="0.25">
      <c r="A43" t="s">
        <v>51</v>
      </c>
      <c r="B43" t="s">
        <v>141</v>
      </c>
      <c r="C43" t="s">
        <v>108</v>
      </c>
      <c r="D43" t="s">
        <v>13</v>
      </c>
      <c r="E43" t="s">
        <v>142</v>
      </c>
      <c r="F43" t="s">
        <v>143</v>
      </c>
    </row>
    <row r="44" spans="1:6" x14ac:dyDescent="0.25">
      <c r="A44" t="s">
        <v>51</v>
      </c>
      <c r="B44" t="s">
        <v>144</v>
      </c>
      <c r="C44" t="s">
        <v>108</v>
      </c>
      <c r="D44" t="s">
        <v>58</v>
      </c>
      <c r="E44" t="s">
        <v>145</v>
      </c>
      <c r="F44" t="s">
        <v>146</v>
      </c>
    </row>
    <row r="45" spans="1:6" x14ac:dyDescent="0.25">
      <c r="A45" t="s">
        <v>51</v>
      </c>
      <c r="B45" t="s">
        <v>147</v>
      </c>
      <c r="C45" t="s">
        <v>108</v>
      </c>
      <c r="D45" t="s">
        <v>13</v>
      </c>
      <c r="E45" t="s">
        <v>148</v>
      </c>
      <c r="F45" t="s">
        <v>149</v>
      </c>
    </row>
    <row r="46" spans="1:6" x14ac:dyDescent="0.25">
      <c r="A46" t="s">
        <v>51</v>
      </c>
      <c r="B46" t="s">
        <v>150</v>
      </c>
      <c r="C46" t="s">
        <v>108</v>
      </c>
      <c r="D46" t="s">
        <v>13</v>
      </c>
      <c r="E46" t="s">
        <v>151</v>
      </c>
      <c r="F46" t="s">
        <v>152</v>
      </c>
    </row>
    <row r="47" spans="1:6" x14ac:dyDescent="0.25">
      <c r="A47" t="s">
        <v>51</v>
      </c>
      <c r="B47" t="s">
        <v>153</v>
      </c>
      <c r="C47" t="s">
        <v>108</v>
      </c>
      <c r="D47" t="s">
        <v>13</v>
      </c>
      <c r="E47" t="s">
        <v>154</v>
      </c>
      <c r="F47" t="s">
        <v>155</v>
      </c>
    </row>
    <row r="48" spans="1:6" x14ac:dyDescent="0.25">
      <c r="A48" t="s">
        <v>51</v>
      </c>
      <c r="B48" t="s">
        <v>156</v>
      </c>
      <c r="C48" t="s">
        <v>157</v>
      </c>
      <c r="D48" t="s">
        <v>158</v>
      </c>
      <c r="E48" t="s">
        <v>159</v>
      </c>
      <c r="F48" t="s">
        <v>160</v>
      </c>
    </row>
    <row r="49" spans="1:6" x14ac:dyDescent="0.25">
      <c r="A49" t="s">
        <v>51</v>
      </c>
      <c r="B49" t="s">
        <v>161</v>
      </c>
      <c r="C49" t="s">
        <v>157</v>
      </c>
      <c r="D49" t="s">
        <v>158</v>
      </c>
      <c r="E49" t="s">
        <v>162</v>
      </c>
      <c r="F49" t="s">
        <v>152</v>
      </c>
    </row>
    <row r="50" spans="1:6" x14ac:dyDescent="0.25">
      <c r="A50" t="s">
        <v>51</v>
      </c>
      <c r="B50" t="s">
        <v>163</v>
      </c>
      <c r="C50" t="s">
        <v>157</v>
      </c>
      <c r="D50" t="s">
        <v>158</v>
      </c>
      <c r="E50" t="s">
        <v>164</v>
      </c>
      <c r="F50" t="s">
        <v>165</v>
      </c>
    </row>
    <row r="51" spans="1:6" x14ac:dyDescent="0.25">
      <c r="A51" t="s">
        <v>51</v>
      </c>
      <c r="B51" t="s">
        <v>166</v>
      </c>
      <c r="C51" t="s">
        <v>167</v>
      </c>
      <c r="D51" t="s">
        <v>168</v>
      </c>
      <c r="E51" t="s">
        <v>169</v>
      </c>
      <c r="F51" t="s">
        <v>170</v>
      </c>
    </row>
    <row r="52" spans="1:6" x14ac:dyDescent="0.25">
      <c r="A52" t="s">
        <v>51</v>
      </c>
      <c r="B52" t="s">
        <v>171</v>
      </c>
      <c r="C52" t="s">
        <v>167</v>
      </c>
      <c r="D52" t="s">
        <v>168</v>
      </c>
      <c r="E52" t="s">
        <v>172</v>
      </c>
      <c r="F52" t="s">
        <v>173</v>
      </c>
    </row>
    <row r="53" spans="1:6" x14ac:dyDescent="0.25">
      <c r="A53" t="s">
        <v>51</v>
      </c>
      <c r="B53" t="s">
        <v>174</v>
      </c>
      <c r="C53" t="s">
        <v>175</v>
      </c>
      <c r="D53" t="s">
        <v>62</v>
      </c>
      <c r="E53" t="s">
        <v>176</v>
      </c>
      <c r="F53" t="s">
        <v>177</v>
      </c>
    </row>
    <row r="54" spans="1:6" x14ac:dyDescent="0.25">
      <c r="A54" t="s">
        <v>51</v>
      </c>
      <c r="B54" t="s">
        <v>178</v>
      </c>
      <c r="C54" t="s">
        <v>175</v>
      </c>
      <c r="D54" t="s">
        <v>62</v>
      </c>
      <c r="E54" t="s">
        <v>179</v>
      </c>
      <c r="F54" t="s">
        <v>180</v>
      </c>
    </row>
    <row r="55" spans="1:6" x14ac:dyDescent="0.25">
      <c r="A55" t="s">
        <v>51</v>
      </c>
      <c r="B55" t="s">
        <v>181</v>
      </c>
      <c r="C55" t="s">
        <v>175</v>
      </c>
      <c r="D55" t="s">
        <v>62</v>
      </c>
      <c r="E55" t="s">
        <v>182</v>
      </c>
      <c r="F55" t="s">
        <v>183</v>
      </c>
    </row>
    <row r="56" spans="1:6" x14ac:dyDescent="0.25">
      <c r="A56" t="s">
        <v>51</v>
      </c>
      <c r="B56" t="s">
        <v>184</v>
      </c>
      <c r="C56" t="s">
        <v>175</v>
      </c>
      <c r="D56" t="s">
        <v>62</v>
      </c>
      <c r="E56" t="s">
        <v>185</v>
      </c>
      <c r="F56" t="s">
        <v>186</v>
      </c>
    </row>
    <row r="57" spans="1:6" x14ac:dyDescent="0.25">
      <c r="A57" t="s">
        <v>51</v>
      </c>
      <c r="B57" t="s">
        <v>187</v>
      </c>
      <c r="C57" t="s">
        <v>175</v>
      </c>
      <c r="D57" t="s">
        <v>62</v>
      </c>
      <c r="E57" t="s">
        <v>188</v>
      </c>
      <c r="F57" t="s">
        <v>189</v>
      </c>
    </row>
    <row r="58" spans="1:6" x14ac:dyDescent="0.25">
      <c r="A58" t="s">
        <v>51</v>
      </c>
      <c r="B58" t="s">
        <v>190</v>
      </c>
      <c r="C58" t="s">
        <v>175</v>
      </c>
      <c r="D58" t="s">
        <v>62</v>
      </c>
      <c r="E58" t="s">
        <v>191</v>
      </c>
      <c r="F58" t="s">
        <v>192</v>
      </c>
    </row>
    <row r="59" spans="1:6" x14ac:dyDescent="0.25">
      <c r="A59" t="s">
        <v>51</v>
      </c>
      <c r="B59" t="s">
        <v>193</v>
      </c>
      <c r="C59" t="s">
        <v>175</v>
      </c>
      <c r="D59" t="s">
        <v>62</v>
      </c>
      <c r="E59" t="s">
        <v>194</v>
      </c>
      <c r="F59" t="s">
        <v>195</v>
      </c>
    </row>
    <row r="60" spans="1:6" x14ac:dyDescent="0.25">
      <c r="A60" t="s">
        <v>51</v>
      </c>
      <c r="B60" t="s">
        <v>196</v>
      </c>
      <c r="C60" t="s">
        <v>197</v>
      </c>
      <c r="D60" t="s">
        <v>198</v>
      </c>
      <c r="E60" t="s">
        <v>199</v>
      </c>
      <c r="F60" t="s">
        <v>200</v>
      </c>
    </row>
    <row r="61" spans="1:6" x14ac:dyDescent="0.25">
      <c r="A61" t="s">
        <v>51</v>
      </c>
      <c r="B61" t="s">
        <v>201</v>
      </c>
      <c r="C61" t="s">
        <v>175</v>
      </c>
      <c r="D61" t="s">
        <v>198</v>
      </c>
      <c r="E61" t="s">
        <v>202</v>
      </c>
      <c r="F61" t="s">
        <v>203</v>
      </c>
    </row>
    <row r="62" spans="1:6" x14ac:dyDescent="0.25">
      <c r="A62" t="s">
        <v>51</v>
      </c>
      <c r="B62" t="s">
        <v>204</v>
      </c>
      <c r="C62" t="s">
        <v>175</v>
      </c>
      <c r="D62" t="s">
        <v>205</v>
      </c>
      <c r="E62" t="s">
        <v>206</v>
      </c>
      <c r="F62" t="s">
        <v>207</v>
      </c>
    </row>
    <row r="63" spans="1:6" x14ac:dyDescent="0.25">
      <c r="A63" t="s">
        <v>51</v>
      </c>
      <c r="B63" t="s">
        <v>208</v>
      </c>
      <c r="C63" t="s">
        <v>209</v>
      </c>
      <c r="D63" t="s">
        <v>210</v>
      </c>
      <c r="E63" t="s">
        <v>211</v>
      </c>
      <c r="F63" t="s">
        <v>212</v>
      </c>
    </row>
    <row r="64" spans="1:6" x14ac:dyDescent="0.25">
      <c r="A64" t="s">
        <v>51</v>
      </c>
      <c r="B64" t="s">
        <v>213</v>
      </c>
      <c r="C64" t="s">
        <v>209</v>
      </c>
      <c r="D64" t="s">
        <v>214</v>
      </c>
      <c r="E64" t="s">
        <v>215</v>
      </c>
      <c r="F64" t="s">
        <v>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37"/>
  <sheetViews>
    <sheetView workbookViewId="0">
      <pane ySplit="1" topLeftCell="A2" activePane="bottomLeft" state="frozen"/>
      <selection pane="bottomLeft" activeCell="D16" sqref="D16"/>
    </sheetView>
  </sheetViews>
  <sheetFormatPr baseColWidth="10" defaultRowHeight="15" x14ac:dyDescent="0.25"/>
  <sheetData>
    <row r="1" spans="1:28" x14ac:dyDescent="0.25">
      <c r="A1" t="s">
        <v>52</v>
      </c>
      <c r="B1" t="s">
        <v>57</v>
      </c>
      <c r="C1" t="s">
        <v>65</v>
      </c>
      <c r="D1" t="s">
        <v>69</v>
      </c>
      <c r="E1" t="s">
        <v>75</v>
      </c>
      <c r="F1" t="s">
        <v>79</v>
      </c>
      <c r="G1" t="s">
        <v>82</v>
      </c>
      <c r="H1" t="s">
        <v>84</v>
      </c>
      <c r="I1" t="s">
        <v>123</v>
      </c>
      <c r="J1" t="s">
        <v>135</v>
      </c>
      <c r="K1" t="s">
        <v>141</v>
      </c>
      <c r="L1" t="s">
        <v>86</v>
      </c>
      <c r="M1" t="s">
        <v>138</v>
      </c>
      <c r="N1" t="s">
        <v>89</v>
      </c>
      <c r="O1" t="s">
        <v>92</v>
      </c>
      <c r="P1" t="s">
        <v>96</v>
      </c>
      <c r="Q1" t="s">
        <v>99</v>
      </c>
      <c r="R1" t="s">
        <v>102</v>
      </c>
      <c r="S1" t="s">
        <v>104</v>
      </c>
      <c r="T1" t="s">
        <v>107</v>
      </c>
      <c r="U1" t="s">
        <v>111</v>
      </c>
      <c r="V1" t="s">
        <v>114</v>
      </c>
      <c r="W1" t="s">
        <v>117</v>
      </c>
      <c r="X1" t="s">
        <v>120</v>
      </c>
      <c r="Y1" t="s">
        <v>144</v>
      </c>
      <c r="Z1" t="s">
        <v>147</v>
      </c>
      <c r="AA1" t="s">
        <v>150</v>
      </c>
      <c r="AB1" t="s">
        <v>153</v>
      </c>
    </row>
    <row r="2" spans="1:28" x14ac:dyDescent="0.25">
      <c r="A2">
        <v>2001</v>
      </c>
      <c r="B2" t="s">
        <v>217</v>
      </c>
      <c r="C2">
        <v>1</v>
      </c>
      <c r="D2" t="s">
        <v>218</v>
      </c>
      <c r="E2">
        <v>89240215000</v>
      </c>
      <c r="F2" t="s">
        <v>219</v>
      </c>
      <c r="G2">
        <v>32030854000</v>
      </c>
      <c r="H2" t="s">
        <v>219</v>
      </c>
      <c r="I2">
        <v>26506272680.6166</v>
      </c>
      <c r="J2">
        <v>62733942319.383301</v>
      </c>
      <c r="K2">
        <v>9505142775.6641407</v>
      </c>
      <c r="L2">
        <v>11462459000</v>
      </c>
      <c r="M2">
        <v>1736736212.1212101</v>
      </c>
      <c r="N2">
        <v>113817</v>
      </c>
      <c r="O2">
        <v>12367</v>
      </c>
      <c r="P2">
        <v>3539644000</v>
      </c>
      <c r="Q2">
        <v>2057120000</v>
      </c>
      <c r="R2">
        <v>1075519000</v>
      </c>
      <c r="S2" t="s">
        <v>219</v>
      </c>
      <c r="T2" t="s">
        <v>219</v>
      </c>
      <c r="U2">
        <v>3127411000</v>
      </c>
      <c r="V2">
        <v>6829485000</v>
      </c>
      <c r="W2">
        <v>28622363000</v>
      </c>
      <c r="X2">
        <v>28622363000</v>
      </c>
      <c r="Y2">
        <v>39864241987.7854</v>
      </c>
      <c r="Z2">
        <v>20568395000</v>
      </c>
      <c r="AA2">
        <v>0.35785680269405201</v>
      </c>
      <c r="AB2">
        <v>281424.16334993899</v>
      </c>
    </row>
    <row r="3" spans="1:28" x14ac:dyDescent="0.25">
      <c r="A3">
        <v>2001</v>
      </c>
      <c r="B3" t="s">
        <v>220</v>
      </c>
      <c r="C3">
        <v>1</v>
      </c>
      <c r="D3" t="s">
        <v>218</v>
      </c>
      <c r="E3">
        <v>13263801000</v>
      </c>
      <c r="F3" t="s">
        <v>219</v>
      </c>
      <c r="G3">
        <v>10613610000</v>
      </c>
      <c r="H3" t="s">
        <v>219</v>
      </c>
      <c r="I3">
        <v>10613610000</v>
      </c>
      <c r="J3">
        <v>2650191000</v>
      </c>
      <c r="K3" t="s">
        <v>219</v>
      </c>
      <c r="L3">
        <v>3599292000</v>
      </c>
      <c r="M3" t="s">
        <v>219</v>
      </c>
      <c r="N3">
        <v>14928</v>
      </c>
      <c r="O3">
        <v>7</v>
      </c>
      <c r="P3">
        <v>1873944000</v>
      </c>
      <c r="Q3">
        <v>148103000</v>
      </c>
      <c r="R3">
        <v>1707000</v>
      </c>
      <c r="S3" t="s">
        <v>219</v>
      </c>
      <c r="T3" t="s">
        <v>219</v>
      </c>
      <c r="U3">
        <v>1928502000</v>
      </c>
      <c r="V3">
        <v>111535000</v>
      </c>
      <c r="W3">
        <v>50479997000</v>
      </c>
      <c r="X3">
        <v>50479997000</v>
      </c>
      <c r="Y3" t="s">
        <v>219</v>
      </c>
      <c r="Z3">
        <v>7014318000</v>
      </c>
      <c r="AA3">
        <v>0.33912043121991498</v>
      </c>
      <c r="AB3">
        <v>710986.73633440502</v>
      </c>
    </row>
    <row r="4" spans="1:28" x14ac:dyDescent="0.25">
      <c r="A4">
        <v>2001</v>
      </c>
      <c r="B4" t="s">
        <v>221</v>
      </c>
      <c r="C4">
        <v>1</v>
      </c>
      <c r="D4" t="s">
        <v>218</v>
      </c>
      <c r="E4">
        <v>43491119000</v>
      </c>
      <c r="F4" t="s">
        <v>219</v>
      </c>
      <c r="G4">
        <v>24957624000</v>
      </c>
      <c r="H4" t="s">
        <v>219</v>
      </c>
      <c r="I4">
        <v>22794518392.943901</v>
      </c>
      <c r="J4">
        <v>20696600607.056099</v>
      </c>
      <c r="K4" t="s">
        <v>219</v>
      </c>
      <c r="L4">
        <v>10823278000</v>
      </c>
      <c r="M4" t="s">
        <v>219</v>
      </c>
      <c r="N4">
        <v>168971</v>
      </c>
      <c r="O4">
        <v>41141</v>
      </c>
      <c r="P4">
        <v>2205103000</v>
      </c>
      <c r="Q4">
        <v>530457000</v>
      </c>
      <c r="R4">
        <v>107333000</v>
      </c>
      <c r="S4" t="s">
        <v>219</v>
      </c>
      <c r="T4" t="s">
        <v>219</v>
      </c>
      <c r="U4">
        <v>1670535000</v>
      </c>
      <c r="V4">
        <v>1114492000</v>
      </c>
      <c r="W4">
        <v>14490199000</v>
      </c>
      <c r="X4">
        <v>14490199000</v>
      </c>
      <c r="Y4" t="s">
        <v>219</v>
      </c>
      <c r="Z4">
        <v>14134346000</v>
      </c>
      <c r="AA4">
        <v>0.433666201558289</v>
      </c>
      <c r="AB4">
        <v>147703.59410786501</v>
      </c>
    </row>
    <row r="5" spans="1:28" x14ac:dyDescent="0.25">
      <c r="A5">
        <v>2001</v>
      </c>
      <c r="B5" t="s">
        <v>222</v>
      </c>
      <c r="C5">
        <v>1</v>
      </c>
      <c r="D5" t="s">
        <v>218</v>
      </c>
      <c r="E5">
        <v>33566050000</v>
      </c>
      <c r="F5" t="s">
        <v>219</v>
      </c>
      <c r="G5">
        <v>13456590000</v>
      </c>
      <c r="H5" t="s">
        <v>219</v>
      </c>
      <c r="I5">
        <v>13454266802.865299</v>
      </c>
      <c r="J5">
        <v>20111783197.134701</v>
      </c>
      <c r="K5" t="s">
        <v>219</v>
      </c>
      <c r="L5">
        <v>6544975000</v>
      </c>
      <c r="M5" t="s">
        <v>219</v>
      </c>
      <c r="N5">
        <v>62695</v>
      </c>
      <c r="O5">
        <v>15659</v>
      </c>
      <c r="P5">
        <v>3337731000</v>
      </c>
      <c r="Q5">
        <v>1415592000</v>
      </c>
      <c r="R5">
        <v>1786934000</v>
      </c>
      <c r="S5" t="s">
        <v>219</v>
      </c>
      <c r="T5" t="s">
        <v>219</v>
      </c>
      <c r="U5">
        <v>1509319000</v>
      </c>
      <c r="V5">
        <v>-154331000</v>
      </c>
      <c r="W5">
        <v>13202423000</v>
      </c>
      <c r="X5">
        <v>13202423000</v>
      </c>
      <c r="Y5" t="s">
        <v>219</v>
      </c>
      <c r="Z5">
        <v>6911615000</v>
      </c>
      <c r="AA5">
        <v>0.48637693501845602</v>
      </c>
      <c r="AB5">
        <v>214635.77637770199</v>
      </c>
    </row>
    <row r="6" spans="1:28" x14ac:dyDescent="0.25">
      <c r="A6">
        <v>2001</v>
      </c>
      <c r="B6" t="s">
        <v>223</v>
      </c>
      <c r="C6">
        <v>1</v>
      </c>
      <c r="D6" t="s">
        <v>218</v>
      </c>
      <c r="E6">
        <v>6105764000</v>
      </c>
      <c r="F6" t="s">
        <v>219</v>
      </c>
      <c r="G6">
        <v>2287136000</v>
      </c>
      <c r="H6" t="s">
        <v>219</v>
      </c>
      <c r="I6">
        <v>2286147178.25632</v>
      </c>
      <c r="J6">
        <v>3819616821.74368</v>
      </c>
      <c r="K6" t="s">
        <v>219</v>
      </c>
      <c r="L6">
        <v>1474027000</v>
      </c>
      <c r="M6" t="s">
        <v>219</v>
      </c>
      <c r="N6">
        <v>26097</v>
      </c>
      <c r="O6">
        <v>6303</v>
      </c>
      <c r="P6">
        <v>2415023000</v>
      </c>
      <c r="Q6">
        <v>192837000</v>
      </c>
      <c r="R6">
        <v>24742000</v>
      </c>
      <c r="S6" t="s">
        <v>219</v>
      </c>
      <c r="T6" t="s">
        <v>219</v>
      </c>
      <c r="U6">
        <v>446253000</v>
      </c>
      <c r="V6">
        <v>39553000</v>
      </c>
      <c r="W6">
        <v>5880745000</v>
      </c>
      <c r="X6">
        <v>5880745000</v>
      </c>
      <c r="Y6" t="s">
        <v>219</v>
      </c>
      <c r="Z6">
        <v>813109000</v>
      </c>
      <c r="AA6">
        <v>0.64448594224392397</v>
      </c>
      <c r="AB6">
        <v>87639.805341610103</v>
      </c>
    </row>
    <row r="7" spans="1:28" x14ac:dyDescent="0.25">
      <c r="A7">
        <v>2001</v>
      </c>
      <c r="B7" t="s">
        <v>224</v>
      </c>
      <c r="C7">
        <v>1</v>
      </c>
      <c r="D7" t="s">
        <v>218</v>
      </c>
      <c r="E7">
        <v>14837125000</v>
      </c>
      <c r="F7" t="s">
        <v>219</v>
      </c>
      <c r="G7">
        <v>8359713000</v>
      </c>
      <c r="H7" t="s">
        <v>219</v>
      </c>
      <c r="I7">
        <v>8359594557.3271999</v>
      </c>
      <c r="J7">
        <v>6477530442.6728001</v>
      </c>
      <c r="K7" t="s">
        <v>219</v>
      </c>
      <c r="L7">
        <v>3864244000</v>
      </c>
      <c r="M7" t="s">
        <v>219</v>
      </c>
      <c r="N7">
        <v>60371</v>
      </c>
      <c r="O7">
        <v>13253</v>
      </c>
      <c r="P7">
        <v>908730000</v>
      </c>
      <c r="Q7">
        <v>520775000</v>
      </c>
      <c r="R7">
        <v>158545000</v>
      </c>
      <c r="S7" t="s">
        <v>219</v>
      </c>
      <c r="T7" t="s">
        <v>219</v>
      </c>
      <c r="U7">
        <v>360497000</v>
      </c>
      <c r="V7">
        <v>82393000</v>
      </c>
      <c r="W7">
        <v>3280605000</v>
      </c>
      <c r="X7">
        <v>3280605000</v>
      </c>
      <c r="Y7" t="s">
        <v>219</v>
      </c>
      <c r="Z7">
        <v>4495469000</v>
      </c>
      <c r="AA7">
        <v>0.46224601251263098</v>
      </c>
      <c r="AB7">
        <v>138472.329429693</v>
      </c>
    </row>
    <row r="8" spans="1:28" x14ac:dyDescent="0.25">
      <c r="A8">
        <v>2001</v>
      </c>
      <c r="B8" t="s">
        <v>225</v>
      </c>
      <c r="C8">
        <v>1</v>
      </c>
      <c r="D8" t="s">
        <v>218</v>
      </c>
      <c r="E8">
        <v>3554736000</v>
      </c>
      <c r="F8" t="s">
        <v>219</v>
      </c>
      <c r="G8">
        <v>2803083000</v>
      </c>
      <c r="H8" t="s">
        <v>219</v>
      </c>
      <c r="I8">
        <v>2803083000</v>
      </c>
      <c r="J8">
        <v>751653000</v>
      </c>
      <c r="K8" t="s">
        <v>219</v>
      </c>
      <c r="L8">
        <v>2188777000</v>
      </c>
      <c r="M8" t="s">
        <v>219</v>
      </c>
      <c r="N8">
        <v>30186</v>
      </c>
      <c r="O8">
        <v>1863</v>
      </c>
      <c r="P8">
        <v>241141000</v>
      </c>
      <c r="Q8">
        <v>31142000</v>
      </c>
      <c r="R8">
        <v>5934000</v>
      </c>
      <c r="S8" t="s">
        <v>219</v>
      </c>
      <c r="T8" t="s">
        <v>219</v>
      </c>
      <c r="U8">
        <v>73414000</v>
      </c>
      <c r="V8">
        <v>1245000</v>
      </c>
      <c r="W8">
        <v>1895620000</v>
      </c>
      <c r="X8">
        <v>1895620000</v>
      </c>
      <c r="Y8" t="s">
        <v>219</v>
      </c>
      <c r="Z8">
        <v>614306000</v>
      </c>
      <c r="AA8">
        <v>0.78084630387327103</v>
      </c>
      <c r="AB8">
        <v>92860.365732458798</v>
      </c>
    </row>
    <row r="9" spans="1:28" x14ac:dyDescent="0.25">
      <c r="A9">
        <v>2001</v>
      </c>
      <c r="B9" t="s">
        <v>226</v>
      </c>
      <c r="C9">
        <v>1</v>
      </c>
      <c r="D9" t="s">
        <v>218</v>
      </c>
      <c r="E9">
        <v>20736564000</v>
      </c>
      <c r="F9" t="s">
        <v>219</v>
      </c>
      <c r="G9">
        <v>11456887000</v>
      </c>
      <c r="H9" t="s">
        <v>219</v>
      </c>
      <c r="I9">
        <v>11456887000</v>
      </c>
      <c r="J9">
        <v>9279677000</v>
      </c>
      <c r="K9" t="s">
        <v>219</v>
      </c>
      <c r="L9">
        <v>8963981000</v>
      </c>
      <c r="M9" t="s">
        <v>219</v>
      </c>
      <c r="N9">
        <v>61559</v>
      </c>
      <c r="O9">
        <v>2773</v>
      </c>
      <c r="P9">
        <v>1063210000</v>
      </c>
      <c r="Q9">
        <v>340762000</v>
      </c>
      <c r="R9">
        <v>15697000</v>
      </c>
      <c r="S9" t="s">
        <v>219</v>
      </c>
      <c r="T9" t="s">
        <v>219</v>
      </c>
      <c r="U9">
        <v>358413000</v>
      </c>
      <c r="V9">
        <v>204284000</v>
      </c>
      <c r="W9">
        <v>5999539000</v>
      </c>
      <c r="X9">
        <v>5999539000</v>
      </c>
      <c r="Y9" t="s">
        <v>219</v>
      </c>
      <c r="Z9">
        <v>2492906000</v>
      </c>
      <c r="AA9">
        <v>0.782409829127232</v>
      </c>
      <c r="AB9">
        <v>186112.29877028501</v>
      </c>
    </row>
    <row r="10" spans="1:28" x14ac:dyDescent="0.25">
      <c r="A10">
        <v>2002</v>
      </c>
      <c r="B10" t="s">
        <v>217</v>
      </c>
      <c r="C10">
        <v>2</v>
      </c>
      <c r="D10" t="s">
        <v>218</v>
      </c>
      <c r="E10">
        <v>104934883446</v>
      </c>
      <c r="F10" t="s">
        <v>219</v>
      </c>
      <c r="G10">
        <v>39381506784</v>
      </c>
      <c r="H10" t="s">
        <v>219</v>
      </c>
      <c r="I10">
        <v>32589107907.9646</v>
      </c>
      <c r="J10">
        <v>72345775538.0354</v>
      </c>
      <c r="K10">
        <v>10961481142.1266</v>
      </c>
      <c r="L10">
        <v>9421078355</v>
      </c>
      <c r="M10">
        <v>1427436114.39394</v>
      </c>
      <c r="N10">
        <v>76575</v>
      </c>
      <c r="O10">
        <v>2884</v>
      </c>
      <c r="P10" t="s">
        <v>219</v>
      </c>
      <c r="Q10" t="s">
        <v>219</v>
      </c>
      <c r="R10" t="s">
        <v>219</v>
      </c>
      <c r="S10" t="s">
        <v>219</v>
      </c>
      <c r="T10" t="s">
        <v>219</v>
      </c>
      <c r="U10">
        <v>3758469943</v>
      </c>
      <c r="V10">
        <v>5924169665</v>
      </c>
      <c r="W10" t="s">
        <v>219</v>
      </c>
      <c r="X10">
        <v>38087990148.780998</v>
      </c>
      <c r="Y10">
        <v>50476907405.301498</v>
      </c>
      <c r="Z10">
        <v>29960428429</v>
      </c>
      <c r="AA10">
        <v>0.23922594954715201</v>
      </c>
      <c r="AB10">
        <v>514286.73567091097</v>
      </c>
    </row>
    <row r="11" spans="1:28" x14ac:dyDescent="0.25">
      <c r="A11">
        <v>2002</v>
      </c>
      <c r="B11" t="s">
        <v>220</v>
      </c>
      <c r="C11">
        <v>2</v>
      </c>
      <c r="D11" t="s">
        <v>218</v>
      </c>
      <c r="E11">
        <v>15787447980</v>
      </c>
      <c r="F11" t="s">
        <v>219</v>
      </c>
      <c r="G11">
        <v>12439436732</v>
      </c>
      <c r="H11" t="s">
        <v>219</v>
      </c>
      <c r="I11">
        <v>12439436732</v>
      </c>
      <c r="J11">
        <v>3348011248</v>
      </c>
      <c r="K11" t="s">
        <v>219</v>
      </c>
      <c r="L11">
        <v>3806404173</v>
      </c>
      <c r="M11" t="s">
        <v>219</v>
      </c>
      <c r="N11">
        <v>12215</v>
      </c>
      <c r="O11">
        <v>6</v>
      </c>
      <c r="P11" t="s">
        <v>219</v>
      </c>
      <c r="Q11" t="s">
        <v>219</v>
      </c>
      <c r="R11" t="s">
        <v>219</v>
      </c>
      <c r="S11" t="s">
        <v>219</v>
      </c>
      <c r="T11" t="s">
        <v>219</v>
      </c>
      <c r="U11">
        <v>3105564554</v>
      </c>
      <c r="V11">
        <v>89560282</v>
      </c>
      <c r="W11" t="s">
        <v>219</v>
      </c>
      <c r="X11">
        <v>62423317162.802597</v>
      </c>
      <c r="Y11" t="s">
        <v>219</v>
      </c>
      <c r="Z11">
        <v>8633032559</v>
      </c>
      <c r="AA11">
        <v>0.30599489792075302</v>
      </c>
      <c r="AB11">
        <v>1018373.86262792</v>
      </c>
    </row>
    <row r="12" spans="1:28" x14ac:dyDescent="0.25">
      <c r="A12">
        <v>2002</v>
      </c>
      <c r="B12" t="s">
        <v>221</v>
      </c>
      <c r="C12">
        <v>2</v>
      </c>
      <c r="D12" t="s">
        <v>218</v>
      </c>
      <c r="E12">
        <v>31693348520</v>
      </c>
      <c r="F12" t="s">
        <v>219</v>
      </c>
      <c r="G12">
        <v>18177965195</v>
      </c>
      <c r="H12" t="s">
        <v>219</v>
      </c>
      <c r="I12">
        <v>16602460313.679001</v>
      </c>
      <c r="J12">
        <v>15090888206.320999</v>
      </c>
      <c r="K12" t="s">
        <v>219</v>
      </c>
      <c r="L12">
        <v>7709632973</v>
      </c>
      <c r="M12" t="s">
        <v>219</v>
      </c>
      <c r="N12">
        <v>76468</v>
      </c>
      <c r="O12">
        <v>4704</v>
      </c>
      <c r="P12" t="s">
        <v>219</v>
      </c>
      <c r="Q12" t="s">
        <v>219</v>
      </c>
      <c r="R12" t="s">
        <v>219</v>
      </c>
      <c r="S12" t="s">
        <v>219</v>
      </c>
      <c r="T12" t="s">
        <v>219</v>
      </c>
      <c r="U12">
        <v>1426375588</v>
      </c>
      <c r="V12">
        <v>632733549</v>
      </c>
      <c r="W12" t="s">
        <v>219</v>
      </c>
      <c r="X12">
        <v>10354075756.013599</v>
      </c>
      <c r="Y12" t="s">
        <v>219</v>
      </c>
      <c r="Z12">
        <v>10468332222</v>
      </c>
      <c r="AA12">
        <v>0.42411969053173199</v>
      </c>
      <c r="AB12">
        <v>237719.89845425499</v>
      </c>
    </row>
    <row r="13" spans="1:28" x14ac:dyDescent="0.25">
      <c r="A13">
        <v>2002</v>
      </c>
      <c r="B13" t="s">
        <v>222</v>
      </c>
      <c r="C13">
        <v>2</v>
      </c>
      <c r="D13" t="s">
        <v>218</v>
      </c>
      <c r="E13">
        <v>37112316985</v>
      </c>
      <c r="F13" t="s">
        <v>219</v>
      </c>
      <c r="G13">
        <v>15304944081</v>
      </c>
      <c r="H13" t="s">
        <v>219</v>
      </c>
      <c r="I13">
        <v>15302301776.9515</v>
      </c>
      <c r="J13">
        <v>21810015208.0485</v>
      </c>
      <c r="K13" t="s">
        <v>219</v>
      </c>
      <c r="L13">
        <v>6795894609</v>
      </c>
      <c r="M13" t="s">
        <v>219</v>
      </c>
      <c r="N13">
        <v>37362</v>
      </c>
      <c r="O13">
        <v>1139</v>
      </c>
      <c r="P13" t="s">
        <v>219</v>
      </c>
      <c r="Q13" t="s">
        <v>219</v>
      </c>
      <c r="R13" t="s">
        <v>219</v>
      </c>
      <c r="S13" t="s">
        <v>219</v>
      </c>
      <c r="T13" t="s">
        <v>219</v>
      </c>
      <c r="U13">
        <v>1592530017</v>
      </c>
      <c r="V13">
        <v>69155721</v>
      </c>
      <c r="W13" t="s">
        <v>219</v>
      </c>
      <c r="X13">
        <v>7360665563.4612703</v>
      </c>
      <c r="Y13" t="s">
        <v>219</v>
      </c>
      <c r="Z13">
        <v>8509049472</v>
      </c>
      <c r="AA13">
        <v>0.44403263239861301</v>
      </c>
      <c r="AB13">
        <v>409639.31483860599</v>
      </c>
    </row>
    <row r="14" spans="1:28" x14ac:dyDescent="0.25">
      <c r="A14">
        <v>2002</v>
      </c>
      <c r="B14" t="s">
        <v>223</v>
      </c>
      <c r="C14">
        <v>2</v>
      </c>
      <c r="D14" t="s">
        <v>218</v>
      </c>
      <c r="E14">
        <v>6055117793</v>
      </c>
      <c r="F14" t="s">
        <v>219</v>
      </c>
      <c r="G14">
        <v>2738851808</v>
      </c>
      <c r="H14" t="s">
        <v>219</v>
      </c>
      <c r="I14">
        <v>2737667691.1742101</v>
      </c>
      <c r="J14">
        <v>3317450101.8257899</v>
      </c>
      <c r="K14" t="s">
        <v>219</v>
      </c>
      <c r="L14">
        <v>1165502269</v>
      </c>
      <c r="M14" t="s">
        <v>219</v>
      </c>
      <c r="N14">
        <v>14784</v>
      </c>
      <c r="O14">
        <v>837</v>
      </c>
      <c r="P14" t="s">
        <v>219</v>
      </c>
      <c r="Q14" t="s">
        <v>219</v>
      </c>
      <c r="R14" t="s">
        <v>219</v>
      </c>
      <c r="S14" t="s">
        <v>219</v>
      </c>
      <c r="T14" t="s">
        <v>219</v>
      </c>
      <c r="U14">
        <v>346961879</v>
      </c>
      <c r="V14">
        <v>206430881</v>
      </c>
      <c r="W14" t="s">
        <v>219</v>
      </c>
      <c r="X14">
        <v>7449592398.3292904</v>
      </c>
      <c r="Y14" t="s">
        <v>219</v>
      </c>
      <c r="Z14">
        <v>1573349539</v>
      </c>
      <c r="AA14">
        <v>0.42554411509072798</v>
      </c>
      <c r="AB14">
        <v>185257.83333333299</v>
      </c>
    </row>
    <row r="15" spans="1:28" x14ac:dyDescent="0.25">
      <c r="A15">
        <v>2002</v>
      </c>
      <c r="B15" t="s">
        <v>224</v>
      </c>
      <c r="C15">
        <v>2</v>
      </c>
      <c r="D15" t="s">
        <v>218</v>
      </c>
      <c r="E15">
        <v>10532305500</v>
      </c>
      <c r="F15" t="s">
        <v>219</v>
      </c>
      <c r="G15">
        <v>5766938265</v>
      </c>
      <c r="H15" t="s">
        <v>219</v>
      </c>
      <c r="I15">
        <v>5766856557.4602804</v>
      </c>
      <c r="J15">
        <v>4765448942.5397196</v>
      </c>
      <c r="K15" t="s">
        <v>219</v>
      </c>
      <c r="L15">
        <v>3189588114</v>
      </c>
      <c r="M15" t="s">
        <v>219</v>
      </c>
      <c r="N15">
        <v>36920</v>
      </c>
      <c r="O15">
        <v>1207</v>
      </c>
      <c r="P15" t="s">
        <v>219</v>
      </c>
      <c r="Q15" t="s">
        <v>219</v>
      </c>
      <c r="R15" t="s">
        <v>219</v>
      </c>
      <c r="S15" t="s">
        <v>219</v>
      </c>
      <c r="T15" t="s">
        <v>219</v>
      </c>
      <c r="U15">
        <v>319767425</v>
      </c>
      <c r="V15">
        <v>-38267584</v>
      </c>
      <c r="W15" t="s">
        <v>219</v>
      </c>
      <c r="X15">
        <v>2312831485.7625699</v>
      </c>
      <c r="Y15" t="s">
        <v>219</v>
      </c>
      <c r="Z15">
        <v>2577350151</v>
      </c>
      <c r="AA15">
        <v>0.55308171640363502</v>
      </c>
      <c r="AB15">
        <v>156200.928087757</v>
      </c>
    </row>
    <row r="16" spans="1:28" x14ac:dyDescent="0.25">
      <c r="A16">
        <v>2002</v>
      </c>
      <c r="B16" t="s">
        <v>225</v>
      </c>
      <c r="C16">
        <v>2</v>
      </c>
      <c r="D16" t="s">
        <v>218</v>
      </c>
      <c r="E16">
        <v>3635163473</v>
      </c>
      <c r="F16" t="s">
        <v>219</v>
      </c>
      <c r="G16">
        <v>2764590458</v>
      </c>
      <c r="H16" t="s">
        <v>219</v>
      </c>
      <c r="I16">
        <v>2764590458</v>
      </c>
      <c r="J16">
        <v>870573015</v>
      </c>
      <c r="K16" t="s">
        <v>219</v>
      </c>
      <c r="L16">
        <v>2232779019</v>
      </c>
      <c r="M16" t="s">
        <v>219</v>
      </c>
      <c r="N16">
        <v>29269</v>
      </c>
      <c r="O16">
        <v>795</v>
      </c>
      <c r="P16" t="s">
        <v>219</v>
      </c>
      <c r="Q16" t="s">
        <v>219</v>
      </c>
      <c r="R16" t="s">
        <v>219</v>
      </c>
      <c r="S16" t="s">
        <v>219</v>
      </c>
      <c r="T16" t="s">
        <v>219</v>
      </c>
      <c r="U16">
        <v>186228974</v>
      </c>
      <c r="V16">
        <v>1845445</v>
      </c>
      <c r="W16" t="s">
        <v>219</v>
      </c>
      <c r="X16">
        <v>4129364465.0208502</v>
      </c>
      <c r="Y16" t="s">
        <v>219</v>
      </c>
      <c r="Z16">
        <v>531811439</v>
      </c>
      <c r="AA16">
        <v>0.80763463989355899</v>
      </c>
      <c r="AB16">
        <v>94454.557996515097</v>
      </c>
    </row>
    <row r="17" spans="1:28" x14ac:dyDescent="0.25">
      <c r="A17">
        <v>2002</v>
      </c>
      <c r="B17" t="s">
        <v>226</v>
      </c>
      <c r="C17">
        <v>2</v>
      </c>
      <c r="D17" t="s">
        <v>218</v>
      </c>
      <c r="E17">
        <v>18542655551</v>
      </c>
      <c r="F17" t="s">
        <v>219</v>
      </c>
      <c r="G17">
        <v>9779564144</v>
      </c>
      <c r="H17" t="s">
        <v>219</v>
      </c>
      <c r="I17">
        <v>9779564144</v>
      </c>
      <c r="J17">
        <v>8763091407</v>
      </c>
      <c r="K17" t="s">
        <v>219</v>
      </c>
      <c r="L17">
        <v>8301959694</v>
      </c>
      <c r="M17" t="s">
        <v>219</v>
      </c>
      <c r="N17">
        <v>56404</v>
      </c>
      <c r="O17">
        <v>726</v>
      </c>
      <c r="P17" t="s">
        <v>219</v>
      </c>
      <c r="Q17" t="s">
        <v>219</v>
      </c>
      <c r="R17" t="s">
        <v>219</v>
      </c>
      <c r="S17" t="s">
        <v>219</v>
      </c>
      <c r="T17" t="s">
        <v>219</v>
      </c>
      <c r="U17">
        <v>427982536</v>
      </c>
      <c r="V17">
        <v>308347891</v>
      </c>
      <c r="W17" t="s">
        <v>219</v>
      </c>
      <c r="X17">
        <v>6489961199.51546</v>
      </c>
      <c r="Y17" t="s">
        <v>219</v>
      </c>
      <c r="Z17">
        <v>1477604450</v>
      </c>
      <c r="AA17">
        <v>0.84890896687798201</v>
      </c>
      <c r="AB17">
        <v>173384.230621942</v>
      </c>
    </row>
    <row r="18" spans="1:28" x14ac:dyDescent="0.25">
      <c r="A18">
        <v>2003</v>
      </c>
      <c r="B18" t="s">
        <v>217</v>
      </c>
      <c r="C18">
        <v>2</v>
      </c>
      <c r="D18" t="s">
        <v>218</v>
      </c>
      <c r="E18">
        <v>139349946300</v>
      </c>
      <c r="F18" t="s">
        <v>219</v>
      </c>
      <c r="G18">
        <v>41497361974</v>
      </c>
      <c r="H18" t="s">
        <v>219</v>
      </c>
      <c r="I18">
        <v>34340027025.476601</v>
      </c>
      <c r="J18">
        <v>105009919274.52299</v>
      </c>
      <c r="K18">
        <v>15910593829.4732</v>
      </c>
      <c r="L18">
        <v>10878789626</v>
      </c>
      <c r="M18">
        <v>1648301458.4848499</v>
      </c>
      <c r="N18">
        <v>83356</v>
      </c>
      <c r="O18">
        <v>2884</v>
      </c>
      <c r="P18">
        <v>6899547696</v>
      </c>
      <c r="Q18">
        <v>5558448986</v>
      </c>
      <c r="R18">
        <v>5256351292</v>
      </c>
      <c r="S18" t="s">
        <v>219</v>
      </c>
      <c r="T18" t="s">
        <v>219</v>
      </c>
      <c r="U18">
        <v>4714590576</v>
      </c>
      <c r="V18">
        <v>6090823735</v>
      </c>
      <c r="W18">
        <v>48103564060</v>
      </c>
      <c r="X18">
        <v>48103564060</v>
      </c>
      <c r="Y18">
        <v>65662459347.958099</v>
      </c>
      <c r="Z18">
        <v>30618572348</v>
      </c>
      <c r="AA18">
        <v>0.26215617351329601</v>
      </c>
      <c r="AB18">
        <v>497832.93313018902</v>
      </c>
    </row>
    <row r="19" spans="1:28" x14ac:dyDescent="0.25">
      <c r="A19">
        <v>2003</v>
      </c>
      <c r="B19" t="s">
        <v>220</v>
      </c>
      <c r="C19">
        <v>2</v>
      </c>
      <c r="D19" t="s">
        <v>218</v>
      </c>
      <c r="E19">
        <v>17778374536</v>
      </c>
      <c r="F19" t="s">
        <v>219</v>
      </c>
      <c r="G19">
        <v>15099711405</v>
      </c>
      <c r="H19" t="s">
        <v>219</v>
      </c>
      <c r="I19">
        <v>15099711405</v>
      </c>
      <c r="J19">
        <v>2678663131</v>
      </c>
      <c r="K19" t="s">
        <v>219</v>
      </c>
      <c r="L19">
        <v>3709025707</v>
      </c>
      <c r="M19" t="s">
        <v>219</v>
      </c>
      <c r="N19">
        <v>11033</v>
      </c>
      <c r="O19">
        <v>6</v>
      </c>
      <c r="P19">
        <v>1881480432</v>
      </c>
      <c r="Q19">
        <v>729819150</v>
      </c>
      <c r="R19">
        <v>289523</v>
      </c>
      <c r="S19" t="s">
        <v>219</v>
      </c>
      <c r="T19" t="s">
        <v>219</v>
      </c>
      <c r="U19">
        <v>2816673366</v>
      </c>
      <c r="V19">
        <v>71005452</v>
      </c>
      <c r="W19">
        <v>18404738826</v>
      </c>
      <c r="X19">
        <v>18404738826</v>
      </c>
      <c r="Y19" t="s">
        <v>219</v>
      </c>
      <c r="Z19">
        <v>11390685698</v>
      </c>
      <c r="AA19">
        <v>0.245635536171362</v>
      </c>
      <c r="AB19">
        <v>1368595.2510649899</v>
      </c>
    </row>
    <row r="20" spans="1:28" x14ac:dyDescent="0.25">
      <c r="A20">
        <v>2003</v>
      </c>
      <c r="B20" t="s">
        <v>221</v>
      </c>
      <c r="C20">
        <v>2</v>
      </c>
      <c r="D20" t="s">
        <v>218</v>
      </c>
      <c r="E20">
        <v>37563631203</v>
      </c>
      <c r="F20" t="s">
        <v>219</v>
      </c>
      <c r="G20">
        <v>21571353022</v>
      </c>
      <c r="H20" t="s">
        <v>219</v>
      </c>
      <c r="I20">
        <v>19701739365.120098</v>
      </c>
      <c r="J20">
        <v>17861891837.879902</v>
      </c>
      <c r="K20" t="s">
        <v>219</v>
      </c>
      <c r="L20">
        <v>7998489144</v>
      </c>
      <c r="M20" t="s">
        <v>219</v>
      </c>
      <c r="N20">
        <v>77964</v>
      </c>
      <c r="O20">
        <v>4704</v>
      </c>
      <c r="P20">
        <v>1137150229</v>
      </c>
      <c r="Q20">
        <v>345789196</v>
      </c>
      <c r="R20">
        <v>84676957</v>
      </c>
      <c r="S20" t="s">
        <v>219</v>
      </c>
      <c r="T20" t="s">
        <v>219</v>
      </c>
      <c r="U20">
        <v>1828622094</v>
      </c>
      <c r="V20">
        <v>718525744</v>
      </c>
      <c r="W20">
        <v>13454000561</v>
      </c>
      <c r="X20">
        <v>13454000561</v>
      </c>
      <c r="Y20" t="s">
        <v>219</v>
      </c>
      <c r="Z20">
        <v>13572863878</v>
      </c>
      <c r="AA20">
        <v>0.37079218609247999</v>
      </c>
      <c r="AB20">
        <v>276683.50805499998</v>
      </c>
    </row>
    <row r="21" spans="1:28" x14ac:dyDescent="0.25">
      <c r="A21">
        <v>2003</v>
      </c>
      <c r="B21" t="s">
        <v>222</v>
      </c>
      <c r="C21">
        <v>2</v>
      </c>
      <c r="D21" t="s">
        <v>218</v>
      </c>
      <c r="E21">
        <v>45516690384</v>
      </c>
      <c r="F21" t="s">
        <v>219</v>
      </c>
      <c r="G21">
        <v>16906173266</v>
      </c>
      <c r="H21" t="s">
        <v>219</v>
      </c>
      <c r="I21">
        <v>16903254519.624399</v>
      </c>
      <c r="J21">
        <v>28613435864.375599</v>
      </c>
      <c r="K21" t="s">
        <v>219</v>
      </c>
      <c r="L21">
        <v>6746978974</v>
      </c>
      <c r="M21" t="s">
        <v>219</v>
      </c>
      <c r="N21">
        <v>36295</v>
      </c>
      <c r="O21">
        <v>1139</v>
      </c>
      <c r="P21">
        <v>2989215591</v>
      </c>
      <c r="Q21">
        <v>1954096578</v>
      </c>
      <c r="R21">
        <v>336383626</v>
      </c>
      <c r="S21" t="s">
        <v>219</v>
      </c>
      <c r="T21" t="s">
        <v>219</v>
      </c>
      <c r="U21">
        <v>4184128201</v>
      </c>
      <c r="V21">
        <v>148694272</v>
      </c>
      <c r="W21">
        <v>16977971617</v>
      </c>
      <c r="X21">
        <v>16977971617</v>
      </c>
      <c r="Y21" t="s">
        <v>219</v>
      </c>
      <c r="Z21">
        <v>10159194292</v>
      </c>
      <c r="AA21">
        <v>0.399083746974772</v>
      </c>
      <c r="AB21">
        <v>465798.96035266598</v>
      </c>
    </row>
    <row r="22" spans="1:28" x14ac:dyDescent="0.25">
      <c r="A22">
        <v>2003</v>
      </c>
      <c r="B22" t="s">
        <v>223</v>
      </c>
      <c r="C22">
        <v>2</v>
      </c>
      <c r="D22" t="s">
        <v>218</v>
      </c>
      <c r="E22">
        <v>7545694909</v>
      </c>
      <c r="F22" t="s">
        <v>219</v>
      </c>
      <c r="G22">
        <v>3215599713</v>
      </c>
      <c r="H22" t="s">
        <v>219</v>
      </c>
      <c r="I22">
        <v>3214209478.7003498</v>
      </c>
      <c r="J22">
        <v>4331485430.2996502</v>
      </c>
      <c r="K22" t="s">
        <v>219</v>
      </c>
      <c r="L22">
        <v>1331138827</v>
      </c>
      <c r="M22" t="s">
        <v>219</v>
      </c>
      <c r="N22">
        <v>15423</v>
      </c>
      <c r="O22">
        <v>837</v>
      </c>
      <c r="P22">
        <v>407835768</v>
      </c>
      <c r="Q22">
        <v>234293111</v>
      </c>
      <c r="R22">
        <v>4134443</v>
      </c>
      <c r="S22" t="s">
        <v>219</v>
      </c>
      <c r="T22" t="s">
        <v>219</v>
      </c>
      <c r="U22">
        <v>581911564</v>
      </c>
      <c r="V22">
        <v>185578578</v>
      </c>
      <c r="W22">
        <v>15394752061</v>
      </c>
      <c r="X22">
        <v>15394752061</v>
      </c>
      <c r="Y22" t="s">
        <v>219</v>
      </c>
      <c r="Z22">
        <v>1884460886</v>
      </c>
      <c r="AA22">
        <v>0.413962851662936</v>
      </c>
      <c r="AB22">
        <v>208493.78934059499</v>
      </c>
    </row>
    <row r="23" spans="1:28" x14ac:dyDescent="0.25">
      <c r="A23">
        <v>2003</v>
      </c>
      <c r="B23" t="s">
        <v>224</v>
      </c>
      <c r="C23">
        <v>2</v>
      </c>
      <c r="D23" t="s">
        <v>218</v>
      </c>
      <c r="E23">
        <v>10840882783</v>
      </c>
      <c r="F23" t="s">
        <v>219</v>
      </c>
      <c r="G23">
        <v>5781255267</v>
      </c>
      <c r="H23" t="s">
        <v>219</v>
      </c>
      <c r="I23">
        <v>5781173356.6131296</v>
      </c>
      <c r="J23">
        <v>5059709426.3868704</v>
      </c>
      <c r="K23" t="s">
        <v>219</v>
      </c>
      <c r="L23">
        <v>3250196651</v>
      </c>
      <c r="M23" t="s">
        <v>219</v>
      </c>
      <c r="N23">
        <v>36576</v>
      </c>
      <c r="O23">
        <v>1207</v>
      </c>
      <c r="P23">
        <v>893749498</v>
      </c>
      <c r="Q23">
        <v>392670668</v>
      </c>
      <c r="R23">
        <v>60040937</v>
      </c>
      <c r="S23" t="s">
        <v>219</v>
      </c>
      <c r="T23" t="s">
        <v>219</v>
      </c>
      <c r="U23">
        <v>446760432</v>
      </c>
      <c r="V23">
        <v>-81377996</v>
      </c>
      <c r="W23">
        <v>3036697582</v>
      </c>
      <c r="X23">
        <v>3036697582</v>
      </c>
      <c r="Y23" t="s">
        <v>219</v>
      </c>
      <c r="Z23">
        <v>2531058616</v>
      </c>
      <c r="AA23">
        <v>0.56219566528266895</v>
      </c>
      <c r="AB23">
        <v>158061.44102690299</v>
      </c>
    </row>
    <row r="24" spans="1:28" x14ac:dyDescent="0.25">
      <c r="A24">
        <v>2003</v>
      </c>
      <c r="B24" t="s">
        <v>225</v>
      </c>
      <c r="C24">
        <v>2</v>
      </c>
      <c r="D24" t="s">
        <v>218</v>
      </c>
      <c r="E24">
        <v>4020897277</v>
      </c>
      <c r="F24" t="s">
        <v>219</v>
      </c>
      <c r="G24">
        <v>3041969189</v>
      </c>
      <c r="H24" t="s">
        <v>219</v>
      </c>
      <c r="I24">
        <v>3041969189</v>
      </c>
      <c r="J24">
        <v>978928088</v>
      </c>
      <c r="K24" t="s">
        <v>219</v>
      </c>
      <c r="L24">
        <v>2333305509</v>
      </c>
      <c r="M24" t="s">
        <v>219</v>
      </c>
      <c r="N24">
        <v>30136</v>
      </c>
      <c r="O24">
        <v>795</v>
      </c>
      <c r="P24">
        <v>265611515</v>
      </c>
      <c r="Q24">
        <v>182986853</v>
      </c>
      <c r="R24">
        <v>6872122</v>
      </c>
      <c r="S24" t="s">
        <v>219</v>
      </c>
      <c r="T24" t="s">
        <v>219</v>
      </c>
      <c r="U24">
        <v>202734943</v>
      </c>
      <c r="V24">
        <v>1700570</v>
      </c>
      <c r="W24">
        <v>4535928555</v>
      </c>
      <c r="X24">
        <v>4535928555</v>
      </c>
      <c r="Y24" t="s">
        <v>219</v>
      </c>
      <c r="Z24">
        <v>708663680</v>
      </c>
      <c r="AA24">
        <v>0.767037850822887</v>
      </c>
      <c r="AB24">
        <v>100941.372079904</v>
      </c>
    </row>
    <row r="25" spans="1:28" x14ac:dyDescent="0.25">
      <c r="A25">
        <v>2003</v>
      </c>
      <c r="B25" t="s">
        <v>226</v>
      </c>
      <c r="C25">
        <v>2</v>
      </c>
      <c r="D25" t="s">
        <v>218</v>
      </c>
      <c r="E25">
        <v>20144437327</v>
      </c>
      <c r="F25" t="s">
        <v>219</v>
      </c>
      <c r="G25">
        <v>10367277432</v>
      </c>
      <c r="H25" t="s">
        <v>219</v>
      </c>
      <c r="I25">
        <v>10367277432</v>
      </c>
      <c r="J25">
        <v>9777159895</v>
      </c>
      <c r="K25" t="s">
        <v>219</v>
      </c>
      <c r="L25">
        <v>8237357729</v>
      </c>
      <c r="M25" t="s">
        <v>219</v>
      </c>
      <c r="N25">
        <v>54436</v>
      </c>
      <c r="O25">
        <v>726</v>
      </c>
      <c r="P25">
        <v>464436226</v>
      </c>
      <c r="Q25">
        <v>160670968</v>
      </c>
      <c r="R25">
        <v>16922814</v>
      </c>
      <c r="S25" t="s">
        <v>219</v>
      </c>
      <c r="T25" t="s">
        <v>219</v>
      </c>
      <c r="U25">
        <v>612598654</v>
      </c>
      <c r="V25">
        <v>532348671</v>
      </c>
      <c r="W25">
        <v>8950823549</v>
      </c>
      <c r="X25">
        <v>8950823549</v>
      </c>
      <c r="Y25" t="s">
        <v>219</v>
      </c>
      <c r="Z25">
        <v>2129919703</v>
      </c>
      <c r="AA25">
        <v>0.79455361188408902</v>
      </c>
      <c r="AB25">
        <v>190448.92042030999</v>
      </c>
    </row>
    <row r="26" spans="1:28" x14ac:dyDescent="0.25">
      <c r="A26">
        <v>2004</v>
      </c>
      <c r="B26" t="s">
        <v>217</v>
      </c>
      <c r="C26">
        <v>2</v>
      </c>
      <c r="D26" t="s">
        <v>218</v>
      </c>
      <c r="E26">
        <v>179010449525</v>
      </c>
      <c r="F26" t="s">
        <v>219</v>
      </c>
      <c r="G26">
        <v>52621053735</v>
      </c>
      <c r="H26" t="s">
        <v>219</v>
      </c>
      <c r="I26">
        <v>43545139291.050201</v>
      </c>
      <c r="J26">
        <v>135465310233.95</v>
      </c>
      <c r="K26">
        <v>20525047005.143902</v>
      </c>
      <c r="L26">
        <v>12139435357</v>
      </c>
      <c r="M26">
        <v>1839308387.4242401</v>
      </c>
      <c r="N26">
        <v>88653</v>
      </c>
      <c r="O26">
        <v>3252</v>
      </c>
      <c r="P26">
        <v>6396127195</v>
      </c>
      <c r="Q26">
        <v>3154522472</v>
      </c>
      <c r="R26">
        <v>1599697016</v>
      </c>
      <c r="S26">
        <v>1743085329</v>
      </c>
      <c r="T26">
        <v>3342782345</v>
      </c>
      <c r="U26">
        <v>5136920717</v>
      </c>
      <c r="V26">
        <v>7039185004</v>
      </c>
      <c r="W26">
        <v>50525577181</v>
      </c>
      <c r="X26">
        <v>50525577181</v>
      </c>
      <c r="Y26">
        <v>72889932573.568207</v>
      </c>
      <c r="Z26">
        <v>40481618378</v>
      </c>
      <c r="AA26">
        <v>0.23069540602767599</v>
      </c>
      <c r="AB26">
        <v>593562.01972860505</v>
      </c>
    </row>
    <row r="27" spans="1:28" x14ac:dyDescent="0.25">
      <c r="A27">
        <v>2004</v>
      </c>
      <c r="B27" t="s">
        <v>220</v>
      </c>
      <c r="C27">
        <v>2</v>
      </c>
      <c r="D27" t="s">
        <v>218</v>
      </c>
      <c r="E27">
        <v>18970896638</v>
      </c>
      <c r="F27" t="s">
        <v>219</v>
      </c>
      <c r="G27">
        <v>16452542193</v>
      </c>
      <c r="H27" t="s">
        <v>219</v>
      </c>
      <c r="I27">
        <v>16452542193</v>
      </c>
      <c r="J27">
        <v>2518354445</v>
      </c>
      <c r="K27" t="s">
        <v>219</v>
      </c>
      <c r="L27">
        <v>4318586343</v>
      </c>
      <c r="M27" t="s">
        <v>219</v>
      </c>
      <c r="N27">
        <v>11278</v>
      </c>
      <c r="O27">
        <v>8</v>
      </c>
      <c r="P27">
        <v>1586645703</v>
      </c>
      <c r="Q27">
        <v>1391609954</v>
      </c>
      <c r="R27">
        <v>577445</v>
      </c>
      <c r="S27">
        <v>0</v>
      </c>
      <c r="T27">
        <v>577445</v>
      </c>
      <c r="U27">
        <v>3527584731</v>
      </c>
      <c r="V27">
        <v>193662937</v>
      </c>
      <c r="W27">
        <v>69005735625</v>
      </c>
      <c r="X27">
        <v>69005735625</v>
      </c>
      <c r="Y27" t="s">
        <v>219</v>
      </c>
      <c r="Z27">
        <v>12133955850</v>
      </c>
      <c r="AA27">
        <v>0.26248748019241702</v>
      </c>
      <c r="AB27">
        <v>1458817.3606135801</v>
      </c>
    </row>
    <row r="28" spans="1:28" x14ac:dyDescent="0.25">
      <c r="A28">
        <v>2004</v>
      </c>
      <c r="B28" t="s">
        <v>221</v>
      </c>
      <c r="C28">
        <v>2</v>
      </c>
      <c r="D28" t="s">
        <v>218</v>
      </c>
      <c r="E28">
        <v>44736252618</v>
      </c>
      <c r="F28" t="s">
        <v>219</v>
      </c>
      <c r="G28">
        <v>25542912801</v>
      </c>
      <c r="H28" t="s">
        <v>219</v>
      </c>
      <c r="I28">
        <v>23329079549.069199</v>
      </c>
      <c r="J28">
        <v>21407173068.930801</v>
      </c>
      <c r="K28" t="s">
        <v>219</v>
      </c>
      <c r="L28">
        <v>8750816236</v>
      </c>
      <c r="M28" t="s">
        <v>219</v>
      </c>
      <c r="N28">
        <v>80808</v>
      </c>
      <c r="O28">
        <v>5540</v>
      </c>
      <c r="P28">
        <v>2848082374</v>
      </c>
      <c r="Q28">
        <v>693786571</v>
      </c>
      <c r="R28">
        <v>168379555</v>
      </c>
      <c r="S28">
        <v>743240013</v>
      </c>
      <c r="T28">
        <v>911619568</v>
      </c>
      <c r="U28">
        <v>2071656593</v>
      </c>
      <c r="V28">
        <v>891739416</v>
      </c>
      <c r="W28">
        <v>14305115357</v>
      </c>
      <c r="X28">
        <v>14305115357</v>
      </c>
      <c r="Y28" t="s">
        <v>219</v>
      </c>
      <c r="Z28">
        <v>16792096565</v>
      </c>
      <c r="AA28">
        <v>0.342592730287887</v>
      </c>
      <c r="AB28">
        <v>316093.86200623697</v>
      </c>
    </row>
    <row r="29" spans="1:28" x14ac:dyDescent="0.25">
      <c r="A29">
        <v>2004</v>
      </c>
      <c r="B29" t="s">
        <v>222</v>
      </c>
      <c r="C29">
        <v>2</v>
      </c>
      <c r="D29" t="s">
        <v>218</v>
      </c>
      <c r="E29">
        <v>54138973445</v>
      </c>
      <c r="F29" t="s">
        <v>219</v>
      </c>
      <c r="G29">
        <v>18769614747</v>
      </c>
      <c r="H29" t="s">
        <v>219</v>
      </c>
      <c r="I29">
        <v>18766374288.964199</v>
      </c>
      <c r="J29">
        <v>35372599156.035797</v>
      </c>
      <c r="K29" t="s">
        <v>219</v>
      </c>
      <c r="L29">
        <v>7257265654</v>
      </c>
      <c r="M29" t="s">
        <v>219</v>
      </c>
      <c r="N29">
        <v>38895</v>
      </c>
      <c r="O29">
        <v>1403</v>
      </c>
      <c r="P29">
        <v>6988113014</v>
      </c>
      <c r="Q29">
        <v>4667216558</v>
      </c>
      <c r="R29">
        <v>443287668</v>
      </c>
      <c r="S29">
        <v>940736307</v>
      </c>
      <c r="T29">
        <v>1384023975</v>
      </c>
      <c r="U29">
        <v>4707582011</v>
      </c>
      <c r="V29">
        <v>180141199</v>
      </c>
      <c r="W29">
        <v>23318179581</v>
      </c>
      <c r="X29">
        <v>23318179581</v>
      </c>
      <c r="Y29" t="s">
        <v>219</v>
      </c>
      <c r="Z29">
        <v>11512349093</v>
      </c>
      <c r="AA29">
        <v>0.38664968630536001</v>
      </c>
      <c r="AB29">
        <v>482571.40370227501</v>
      </c>
    </row>
    <row r="30" spans="1:28" x14ac:dyDescent="0.25">
      <c r="A30">
        <v>2004</v>
      </c>
      <c r="B30" t="s">
        <v>223</v>
      </c>
      <c r="C30">
        <v>2</v>
      </c>
      <c r="D30" t="s">
        <v>218</v>
      </c>
      <c r="E30">
        <v>7527262326</v>
      </c>
      <c r="F30" t="s">
        <v>219</v>
      </c>
      <c r="G30">
        <v>3225745138</v>
      </c>
      <c r="H30" t="s">
        <v>219</v>
      </c>
      <c r="I30">
        <v>3224350517.4212399</v>
      </c>
      <c r="J30">
        <v>4302911808.5787601</v>
      </c>
      <c r="K30" t="s">
        <v>219</v>
      </c>
      <c r="L30">
        <v>1362647439</v>
      </c>
      <c r="M30" t="s">
        <v>219</v>
      </c>
      <c r="N30">
        <v>14104</v>
      </c>
      <c r="O30">
        <v>810</v>
      </c>
      <c r="P30">
        <v>564815404</v>
      </c>
      <c r="Q30">
        <v>101735015</v>
      </c>
      <c r="R30">
        <v>0</v>
      </c>
      <c r="S30">
        <v>17194896</v>
      </c>
      <c r="T30">
        <v>17194896</v>
      </c>
      <c r="U30">
        <v>618478957</v>
      </c>
      <c r="V30">
        <v>151819588</v>
      </c>
      <c r="W30">
        <v>12857715294</v>
      </c>
      <c r="X30">
        <v>12857715294</v>
      </c>
      <c r="Y30" t="s">
        <v>219</v>
      </c>
      <c r="Z30">
        <v>1863097699</v>
      </c>
      <c r="AA30">
        <v>0.42242873528590602</v>
      </c>
      <c r="AB30">
        <v>228711.36826432199</v>
      </c>
    </row>
    <row r="31" spans="1:28" x14ac:dyDescent="0.25">
      <c r="A31">
        <v>2004</v>
      </c>
      <c r="B31" t="s">
        <v>224</v>
      </c>
      <c r="C31">
        <v>2</v>
      </c>
      <c r="D31" t="s">
        <v>218</v>
      </c>
      <c r="E31">
        <v>12469844085</v>
      </c>
      <c r="F31" t="s">
        <v>219</v>
      </c>
      <c r="G31">
        <v>6554832803</v>
      </c>
      <c r="H31" t="s">
        <v>219</v>
      </c>
      <c r="I31">
        <v>6554739932.3575602</v>
      </c>
      <c r="J31">
        <v>5915104152.6424398</v>
      </c>
      <c r="K31" t="s">
        <v>219</v>
      </c>
      <c r="L31">
        <v>3515024005</v>
      </c>
      <c r="M31" t="s">
        <v>219</v>
      </c>
      <c r="N31">
        <v>33674</v>
      </c>
      <c r="O31">
        <v>1340</v>
      </c>
      <c r="P31">
        <v>1110214370</v>
      </c>
      <c r="Q31">
        <v>616807060</v>
      </c>
      <c r="R31">
        <v>128520209</v>
      </c>
      <c r="S31">
        <v>183666728</v>
      </c>
      <c r="T31">
        <v>312186937</v>
      </c>
      <c r="U31">
        <v>454902760</v>
      </c>
      <c r="V31">
        <v>-111867613</v>
      </c>
      <c r="W31">
        <v>3709336385</v>
      </c>
      <c r="X31">
        <v>3709336385</v>
      </c>
      <c r="Y31" t="s">
        <v>219</v>
      </c>
      <c r="Z31">
        <v>3039808798</v>
      </c>
      <c r="AA31">
        <v>0.53624922414363496</v>
      </c>
      <c r="AB31">
        <v>194655.60381897</v>
      </c>
    </row>
    <row r="32" spans="1:28" x14ac:dyDescent="0.25">
      <c r="A32">
        <v>2004</v>
      </c>
      <c r="B32" t="s">
        <v>225</v>
      </c>
      <c r="C32">
        <v>2</v>
      </c>
      <c r="D32" t="s">
        <v>218</v>
      </c>
      <c r="E32">
        <v>4122763764</v>
      </c>
      <c r="F32" t="s">
        <v>219</v>
      </c>
      <c r="G32">
        <v>3114011412</v>
      </c>
      <c r="H32" t="s">
        <v>219</v>
      </c>
      <c r="I32">
        <v>3114011412</v>
      </c>
      <c r="J32">
        <v>1008752352</v>
      </c>
      <c r="K32" t="s">
        <v>219</v>
      </c>
      <c r="L32">
        <v>2364813124</v>
      </c>
      <c r="M32" t="s">
        <v>219</v>
      </c>
      <c r="N32">
        <v>28379</v>
      </c>
      <c r="O32">
        <v>850</v>
      </c>
      <c r="P32">
        <v>442468386</v>
      </c>
      <c r="Q32">
        <v>85104732</v>
      </c>
      <c r="R32">
        <v>12004244</v>
      </c>
      <c r="S32">
        <v>14446685</v>
      </c>
      <c r="T32">
        <v>26450929</v>
      </c>
      <c r="U32">
        <v>183943843</v>
      </c>
      <c r="V32">
        <v>1516610</v>
      </c>
      <c r="W32">
        <v>4097580261</v>
      </c>
      <c r="X32">
        <v>4097580261</v>
      </c>
      <c r="Y32" t="s">
        <v>219</v>
      </c>
      <c r="Z32">
        <v>749198288</v>
      </c>
      <c r="AA32">
        <v>0.75941055157571802</v>
      </c>
      <c r="AB32">
        <v>109729.427111597</v>
      </c>
    </row>
    <row r="33" spans="1:28" x14ac:dyDescent="0.25">
      <c r="A33">
        <v>2004</v>
      </c>
      <c r="B33" t="s">
        <v>226</v>
      </c>
      <c r="C33">
        <v>2</v>
      </c>
      <c r="D33" t="s">
        <v>218</v>
      </c>
      <c r="E33">
        <v>21510528473</v>
      </c>
      <c r="F33" t="s">
        <v>219</v>
      </c>
      <c r="G33">
        <v>10967962939</v>
      </c>
      <c r="H33" t="s">
        <v>219</v>
      </c>
      <c r="I33">
        <v>10967962939</v>
      </c>
      <c r="J33">
        <v>10542565534</v>
      </c>
      <c r="K33" t="s">
        <v>219</v>
      </c>
      <c r="L33">
        <v>8298900124</v>
      </c>
      <c r="M33" t="s">
        <v>219</v>
      </c>
      <c r="N33">
        <v>52548</v>
      </c>
      <c r="O33">
        <v>790</v>
      </c>
      <c r="P33">
        <v>1020214687</v>
      </c>
      <c r="Q33">
        <v>370879850</v>
      </c>
      <c r="R33">
        <v>20163040</v>
      </c>
      <c r="S33">
        <v>147177599</v>
      </c>
      <c r="T33">
        <v>167340639</v>
      </c>
      <c r="U33">
        <v>640676128</v>
      </c>
      <c r="V33">
        <v>524173728</v>
      </c>
      <c r="W33">
        <v>9519982217</v>
      </c>
      <c r="X33">
        <v>9519982217</v>
      </c>
      <c r="Y33" t="s">
        <v>219</v>
      </c>
      <c r="Z33">
        <v>2669062815</v>
      </c>
      <c r="AA33">
        <v>0.75664917634711204</v>
      </c>
      <c r="AB33">
        <v>208722.74756413201</v>
      </c>
    </row>
    <row r="34" spans="1:28" x14ac:dyDescent="0.25">
      <c r="A34">
        <v>2005</v>
      </c>
      <c r="B34" t="s">
        <v>217</v>
      </c>
      <c r="C34">
        <v>2</v>
      </c>
      <c r="D34" t="s">
        <v>218</v>
      </c>
      <c r="E34">
        <v>184862461743</v>
      </c>
      <c r="F34" t="s">
        <v>219</v>
      </c>
      <c r="G34">
        <v>53991760706</v>
      </c>
      <c r="H34" t="s">
        <v>219</v>
      </c>
      <c r="I34">
        <v>44679431019.224098</v>
      </c>
      <c r="J34">
        <v>140183030723.776</v>
      </c>
      <c r="K34">
        <v>21239853139.966</v>
      </c>
      <c r="L34">
        <v>14615233399</v>
      </c>
      <c r="M34">
        <v>2214429302.8787899</v>
      </c>
      <c r="N34">
        <v>102414</v>
      </c>
      <c r="O34">
        <v>3445</v>
      </c>
      <c r="P34">
        <v>6464007473</v>
      </c>
      <c r="Q34">
        <v>2747259075</v>
      </c>
      <c r="R34">
        <v>2116008436</v>
      </c>
      <c r="S34">
        <v>2111494326</v>
      </c>
      <c r="T34">
        <v>4227502762</v>
      </c>
      <c r="U34">
        <v>5058292667</v>
      </c>
      <c r="V34">
        <v>7651885206</v>
      </c>
      <c r="W34">
        <v>52418214093</v>
      </c>
      <c r="X34">
        <v>52418214093</v>
      </c>
      <c r="Y34">
        <v>75872496535.844803</v>
      </c>
      <c r="Z34">
        <v>39376527307</v>
      </c>
      <c r="AA34">
        <v>0.27069377267735301</v>
      </c>
      <c r="AB34">
        <v>527191.21122112195</v>
      </c>
    </row>
    <row r="35" spans="1:28" x14ac:dyDescent="0.25">
      <c r="A35">
        <v>2005</v>
      </c>
      <c r="B35" t="s">
        <v>220</v>
      </c>
      <c r="C35">
        <v>2</v>
      </c>
      <c r="D35" t="s">
        <v>218</v>
      </c>
      <c r="E35">
        <v>21452171857</v>
      </c>
      <c r="F35" t="s">
        <v>219</v>
      </c>
      <c r="G35">
        <v>17681330593</v>
      </c>
      <c r="H35" t="s">
        <v>219</v>
      </c>
      <c r="I35">
        <v>17681330593</v>
      </c>
      <c r="J35">
        <v>3770841264</v>
      </c>
      <c r="K35" t="s">
        <v>219</v>
      </c>
      <c r="L35">
        <v>3774749843</v>
      </c>
      <c r="M35" t="s">
        <v>219</v>
      </c>
      <c r="N35">
        <v>10749</v>
      </c>
      <c r="O35">
        <v>9</v>
      </c>
      <c r="P35">
        <v>6130481812</v>
      </c>
      <c r="Q35">
        <v>157381971</v>
      </c>
      <c r="R35">
        <v>0</v>
      </c>
      <c r="S35">
        <v>10139634</v>
      </c>
      <c r="T35">
        <v>10139634</v>
      </c>
      <c r="U35">
        <v>3491133822</v>
      </c>
      <c r="V35">
        <v>258939881</v>
      </c>
      <c r="W35">
        <v>119415827794</v>
      </c>
      <c r="X35">
        <v>119415827794</v>
      </c>
      <c r="Y35" t="s">
        <v>219</v>
      </c>
      <c r="Z35">
        <v>13906580750</v>
      </c>
      <c r="AA35">
        <v>0.21348788334371299</v>
      </c>
      <c r="AB35">
        <v>1644927.9554377201</v>
      </c>
    </row>
    <row r="36" spans="1:28" x14ac:dyDescent="0.25">
      <c r="A36">
        <v>2005</v>
      </c>
      <c r="B36" t="s">
        <v>221</v>
      </c>
      <c r="C36">
        <v>2</v>
      </c>
      <c r="D36" t="s">
        <v>218</v>
      </c>
      <c r="E36">
        <v>52055365572</v>
      </c>
      <c r="F36" t="s">
        <v>219</v>
      </c>
      <c r="G36">
        <v>30604340361</v>
      </c>
      <c r="H36" t="s">
        <v>219</v>
      </c>
      <c r="I36">
        <v>27951827436.086498</v>
      </c>
      <c r="J36">
        <v>24103538135.913502</v>
      </c>
      <c r="K36" t="s">
        <v>219</v>
      </c>
      <c r="L36">
        <v>10891239572</v>
      </c>
      <c r="M36" t="s">
        <v>219</v>
      </c>
      <c r="N36">
        <v>88696</v>
      </c>
      <c r="O36">
        <v>5425</v>
      </c>
      <c r="P36">
        <v>2485425948</v>
      </c>
      <c r="Q36">
        <v>476330674</v>
      </c>
      <c r="R36">
        <v>146988046</v>
      </c>
      <c r="S36">
        <v>501187302</v>
      </c>
      <c r="T36">
        <v>648175348</v>
      </c>
      <c r="U36">
        <v>1882974266</v>
      </c>
      <c r="V36">
        <v>1327172831</v>
      </c>
      <c r="W36">
        <v>14149463192</v>
      </c>
      <c r="X36">
        <v>14149463192</v>
      </c>
      <c r="Y36" t="s">
        <v>219</v>
      </c>
      <c r="Z36">
        <v>19713100789</v>
      </c>
      <c r="AA36">
        <v>0.35587238422818701</v>
      </c>
      <c r="AB36">
        <v>345047.582314873</v>
      </c>
    </row>
    <row r="37" spans="1:28" x14ac:dyDescent="0.25">
      <c r="A37">
        <v>2005</v>
      </c>
      <c r="B37" t="s">
        <v>222</v>
      </c>
      <c r="C37">
        <v>2</v>
      </c>
      <c r="D37" t="s">
        <v>218</v>
      </c>
      <c r="E37">
        <v>58995279052</v>
      </c>
      <c r="F37" t="s">
        <v>219</v>
      </c>
      <c r="G37">
        <v>22019098542</v>
      </c>
      <c r="H37" t="s">
        <v>219</v>
      </c>
      <c r="I37">
        <v>22015297080.660801</v>
      </c>
      <c r="J37">
        <v>36979981971.339203</v>
      </c>
      <c r="K37" t="s">
        <v>219</v>
      </c>
      <c r="L37">
        <v>8354766526</v>
      </c>
      <c r="M37" t="s">
        <v>219</v>
      </c>
      <c r="N37">
        <v>42234</v>
      </c>
      <c r="O37">
        <v>1451</v>
      </c>
      <c r="P37">
        <v>4434586962</v>
      </c>
      <c r="Q37">
        <v>1623564422</v>
      </c>
      <c r="R37">
        <v>1255663280</v>
      </c>
      <c r="S37">
        <v>822643912</v>
      </c>
      <c r="T37">
        <v>2078307192</v>
      </c>
      <c r="U37">
        <v>4755443419</v>
      </c>
      <c r="V37">
        <v>10796371</v>
      </c>
      <c r="W37">
        <v>23087450461</v>
      </c>
      <c r="X37">
        <v>23087450461</v>
      </c>
      <c r="Y37" t="s">
        <v>219</v>
      </c>
      <c r="Z37">
        <v>13664332016</v>
      </c>
      <c r="AA37">
        <v>0.379432723372568</v>
      </c>
      <c r="AB37">
        <v>521359.533598523</v>
      </c>
    </row>
    <row r="38" spans="1:28" x14ac:dyDescent="0.25">
      <c r="A38">
        <v>2005</v>
      </c>
      <c r="B38" t="s">
        <v>223</v>
      </c>
      <c r="C38">
        <v>2</v>
      </c>
      <c r="D38" t="s">
        <v>218</v>
      </c>
      <c r="E38">
        <v>8281031530</v>
      </c>
      <c r="F38" t="s">
        <v>219</v>
      </c>
      <c r="G38">
        <v>3767948397</v>
      </c>
      <c r="H38" t="s">
        <v>219</v>
      </c>
      <c r="I38">
        <v>3766319359.9405499</v>
      </c>
      <c r="J38">
        <v>4514712170.0594501</v>
      </c>
      <c r="K38" t="s">
        <v>219</v>
      </c>
      <c r="L38">
        <v>1616158132</v>
      </c>
      <c r="M38" t="s">
        <v>219</v>
      </c>
      <c r="N38">
        <v>15568</v>
      </c>
      <c r="O38">
        <v>834</v>
      </c>
      <c r="P38">
        <v>238518748</v>
      </c>
      <c r="Q38">
        <v>157340735</v>
      </c>
      <c r="R38">
        <v>63255653</v>
      </c>
      <c r="S38">
        <v>52892693</v>
      </c>
      <c r="T38">
        <v>116148346</v>
      </c>
      <c r="U38">
        <v>681078239</v>
      </c>
      <c r="V38">
        <v>145165012</v>
      </c>
      <c r="W38">
        <v>11692776848</v>
      </c>
      <c r="X38">
        <v>11692776848</v>
      </c>
      <c r="Y38" t="s">
        <v>219</v>
      </c>
      <c r="Z38">
        <v>2151790265</v>
      </c>
      <c r="AA38">
        <v>0.42892257582051002</v>
      </c>
      <c r="AB38">
        <v>242031.62878982499</v>
      </c>
    </row>
    <row r="39" spans="1:28" x14ac:dyDescent="0.25">
      <c r="A39">
        <v>2005</v>
      </c>
      <c r="B39" t="s">
        <v>224</v>
      </c>
      <c r="C39">
        <v>2</v>
      </c>
      <c r="D39" t="s">
        <v>218</v>
      </c>
      <c r="E39">
        <v>15934155356</v>
      </c>
      <c r="F39" t="s">
        <v>219</v>
      </c>
      <c r="G39">
        <v>8374925674</v>
      </c>
      <c r="H39" t="s">
        <v>219</v>
      </c>
      <c r="I39">
        <v>8374807015.7899303</v>
      </c>
      <c r="J39">
        <v>7559348340.2100697</v>
      </c>
      <c r="K39" t="s">
        <v>219</v>
      </c>
      <c r="L39">
        <v>5069118049</v>
      </c>
      <c r="M39" t="s">
        <v>219</v>
      </c>
      <c r="N39">
        <v>41494</v>
      </c>
      <c r="O39">
        <v>1455</v>
      </c>
      <c r="P39">
        <v>1182629165</v>
      </c>
      <c r="Q39">
        <v>675555411</v>
      </c>
      <c r="R39">
        <v>168007029</v>
      </c>
      <c r="S39">
        <v>294530786</v>
      </c>
      <c r="T39">
        <v>462537815</v>
      </c>
      <c r="U39">
        <v>597692961</v>
      </c>
      <c r="V39">
        <v>-97991671</v>
      </c>
      <c r="W39">
        <v>4032805057</v>
      </c>
      <c r="X39">
        <v>4032805057</v>
      </c>
      <c r="Y39" t="s">
        <v>219</v>
      </c>
      <c r="Z39">
        <v>3305807625</v>
      </c>
      <c r="AA39">
        <v>0.60527319839232796</v>
      </c>
      <c r="AB39">
        <v>201834.61883645799</v>
      </c>
    </row>
    <row r="40" spans="1:28" x14ac:dyDescent="0.25">
      <c r="A40">
        <v>2005</v>
      </c>
      <c r="B40" t="s">
        <v>225</v>
      </c>
      <c r="C40">
        <v>2</v>
      </c>
      <c r="D40" t="s">
        <v>218</v>
      </c>
      <c r="E40">
        <v>4730612582</v>
      </c>
      <c r="F40" t="s">
        <v>219</v>
      </c>
      <c r="G40">
        <v>3549115924</v>
      </c>
      <c r="H40" t="s">
        <v>219</v>
      </c>
      <c r="I40">
        <v>3549115924</v>
      </c>
      <c r="J40">
        <v>1181496658</v>
      </c>
      <c r="K40" t="s">
        <v>219</v>
      </c>
      <c r="L40">
        <v>2735589275</v>
      </c>
      <c r="M40" t="s">
        <v>219</v>
      </c>
      <c r="N40">
        <v>32524</v>
      </c>
      <c r="O40">
        <v>873</v>
      </c>
      <c r="P40">
        <v>308786468</v>
      </c>
      <c r="Q40">
        <v>106489219</v>
      </c>
      <c r="R40">
        <v>14147369</v>
      </c>
      <c r="S40">
        <v>22900523</v>
      </c>
      <c r="T40">
        <v>37047892</v>
      </c>
      <c r="U40">
        <v>169154791</v>
      </c>
      <c r="V40">
        <v>3417836</v>
      </c>
      <c r="W40">
        <v>3699553497</v>
      </c>
      <c r="X40">
        <v>3699553497</v>
      </c>
      <c r="Y40" t="s">
        <v>219</v>
      </c>
      <c r="Z40">
        <v>813526649</v>
      </c>
      <c r="AA40">
        <v>0.77078047986578002</v>
      </c>
      <c r="AB40">
        <v>109122.983765834</v>
      </c>
    </row>
    <row r="41" spans="1:28" x14ac:dyDescent="0.25">
      <c r="A41">
        <v>2005</v>
      </c>
      <c r="B41" t="s">
        <v>226</v>
      </c>
      <c r="C41">
        <v>2</v>
      </c>
      <c r="D41" t="s">
        <v>218</v>
      </c>
      <c r="E41">
        <v>23956912155</v>
      </c>
      <c r="F41" t="s">
        <v>219</v>
      </c>
      <c r="G41">
        <v>12200114753</v>
      </c>
      <c r="H41" t="s">
        <v>219</v>
      </c>
      <c r="I41">
        <v>12200114753</v>
      </c>
      <c r="J41">
        <v>11756797402</v>
      </c>
      <c r="K41" t="s">
        <v>219</v>
      </c>
      <c r="L41">
        <v>9682480142</v>
      </c>
      <c r="M41" t="s">
        <v>219</v>
      </c>
      <c r="N41">
        <v>57805</v>
      </c>
      <c r="O41">
        <v>846</v>
      </c>
      <c r="P41">
        <v>1064310535</v>
      </c>
      <c r="Q41">
        <v>298642530</v>
      </c>
      <c r="R41">
        <v>22668095</v>
      </c>
      <c r="S41">
        <v>169249039</v>
      </c>
      <c r="T41">
        <v>191917134</v>
      </c>
      <c r="U41">
        <v>660363415</v>
      </c>
      <c r="V41">
        <v>513505092</v>
      </c>
      <c r="W41">
        <v>10580163208</v>
      </c>
      <c r="X41">
        <v>10580163208</v>
      </c>
      <c r="Y41" t="s">
        <v>219</v>
      </c>
      <c r="Z41">
        <v>2517634611</v>
      </c>
      <c r="AA41">
        <v>0.79363844832845398</v>
      </c>
      <c r="AB41">
        <v>211056.39223250601</v>
      </c>
    </row>
    <row r="42" spans="1:28" x14ac:dyDescent="0.25">
      <c r="A42">
        <v>2006</v>
      </c>
      <c r="B42" t="s">
        <v>217</v>
      </c>
      <c r="C42">
        <v>3</v>
      </c>
      <c r="D42" t="s">
        <v>218</v>
      </c>
      <c r="E42">
        <v>185039597745.125</v>
      </c>
      <c r="F42" t="s">
        <v>219</v>
      </c>
      <c r="G42">
        <v>54017527699.072403</v>
      </c>
      <c r="H42" t="s">
        <v>219</v>
      </c>
      <c r="I42">
        <v>44700753802.0802</v>
      </c>
      <c r="J42">
        <v>140338843943.04501</v>
      </c>
      <c r="K42">
        <v>21263461203.4916</v>
      </c>
      <c r="L42">
        <v>13982311018.7924</v>
      </c>
      <c r="M42">
        <v>2118531972.5443101</v>
      </c>
      <c r="N42">
        <v>63928.852765380201</v>
      </c>
      <c r="O42" t="s">
        <v>219</v>
      </c>
      <c r="P42">
        <v>6516136919.5927401</v>
      </c>
      <c r="Q42">
        <v>4227827579.7876601</v>
      </c>
      <c r="R42">
        <v>2182756205.9103298</v>
      </c>
      <c r="S42">
        <v>1425871108.60551</v>
      </c>
      <c r="T42">
        <v>3608627314.5158401</v>
      </c>
      <c r="U42">
        <v>4256913615.71668</v>
      </c>
      <c r="V42">
        <v>8466464545.5518198</v>
      </c>
      <c r="W42">
        <v>57185676835.0951</v>
      </c>
      <c r="X42">
        <v>57185676835.0951</v>
      </c>
      <c r="Y42">
        <v>80567670011.130997</v>
      </c>
      <c r="Z42">
        <v>40035216680.279999</v>
      </c>
      <c r="AA42">
        <v>0.25884766694038402</v>
      </c>
      <c r="AB42">
        <v>844963.195215118</v>
      </c>
    </row>
    <row r="43" spans="1:28" x14ac:dyDescent="0.25">
      <c r="A43">
        <v>2006</v>
      </c>
      <c r="B43" t="s">
        <v>220</v>
      </c>
      <c r="C43">
        <v>3</v>
      </c>
      <c r="D43" t="s">
        <v>218</v>
      </c>
      <c r="E43">
        <v>23627751445</v>
      </c>
      <c r="F43" t="s">
        <v>219</v>
      </c>
      <c r="G43">
        <v>13864356824</v>
      </c>
      <c r="H43" t="s">
        <v>219</v>
      </c>
      <c r="I43">
        <v>13864356824</v>
      </c>
      <c r="J43">
        <v>9763394621</v>
      </c>
      <c r="K43" t="s">
        <v>219</v>
      </c>
      <c r="L43">
        <v>5083992799</v>
      </c>
      <c r="M43" t="s">
        <v>219</v>
      </c>
      <c r="N43">
        <v>11021</v>
      </c>
      <c r="O43" t="s">
        <v>219</v>
      </c>
      <c r="P43">
        <v>699869518</v>
      </c>
      <c r="Q43">
        <v>-1419069479</v>
      </c>
      <c r="R43">
        <v>0</v>
      </c>
      <c r="S43">
        <v>0</v>
      </c>
      <c r="T43">
        <v>0</v>
      </c>
      <c r="U43">
        <v>3628599926</v>
      </c>
      <c r="V43">
        <v>-111678818</v>
      </c>
      <c r="W43">
        <v>104426959200</v>
      </c>
      <c r="X43">
        <v>104426959200</v>
      </c>
      <c r="Y43" t="s">
        <v>219</v>
      </c>
      <c r="Z43">
        <v>8780364025</v>
      </c>
      <c r="AA43">
        <v>0.36669517840159099</v>
      </c>
      <c r="AB43">
        <v>1257994.4491425499</v>
      </c>
    </row>
    <row r="44" spans="1:28" x14ac:dyDescent="0.25">
      <c r="A44">
        <v>2006</v>
      </c>
      <c r="B44" t="s">
        <v>221</v>
      </c>
      <c r="C44">
        <v>3</v>
      </c>
      <c r="D44" t="s">
        <v>218</v>
      </c>
      <c r="E44">
        <v>39597751223.7882</v>
      </c>
      <c r="F44" t="s">
        <v>219</v>
      </c>
      <c r="G44">
        <v>18057673171.190498</v>
      </c>
      <c r="H44" t="s">
        <v>219</v>
      </c>
      <c r="I44">
        <v>16492594136.1434</v>
      </c>
      <c r="J44">
        <v>23105157087.644699</v>
      </c>
      <c r="K44" t="s">
        <v>219</v>
      </c>
      <c r="L44">
        <v>5922562988.59692</v>
      </c>
      <c r="M44" t="s">
        <v>219</v>
      </c>
      <c r="N44">
        <v>30494.293053131802</v>
      </c>
      <c r="O44" t="s">
        <v>219</v>
      </c>
      <c r="P44">
        <v>1469272662.01753</v>
      </c>
      <c r="Q44">
        <v>576240351.19271803</v>
      </c>
      <c r="R44">
        <v>107988550.531588</v>
      </c>
      <c r="S44">
        <v>232639442.39961299</v>
      </c>
      <c r="T44">
        <v>340627992.93120098</v>
      </c>
      <c r="U44">
        <v>1053962391.31467</v>
      </c>
      <c r="V44">
        <v>1096794324.05708</v>
      </c>
      <c r="W44">
        <v>10714230276.404301</v>
      </c>
      <c r="X44">
        <v>10714230276.404301</v>
      </c>
      <c r="Y44" t="s">
        <v>219</v>
      </c>
      <c r="Z44">
        <v>12135110182.593599</v>
      </c>
      <c r="AA44">
        <v>0.327980406581168</v>
      </c>
      <c r="AB44">
        <v>592165.65997210401</v>
      </c>
    </row>
    <row r="45" spans="1:28" x14ac:dyDescent="0.25">
      <c r="A45">
        <v>2006</v>
      </c>
      <c r="B45" t="s">
        <v>222</v>
      </c>
      <c r="C45">
        <v>3</v>
      </c>
      <c r="D45" t="s">
        <v>218</v>
      </c>
      <c r="E45">
        <v>54381478711.350197</v>
      </c>
      <c r="F45" t="s">
        <v>219</v>
      </c>
      <c r="G45">
        <v>26401243804.678799</v>
      </c>
      <c r="H45" t="s">
        <v>219</v>
      </c>
      <c r="I45">
        <v>26396685793.030998</v>
      </c>
      <c r="J45">
        <v>27984792918.319199</v>
      </c>
      <c r="K45" t="s">
        <v>219</v>
      </c>
      <c r="L45">
        <v>7762570422.7490301</v>
      </c>
      <c r="M45" t="s">
        <v>219</v>
      </c>
      <c r="N45">
        <v>24730.437278175199</v>
      </c>
      <c r="O45" t="s">
        <v>219</v>
      </c>
      <c r="P45">
        <v>8796636907.3300705</v>
      </c>
      <c r="Q45">
        <v>5846618031.2397404</v>
      </c>
      <c r="R45">
        <v>763807216.81883597</v>
      </c>
      <c r="S45">
        <v>860743811.95637298</v>
      </c>
      <c r="T45">
        <v>1624551028.7752099</v>
      </c>
      <c r="U45">
        <v>6679596251.6159801</v>
      </c>
      <c r="V45">
        <v>323606018.70179403</v>
      </c>
      <c r="W45">
        <v>33497340971.898998</v>
      </c>
      <c r="X45">
        <v>33497340971.898998</v>
      </c>
      <c r="Y45" t="s">
        <v>219</v>
      </c>
      <c r="Z45">
        <v>18638673381.929798</v>
      </c>
      <c r="AA45">
        <v>0.29402290589708302</v>
      </c>
      <c r="AB45">
        <v>1067560.73528785</v>
      </c>
    </row>
    <row r="46" spans="1:28" x14ac:dyDescent="0.25">
      <c r="A46">
        <v>2006</v>
      </c>
      <c r="B46" t="s">
        <v>223</v>
      </c>
      <c r="C46">
        <v>3</v>
      </c>
      <c r="D46" t="s">
        <v>218</v>
      </c>
      <c r="E46">
        <v>4164254297</v>
      </c>
      <c r="F46" t="s">
        <v>219</v>
      </c>
      <c r="G46">
        <v>2029545343</v>
      </c>
      <c r="H46" t="s">
        <v>219</v>
      </c>
      <c r="I46">
        <v>2028667888.1547501</v>
      </c>
      <c r="J46">
        <v>2135586408.8452499</v>
      </c>
      <c r="K46" t="s">
        <v>219</v>
      </c>
      <c r="L46">
        <v>974332309</v>
      </c>
      <c r="M46" t="s">
        <v>219</v>
      </c>
      <c r="N46">
        <v>5944</v>
      </c>
      <c r="O46" t="s">
        <v>219</v>
      </c>
      <c r="P46">
        <v>243592110.84999999</v>
      </c>
      <c r="Q46">
        <v>128308976.18000001</v>
      </c>
      <c r="R46">
        <v>76425378.370000005</v>
      </c>
      <c r="S46">
        <v>25205041.329999998</v>
      </c>
      <c r="T46">
        <v>101630419.7</v>
      </c>
      <c r="U46">
        <v>628178378</v>
      </c>
      <c r="V46">
        <v>10663152</v>
      </c>
      <c r="W46">
        <v>11086284809.99</v>
      </c>
      <c r="X46">
        <v>11086284809.99</v>
      </c>
      <c r="Y46" t="s">
        <v>219</v>
      </c>
      <c r="Z46">
        <v>1055213034</v>
      </c>
      <c r="AA46">
        <v>0.48007417639646199</v>
      </c>
      <c r="AB46">
        <v>341444.37129878899</v>
      </c>
    </row>
    <row r="47" spans="1:28" x14ac:dyDescent="0.25">
      <c r="A47">
        <v>2006</v>
      </c>
      <c r="B47" t="s">
        <v>224</v>
      </c>
      <c r="C47">
        <v>3</v>
      </c>
      <c r="D47" t="s">
        <v>218</v>
      </c>
      <c r="E47">
        <v>5759534665.3510199</v>
      </c>
      <c r="F47" t="s">
        <v>219</v>
      </c>
      <c r="G47">
        <v>3605415437.9569402</v>
      </c>
      <c r="H47" t="s">
        <v>219</v>
      </c>
      <c r="I47">
        <v>3605364355.4567399</v>
      </c>
      <c r="J47">
        <v>2154170309.89428</v>
      </c>
      <c r="K47" t="s">
        <v>219</v>
      </c>
      <c r="L47">
        <v>2384834809.2245302</v>
      </c>
      <c r="M47" t="s">
        <v>219</v>
      </c>
      <c r="N47">
        <v>17724.654748173802</v>
      </c>
      <c r="O47" t="s">
        <v>219</v>
      </c>
      <c r="P47">
        <v>434412281.53259897</v>
      </c>
      <c r="Q47">
        <v>351332527.687778</v>
      </c>
      <c r="R47">
        <v>65766764.444444403</v>
      </c>
      <c r="S47">
        <v>327983759.91475201</v>
      </c>
      <c r="T47">
        <v>393750524.35919601</v>
      </c>
      <c r="U47">
        <v>207654221.11188</v>
      </c>
      <c r="V47">
        <v>21562497.017301001</v>
      </c>
      <c r="W47">
        <v>2179585697.5706401</v>
      </c>
      <c r="X47">
        <v>2179585697.5706401</v>
      </c>
      <c r="Y47" t="s">
        <v>219</v>
      </c>
      <c r="Z47">
        <v>1220580628.73241</v>
      </c>
      <c r="AA47">
        <v>0.66145908849159696</v>
      </c>
      <c r="AB47">
        <v>203412.449448609</v>
      </c>
    </row>
    <row r="48" spans="1:28" x14ac:dyDescent="0.25">
      <c r="A48">
        <v>2006</v>
      </c>
      <c r="B48" t="s">
        <v>225</v>
      </c>
      <c r="C48">
        <v>3</v>
      </c>
      <c r="D48" t="s">
        <v>218</v>
      </c>
      <c r="E48">
        <v>2006053848.5081601</v>
      </c>
      <c r="F48" t="s">
        <v>219</v>
      </c>
      <c r="G48">
        <v>1501638494.54545</v>
      </c>
      <c r="H48" t="s">
        <v>219</v>
      </c>
      <c r="I48">
        <v>1501638494.54545</v>
      </c>
      <c r="J48">
        <v>504415353.96270299</v>
      </c>
      <c r="K48" t="s">
        <v>219</v>
      </c>
      <c r="L48">
        <v>1281002871.44522</v>
      </c>
      <c r="M48" t="s">
        <v>219</v>
      </c>
      <c r="N48">
        <v>8781.4219114218995</v>
      </c>
      <c r="O48" t="s">
        <v>219</v>
      </c>
      <c r="P48">
        <v>103429067.765734</v>
      </c>
      <c r="Q48">
        <v>52021153.306293704</v>
      </c>
      <c r="R48">
        <v>7633798.0186480097</v>
      </c>
      <c r="S48">
        <v>14769927.668997699</v>
      </c>
      <c r="T48">
        <v>22403725.6876457</v>
      </c>
      <c r="U48">
        <v>107314072.610723</v>
      </c>
      <c r="V48">
        <v>-7579637.0629370604</v>
      </c>
      <c r="W48">
        <v>2216756136.0580401</v>
      </c>
      <c r="X48">
        <v>2216756136.0580401</v>
      </c>
      <c r="Y48" t="s">
        <v>219</v>
      </c>
      <c r="Z48">
        <v>220635623.10023299</v>
      </c>
      <c r="AA48">
        <v>0.85307008051427202</v>
      </c>
      <c r="AB48">
        <v>171001.74774569101</v>
      </c>
    </row>
    <row r="49" spans="1:28" x14ac:dyDescent="0.25">
      <c r="A49">
        <v>2006</v>
      </c>
      <c r="B49" t="s">
        <v>226</v>
      </c>
      <c r="C49">
        <v>3</v>
      </c>
      <c r="D49" t="s">
        <v>218</v>
      </c>
      <c r="E49">
        <v>21866393424.816502</v>
      </c>
      <c r="F49" t="s">
        <v>219</v>
      </c>
      <c r="G49">
        <v>11832753263.250999</v>
      </c>
      <c r="H49" t="s">
        <v>219</v>
      </c>
      <c r="I49">
        <v>11832753263.250999</v>
      </c>
      <c r="J49">
        <v>10033640161.565399</v>
      </c>
      <c r="K49" t="s">
        <v>219</v>
      </c>
      <c r="L49">
        <v>9970650180.3964901</v>
      </c>
      <c r="M49" t="s">
        <v>219</v>
      </c>
      <c r="N49">
        <v>43328.3015802601</v>
      </c>
      <c r="O49" t="s">
        <v>219</v>
      </c>
      <c r="P49">
        <v>887370869.31683803</v>
      </c>
      <c r="Q49">
        <v>299660874.24269903</v>
      </c>
      <c r="R49">
        <v>27594052.035032701</v>
      </c>
      <c r="S49">
        <v>44400473.4721995</v>
      </c>
      <c r="T49">
        <v>71994525.5072321</v>
      </c>
      <c r="U49">
        <v>554258463.19016302</v>
      </c>
      <c r="V49">
        <v>246304201.90534201</v>
      </c>
      <c r="W49">
        <v>10380365177.855301</v>
      </c>
      <c r="X49">
        <v>10380365177.855301</v>
      </c>
      <c r="Y49" t="s">
        <v>219</v>
      </c>
      <c r="Z49">
        <v>1862103082.8545499</v>
      </c>
      <c r="AA49">
        <v>0.84263146188996596</v>
      </c>
      <c r="AB49">
        <v>273095.247948559</v>
      </c>
    </row>
    <row r="50" spans="1:28" x14ac:dyDescent="0.25">
      <c r="A50">
        <v>2007</v>
      </c>
      <c r="B50" t="s">
        <v>217</v>
      </c>
      <c r="C50">
        <v>3</v>
      </c>
      <c r="D50" t="s">
        <v>218</v>
      </c>
      <c r="E50">
        <v>235394001073.246</v>
      </c>
      <c r="F50" t="s">
        <v>219</v>
      </c>
      <c r="G50">
        <v>70661648001.255997</v>
      </c>
      <c r="H50" t="s">
        <v>219</v>
      </c>
      <c r="I50">
        <v>58474148394.015404</v>
      </c>
      <c r="J50">
        <v>176919852679.23001</v>
      </c>
      <c r="K50">
        <v>26806038284.731899</v>
      </c>
      <c r="L50">
        <v>19975832217.423302</v>
      </c>
      <c r="M50">
        <v>3026641245.0641398</v>
      </c>
      <c r="N50">
        <v>100576.012248596</v>
      </c>
      <c r="O50" t="s">
        <v>219</v>
      </c>
      <c r="P50">
        <v>17359289524.518902</v>
      </c>
      <c r="Q50">
        <v>5954778083.05058</v>
      </c>
      <c r="R50">
        <v>2050142695.5597501</v>
      </c>
      <c r="S50">
        <v>2560331482.5603499</v>
      </c>
      <c r="T50">
        <v>4610474178.1201</v>
      </c>
      <c r="U50">
        <v>5934830945.5998602</v>
      </c>
      <c r="V50">
        <v>8452985175.97896</v>
      </c>
      <c r="W50">
        <v>88288212567.623398</v>
      </c>
      <c r="X50">
        <v>88288212567.623398</v>
      </c>
      <c r="Y50">
        <v>118120892097.41901</v>
      </c>
      <c r="Z50">
        <v>50685815783.832703</v>
      </c>
      <c r="AA50">
        <v>0.28269694781344801</v>
      </c>
      <c r="AB50">
        <v>702569.59310138097</v>
      </c>
    </row>
    <row r="51" spans="1:28" x14ac:dyDescent="0.25">
      <c r="A51">
        <v>2007</v>
      </c>
      <c r="B51" t="s">
        <v>220</v>
      </c>
      <c r="C51">
        <v>3</v>
      </c>
      <c r="D51" t="s">
        <v>218</v>
      </c>
      <c r="E51">
        <v>29548256354</v>
      </c>
      <c r="F51" t="s">
        <v>219</v>
      </c>
      <c r="G51">
        <v>17116101061</v>
      </c>
      <c r="H51" t="s">
        <v>219</v>
      </c>
      <c r="I51">
        <v>17116101061</v>
      </c>
      <c r="J51">
        <v>12432155293</v>
      </c>
      <c r="K51" t="s">
        <v>219</v>
      </c>
      <c r="L51">
        <v>5846200050</v>
      </c>
      <c r="M51" t="s">
        <v>219</v>
      </c>
      <c r="N51">
        <v>10867</v>
      </c>
      <c r="O51" t="s">
        <v>219</v>
      </c>
      <c r="P51">
        <v>3583664449</v>
      </c>
      <c r="Q51">
        <v>625710596</v>
      </c>
      <c r="R51">
        <v>0</v>
      </c>
      <c r="S51">
        <v>665800</v>
      </c>
      <c r="T51">
        <v>665800</v>
      </c>
      <c r="U51">
        <v>4330014480</v>
      </c>
      <c r="V51">
        <v>-72308127</v>
      </c>
      <c r="W51">
        <v>99307451996</v>
      </c>
      <c r="X51">
        <v>99307451996</v>
      </c>
      <c r="Y51" t="s">
        <v>219</v>
      </c>
      <c r="Z51">
        <v>11269901011</v>
      </c>
      <c r="AA51">
        <v>0.34156143558423502</v>
      </c>
      <c r="AB51">
        <v>1575053.01012239</v>
      </c>
    </row>
    <row r="52" spans="1:28" x14ac:dyDescent="0.25">
      <c r="A52">
        <v>2007</v>
      </c>
      <c r="B52" t="s">
        <v>221</v>
      </c>
      <c r="C52">
        <v>3</v>
      </c>
      <c r="D52" t="s">
        <v>218</v>
      </c>
      <c r="E52">
        <v>73746745969.889496</v>
      </c>
      <c r="F52" t="s">
        <v>219</v>
      </c>
      <c r="G52">
        <v>38265122979.458801</v>
      </c>
      <c r="H52" t="s">
        <v>219</v>
      </c>
      <c r="I52">
        <v>34948641327.5373</v>
      </c>
      <c r="J52">
        <v>38798104642.352303</v>
      </c>
      <c r="K52" t="s">
        <v>219</v>
      </c>
      <c r="L52">
        <v>13444886138.7346</v>
      </c>
      <c r="M52" t="s">
        <v>219</v>
      </c>
      <c r="N52">
        <v>79220.259689222701</v>
      </c>
      <c r="O52" t="s">
        <v>219</v>
      </c>
      <c r="P52">
        <v>4100430982.7395501</v>
      </c>
      <c r="Q52">
        <v>1894774738.91447</v>
      </c>
      <c r="R52">
        <v>711805569.94194198</v>
      </c>
      <c r="S52">
        <v>708032272.27131701</v>
      </c>
      <c r="T52">
        <v>1419837842.2132599</v>
      </c>
      <c r="U52">
        <v>1809364854.9993501</v>
      </c>
      <c r="V52">
        <v>1531540860.5720699</v>
      </c>
      <c r="W52">
        <v>19439330773.990799</v>
      </c>
      <c r="X52">
        <v>19439330773.990799</v>
      </c>
      <c r="Y52" t="s">
        <v>219</v>
      </c>
      <c r="Z52">
        <v>24820236840.724201</v>
      </c>
      <c r="AA52">
        <v>0.35136137275586399</v>
      </c>
      <c r="AB52">
        <v>483021.93314653402</v>
      </c>
    </row>
    <row r="53" spans="1:28" x14ac:dyDescent="0.25">
      <c r="A53">
        <v>2007</v>
      </c>
      <c r="B53" t="s">
        <v>222</v>
      </c>
      <c r="C53">
        <v>3</v>
      </c>
      <c r="D53" t="s">
        <v>218</v>
      </c>
      <c r="E53">
        <v>79851161477.832993</v>
      </c>
      <c r="F53" t="s">
        <v>219</v>
      </c>
      <c r="G53">
        <v>36125294192.038597</v>
      </c>
      <c r="H53" t="s">
        <v>219</v>
      </c>
      <c r="I53">
        <v>36119057383.162201</v>
      </c>
      <c r="J53">
        <v>43732104094.670799</v>
      </c>
      <c r="K53" t="s">
        <v>219</v>
      </c>
      <c r="L53">
        <v>12273618258.209999</v>
      </c>
      <c r="M53" t="s">
        <v>219</v>
      </c>
      <c r="N53">
        <v>41934.092789585899</v>
      </c>
      <c r="O53" t="s">
        <v>219</v>
      </c>
      <c r="P53">
        <v>11396300915.6555</v>
      </c>
      <c r="Q53">
        <v>7597697910.2768097</v>
      </c>
      <c r="R53">
        <v>1074880563.1153901</v>
      </c>
      <c r="S53">
        <v>1531779925.7834401</v>
      </c>
      <c r="T53">
        <v>2606660488.89884</v>
      </c>
      <c r="U53">
        <v>7641247089.1478596</v>
      </c>
      <c r="V53">
        <v>-362010682.665048</v>
      </c>
      <c r="W53">
        <v>43224549717.054001</v>
      </c>
      <c r="X53">
        <v>43224549717.054001</v>
      </c>
      <c r="Y53" t="s">
        <v>219</v>
      </c>
      <c r="Z53">
        <v>23851675933.828602</v>
      </c>
      <c r="AA53">
        <v>0.33975137179408599</v>
      </c>
      <c r="AB53">
        <v>861477.89993468404</v>
      </c>
    </row>
    <row r="54" spans="1:28" x14ac:dyDescent="0.25">
      <c r="A54">
        <v>2007</v>
      </c>
      <c r="B54" t="s">
        <v>223</v>
      </c>
      <c r="C54">
        <v>3</v>
      </c>
      <c r="D54" t="s">
        <v>218</v>
      </c>
      <c r="E54">
        <v>11163144742.6667</v>
      </c>
      <c r="F54" t="s">
        <v>219</v>
      </c>
      <c r="G54">
        <v>4952789549.3333302</v>
      </c>
      <c r="H54" t="s">
        <v>219</v>
      </c>
      <c r="I54">
        <v>4950648257.34272</v>
      </c>
      <c r="J54">
        <v>6212496485.3239403</v>
      </c>
      <c r="K54" t="s">
        <v>219</v>
      </c>
      <c r="L54">
        <v>2179920722.5</v>
      </c>
      <c r="M54" t="s">
        <v>219</v>
      </c>
      <c r="N54">
        <v>15648.666666666701</v>
      </c>
      <c r="O54" t="s">
        <v>219</v>
      </c>
      <c r="P54">
        <v>195801676.73944399</v>
      </c>
      <c r="Q54">
        <v>159890140.26944399</v>
      </c>
      <c r="R54">
        <v>59212612.380000003</v>
      </c>
      <c r="S54">
        <v>16900661.859999999</v>
      </c>
      <c r="T54">
        <v>76113274.239999995</v>
      </c>
      <c r="U54">
        <v>892399391.38888896</v>
      </c>
      <c r="V54">
        <v>34311569.111111097</v>
      </c>
      <c r="W54">
        <v>19524073684.561699</v>
      </c>
      <c r="X54">
        <v>19524073684.561699</v>
      </c>
      <c r="Y54" t="s">
        <v>219</v>
      </c>
      <c r="Z54">
        <v>2772868826.8333302</v>
      </c>
      <c r="AA54">
        <v>0.44013998591832498</v>
      </c>
      <c r="AB54">
        <v>316499.14045925101</v>
      </c>
    </row>
    <row r="55" spans="1:28" x14ac:dyDescent="0.25">
      <c r="A55">
        <v>2007</v>
      </c>
      <c r="B55" t="s">
        <v>224</v>
      </c>
      <c r="C55">
        <v>3</v>
      </c>
      <c r="D55" t="s">
        <v>218</v>
      </c>
      <c r="E55">
        <v>13090542438.094601</v>
      </c>
      <c r="F55" t="s">
        <v>219</v>
      </c>
      <c r="G55">
        <v>8247597508.9313602</v>
      </c>
      <c r="H55" t="s">
        <v>219</v>
      </c>
      <c r="I55">
        <v>8247480654.7411404</v>
      </c>
      <c r="J55">
        <v>4843061783.3534698</v>
      </c>
      <c r="K55" t="s">
        <v>219</v>
      </c>
      <c r="L55">
        <v>5021743121.0367002</v>
      </c>
      <c r="M55" t="s">
        <v>219</v>
      </c>
      <c r="N55">
        <v>37538.495838363902</v>
      </c>
      <c r="O55" t="s">
        <v>219</v>
      </c>
      <c r="P55">
        <v>848226002.60364103</v>
      </c>
      <c r="Q55">
        <v>613285512.37979102</v>
      </c>
      <c r="R55">
        <v>132105468.878095</v>
      </c>
      <c r="S55">
        <v>417020244.23812503</v>
      </c>
      <c r="T55">
        <v>549125713.11622</v>
      </c>
      <c r="U55">
        <v>428301089.369367</v>
      </c>
      <c r="V55">
        <v>35587754.764062397</v>
      </c>
      <c r="W55">
        <v>3988143147.35536</v>
      </c>
      <c r="X55">
        <v>3988143147.35536</v>
      </c>
      <c r="Y55" t="s">
        <v>219</v>
      </c>
      <c r="Z55">
        <v>3225854387.89466</v>
      </c>
      <c r="AA55">
        <v>0.60887344655199704</v>
      </c>
      <c r="AB55">
        <v>219710.38862197599</v>
      </c>
    </row>
    <row r="56" spans="1:28" x14ac:dyDescent="0.25">
      <c r="A56">
        <v>2007</v>
      </c>
      <c r="B56" t="s">
        <v>225</v>
      </c>
      <c r="C56">
        <v>3</v>
      </c>
      <c r="D56" t="s">
        <v>218</v>
      </c>
      <c r="E56">
        <v>5443524134.5246401</v>
      </c>
      <c r="F56" t="s">
        <v>219</v>
      </c>
      <c r="G56">
        <v>4268874559.5070901</v>
      </c>
      <c r="H56" t="s">
        <v>219</v>
      </c>
      <c r="I56">
        <v>4268874559.5070901</v>
      </c>
      <c r="J56">
        <v>1174649575.01755</v>
      </c>
      <c r="K56" t="s">
        <v>219</v>
      </c>
      <c r="L56">
        <v>3247046965.3631601</v>
      </c>
      <c r="M56" t="s">
        <v>219</v>
      </c>
      <c r="N56">
        <v>31985.537407830299</v>
      </c>
      <c r="O56" t="s">
        <v>219</v>
      </c>
      <c r="P56">
        <v>279363983.34049898</v>
      </c>
      <c r="Q56">
        <v>79171168.670455694</v>
      </c>
      <c r="R56">
        <v>11993854.7664336</v>
      </c>
      <c r="S56">
        <v>18362086.081235401</v>
      </c>
      <c r="T56">
        <v>30355940.847669002</v>
      </c>
      <c r="U56">
        <v>192538649.29207501</v>
      </c>
      <c r="V56">
        <v>-4924048.3282193998</v>
      </c>
      <c r="W56">
        <v>3798479287.0857201</v>
      </c>
      <c r="X56">
        <v>3798479287.0857201</v>
      </c>
      <c r="Y56" t="s">
        <v>219</v>
      </c>
      <c r="Z56">
        <v>1021827594.1439199</v>
      </c>
      <c r="AA56">
        <v>0.76063302402076005</v>
      </c>
      <c r="AB56">
        <v>133462.64923040001</v>
      </c>
    </row>
    <row r="57" spans="1:28" x14ac:dyDescent="0.25">
      <c r="A57">
        <v>2007</v>
      </c>
      <c r="B57" t="s">
        <v>226</v>
      </c>
      <c r="C57">
        <v>3</v>
      </c>
      <c r="D57" t="s">
        <v>218</v>
      </c>
      <c r="E57">
        <v>33131743522.517799</v>
      </c>
      <c r="F57" t="s">
        <v>219</v>
      </c>
      <c r="G57">
        <v>17261273111.738899</v>
      </c>
      <c r="H57" t="s">
        <v>219</v>
      </c>
      <c r="I57">
        <v>17261273111.738899</v>
      </c>
      <c r="J57">
        <v>15870470410.778999</v>
      </c>
      <c r="K57" t="s">
        <v>219</v>
      </c>
      <c r="L57">
        <v>13976350426.332399</v>
      </c>
      <c r="M57" t="s">
        <v>219</v>
      </c>
      <c r="N57">
        <v>66667.828874566403</v>
      </c>
      <c r="O57" t="s">
        <v>219</v>
      </c>
      <c r="P57">
        <v>1096182660.4003699</v>
      </c>
      <c r="Q57">
        <v>437134438.48419303</v>
      </c>
      <c r="R57">
        <v>7091222.8099999996</v>
      </c>
      <c r="S57">
        <v>131072421.129724</v>
      </c>
      <c r="T57">
        <v>138163643.939724</v>
      </c>
      <c r="U57">
        <v>722277802.14012301</v>
      </c>
      <c r="V57">
        <v>279741915.24299401</v>
      </c>
      <c r="W57">
        <v>14385347609.950001</v>
      </c>
      <c r="X57">
        <v>14385347609.950001</v>
      </c>
      <c r="Y57" t="s">
        <v>219</v>
      </c>
      <c r="Z57">
        <v>3284922685.4064698</v>
      </c>
      <c r="AA57">
        <v>0.80969406693574097</v>
      </c>
      <c r="AB57">
        <v>258914.58298747701</v>
      </c>
    </row>
    <row r="58" spans="1:28" x14ac:dyDescent="0.25">
      <c r="A58">
        <v>2008</v>
      </c>
      <c r="B58" t="s">
        <v>227</v>
      </c>
      <c r="C58">
        <v>4</v>
      </c>
      <c r="D58" t="s">
        <v>228</v>
      </c>
      <c r="E58">
        <v>776329531</v>
      </c>
      <c r="F58" t="s">
        <v>219</v>
      </c>
      <c r="G58">
        <v>354765811.60000002</v>
      </c>
      <c r="H58" t="s">
        <v>219</v>
      </c>
      <c r="I58">
        <v>354765811.60000002</v>
      </c>
      <c r="J58">
        <v>421563719.39999998</v>
      </c>
      <c r="K58" t="s">
        <v>219</v>
      </c>
      <c r="L58">
        <v>145858508</v>
      </c>
      <c r="M58" t="s">
        <v>219</v>
      </c>
      <c r="N58">
        <v>868.2</v>
      </c>
      <c r="O58" t="s">
        <v>219</v>
      </c>
      <c r="P58">
        <v>186931359</v>
      </c>
      <c r="Q58">
        <v>102860706</v>
      </c>
      <c r="R58">
        <v>741150</v>
      </c>
      <c r="S58">
        <v>9353236.4000000004</v>
      </c>
      <c r="T58">
        <v>10094386.4</v>
      </c>
      <c r="U58">
        <v>23033390.199999999</v>
      </c>
      <c r="V58">
        <v>7369483</v>
      </c>
      <c r="W58">
        <v>334504590.80000001</v>
      </c>
      <c r="X58">
        <v>334504590.80000001</v>
      </c>
      <c r="Y58" t="s">
        <v>219</v>
      </c>
      <c r="Z58">
        <v>208907303.59999999</v>
      </c>
      <c r="AA58">
        <v>0.411140259942681</v>
      </c>
      <c r="AB58">
        <v>408622.22022575402</v>
      </c>
    </row>
    <row r="59" spans="1:28" x14ac:dyDescent="0.25">
      <c r="A59">
        <v>2008</v>
      </c>
      <c r="B59" t="s">
        <v>217</v>
      </c>
      <c r="C59">
        <v>4</v>
      </c>
      <c r="D59" t="s">
        <v>228</v>
      </c>
      <c r="E59">
        <v>284995693319.88397</v>
      </c>
      <c r="F59" t="s">
        <v>219</v>
      </c>
      <c r="G59">
        <v>80292211343.235596</v>
      </c>
      <c r="H59" t="s">
        <v>219</v>
      </c>
      <c r="I59">
        <v>66443662351.103897</v>
      </c>
      <c r="J59">
        <v>218552030968.78</v>
      </c>
      <c r="K59">
        <v>33113944086.178799</v>
      </c>
      <c r="L59">
        <v>24291156273.874199</v>
      </c>
      <c r="M59">
        <v>3680478223.31427</v>
      </c>
      <c r="N59">
        <v>103902.68580704</v>
      </c>
      <c r="O59" t="s">
        <v>219</v>
      </c>
      <c r="P59">
        <v>17442926160.214401</v>
      </c>
      <c r="Q59">
        <v>10194336167.014299</v>
      </c>
      <c r="R59">
        <v>3655133361.7691598</v>
      </c>
      <c r="S59">
        <v>3746090502.26123</v>
      </c>
      <c r="T59">
        <v>7401223864.0304003</v>
      </c>
      <c r="U59">
        <v>8098413006.6877804</v>
      </c>
      <c r="V59">
        <v>7355810016.8563604</v>
      </c>
      <c r="W59">
        <v>107971212345.29601</v>
      </c>
      <c r="X59">
        <v>107971212345.29601</v>
      </c>
      <c r="Y59">
        <v>144765634654.789</v>
      </c>
      <c r="Z59">
        <v>56001055069.361504</v>
      </c>
      <c r="AA59">
        <v>0.30253440361772599</v>
      </c>
      <c r="AB59">
        <v>772763.578916025</v>
      </c>
    </row>
    <row r="60" spans="1:28" x14ac:dyDescent="0.25">
      <c r="A60">
        <v>2008</v>
      </c>
      <c r="B60" t="s">
        <v>220</v>
      </c>
      <c r="C60">
        <v>4</v>
      </c>
      <c r="D60" t="s">
        <v>228</v>
      </c>
      <c r="E60">
        <v>28302771768.582298</v>
      </c>
      <c r="F60" t="s">
        <v>219</v>
      </c>
      <c r="G60">
        <v>4729762478.9594202</v>
      </c>
      <c r="H60" t="s">
        <v>219</v>
      </c>
      <c r="I60">
        <v>4729762478.9594202</v>
      </c>
      <c r="J60">
        <v>23573009289.622898</v>
      </c>
      <c r="K60" t="s">
        <v>219</v>
      </c>
      <c r="L60">
        <v>5256625206.6425505</v>
      </c>
      <c r="M60" t="s">
        <v>219</v>
      </c>
      <c r="N60">
        <v>11916.476310791701</v>
      </c>
      <c r="O60" t="s">
        <v>219</v>
      </c>
      <c r="P60">
        <v>3559653461.5461898</v>
      </c>
      <c r="Q60">
        <v>1641434463.25617</v>
      </c>
      <c r="R60">
        <v>733621.09787140496</v>
      </c>
      <c r="S60">
        <v>632251.54507692601</v>
      </c>
      <c r="T60">
        <v>1365872.6429483299</v>
      </c>
      <c r="U60">
        <v>4599267583.9897003</v>
      </c>
      <c r="V60">
        <v>35414088.218216099</v>
      </c>
      <c r="W60">
        <v>89149482414.695404</v>
      </c>
      <c r="X60">
        <v>89149482414.695404</v>
      </c>
      <c r="Y60" t="s">
        <v>219</v>
      </c>
      <c r="Z60">
        <v>-526862727.68312103</v>
      </c>
      <c r="AA60">
        <v>1.11139306255375</v>
      </c>
      <c r="AB60">
        <v>396909.48528770101</v>
      </c>
    </row>
    <row r="61" spans="1:28" x14ac:dyDescent="0.25">
      <c r="A61">
        <v>2008</v>
      </c>
      <c r="B61" t="s">
        <v>221</v>
      </c>
      <c r="C61">
        <v>4</v>
      </c>
      <c r="D61" t="s">
        <v>228</v>
      </c>
      <c r="E61">
        <v>71883000731.1064</v>
      </c>
      <c r="F61" t="s">
        <v>219</v>
      </c>
      <c r="G61">
        <v>43372822636.407501</v>
      </c>
      <c r="H61" t="s">
        <v>219</v>
      </c>
      <c r="I61">
        <v>39613650856.327003</v>
      </c>
      <c r="J61">
        <v>32269349874.7794</v>
      </c>
      <c r="K61" t="s">
        <v>219</v>
      </c>
      <c r="L61">
        <v>16738002803.4909</v>
      </c>
      <c r="M61" t="s">
        <v>219</v>
      </c>
      <c r="N61">
        <v>92823.463933132502</v>
      </c>
      <c r="O61" t="s">
        <v>219</v>
      </c>
      <c r="P61">
        <v>5221207956.5050402</v>
      </c>
      <c r="Q61">
        <v>2547451300.4496899</v>
      </c>
      <c r="R61">
        <v>978448093.21215796</v>
      </c>
      <c r="S61">
        <v>825817754.01610994</v>
      </c>
      <c r="T61">
        <v>1804265847.2282701</v>
      </c>
      <c r="U61">
        <v>2207489307.9390802</v>
      </c>
      <c r="V61">
        <v>1828532184.3543601</v>
      </c>
      <c r="W61">
        <v>24604614010.620499</v>
      </c>
      <c r="X61">
        <v>24604614010.620499</v>
      </c>
      <c r="Y61" t="s">
        <v>219</v>
      </c>
      <c r="Z61">
        <v>26634819832.916599</v>
      </c>
      <c r="AA61">
        <v>0.38590992667931301</v>
      </c>
      <c r="AB61">
        <v>467261.40997767699</v>
      </c>
    </row>
    <row r="62" spans="1:28" x14ac:dyDescent="0.25">
      <c r="A62">
        <v>2008</v>
      </c>
      <c r="B62" t="s">
        <v>222</v>
      </c>
      <c r="C62">
        <v>4</v>
      </c>
      <c r="D62" t="s">
        <v>228</v>
      </c>
      <c r="E62">
        <v>91476063712.220703</v>
      </c>
      <c r="F62" t="s">
        <v>219</v>
      </c>
      <c r="G62">
        <v>36179997584.968597</v>
      </c>
      <c r="H62" t="s">
        <v>219</v>
      </c>
      <c r="I62">
        <v>36173751331.889397</v>
      </c>
      <c r="J62">
        <v>55302312380.331398</v>
      </c>
      <c r="K62" t="s">
        <v>219</v>
      </c>
      <c r="L62">
        <v>17013000481.574499</v>
      </c>
      <c r="M62" t="s">
        <v>219</v>
      </c>
      <c r="N62">
        <v>51846.563569745798</v>
      </c>
      <c r="O62" t="s">
        <v>219</v>
      </c>
      <c r="P62">
        <v>13636148745.270599</v>
      </c>
      <c r="Q62">
        <v>10843727398.6915</v>
      </c>
      <c r="R62">
        <v>4179064620.96977</v>
      </c>
      <c r="S62">
        <v>2189679414.8306198</v>
      </c>
      <c r="T62">
        <v>6368744035.8003902</v>
      </c>
      <c r="U62">
        <v>7730644838.9601202</v>
      </c>
      <c r="V62">
        <v>-1151801194.9276099</v>
      </c>
      <c r="W62">
        <v>65044413404.645798</v>
      </c>
      <c r="X62">
        <v>65044413404.645798</v>
      </c>
      <c r="Y62" t="s">
        <v>219</v>
      </c>
      <c r="Z62">
        <v>19166997103.394199</v>
      </c>
      <c r="AA62">
        <v>0.47023221716970798</v>
      </c>
      <c r="AB62">
        <v>697828.26659857703</v>
      </c>
    </row>
    <row r="63" spans="1:28" x14ac:dyDescent="0.25">
      <c r="A63">
        <v>2008</v>
      </c>
      <c r="B63" t="s">
        <v>223</v>
      </c>
      <c r="C63">
        <v>4</v>
      </c>
      <c r="D63" t="s">
        <v>228</v>
      </c>
      <c r="E63">
        <v>11300027030.532801</v>
      </c>
      <c r="F63" t="s">
        <v>219</v>
      </c>
      <c r="G63">
        <v>4821487817.2323399</v>
      </c>
      <c r="H63" t="s">
        <v>219</v>
      </c>
      <c r="I63">
        <v>4819403292.3109798</v>
      </c>
      <c r="J63">
        <v>6480623738.2217903</v>
      </c>
      <c r="K63" t="s">
        <v>219</v>
      </c>
      <c r="L63">
        <v>2634263481.4472499</v>
      </c>
      <c r="M63" t="s">
        <v>219</v>
      </c>
      <c r="N63">
        <v>18496.749928177102</v>
      </c>
      <c r="O63" t="s">
        <v>219</v>
      </c>
      <c r="P63">
        <v>373654444.04474097</v>
      </c>
      <c r="Q63">
        <v>293540189.98650998</v>
      </c>
      <c r="R63">
        <v>122131270.349949</v>
      </c>
      <c r="S63">
        <v>12680853.2671747</v>
      </c>
      <c r="T63">
        <v>134812123.61712301</v>
      </c>
      <c r="U63">
        <v>931999674.72447598</v>
      </c>
      <c r="V63">
        <v>27390410.011351399</v>
      </c>
      <c r="W63">
        <v>18028257256.5797</v>
      </c>
      <c r="X63">
        <v>18028257256.5797</v>
      </c>
      <c r="Y63" t="s">
        <v>219</v>
      </c>
      <c r="Z63">
        <v>2187224335.78509</v>
      </c>
      <c r="AA63">
        <v>0.546359045444895</v>
      </c>
      <c r="AB63">
        <v>260666.75691427899</v>
      </c>
    </row>
    <row r="64" spans="1:28" x14ac:dyDescent="0.25">
      <c r="A64">
        <v>2008</v>
      </c>
      <c r="B64" t="s">
        <v>224</v>
      </c>
      <c r="C64">
        <v>4</v>
      </c>
      <c r="D64" t="s">
        <v>228</v>
      </c>
      <c r="E64">
        <v>23468427698.736198</v>
      </c>
      <c r="F64" t="s">
        <v>219</v>
      </c>
      <c r="G64">
        <v>9436891651.8269196</v>
      </c>
      <c r="H64" t="s">
        <v>219</v>
      </c>
      <c r="I64">
        <v>9436757947.3959007</v>
      </c>
      <c r="J64">
        <v>14031669751.3403</v>
      </c>
      <c r="K64" t="s">
        <v>219</v>
      </c>
      <c r="L64">
        <v>6100613117.1593704</v>
      </c>
      <c r="M64" t="s">
        <v>219</v>
      </c>
      <c r="N64">
        <v>46616.445937928198</v>
      </c>
      <c r="O64" t="s">
        <v>219</v>
      </c>
      <c r="P64">
        <v>777880193.46554601</v>
      </c>
      <c r="Q64">
        <v>619009748.74098694</v>
      </c>
      <c r="R64">
        <v>37826464.678722501</v>
      </c>
      <c r="S64">
        <v>371643458.743581</v>
      </c>
      <c r="T64">
        <v>409469923.42230397</v>
      </c>
      <c r="U64">
        <v>446201137.83421201</v>
      </c>
      <c r="V64">
        <v>46938395.227168202</v>
      </c>
      <c r="W64">
        <v>4275162680.1875501</v>
      </c>
      <c r="X64">
        <v>4275162680.1875501</v>
      </c>
      <c r="Y64" t="s">
        <v>219</v>
      </c>
      <c r="Z64">
        <v>3336278534.6675501</v>
      </c>
      <c r="AA64">
        <v>0.64646425351067005</v>
      </c>
      <c r="AB64">
        <v>202436.96107576601</v>
      </c>
    </row>
    <row r="65" spans="1:28" x14ac:dyDescent="0.25">
      <c r="A65">
        <v>2008</v>
      </c>
      <c r="B65" t="s">
        <v>225</v>
      </c>
      <c r="C65">
        <v>4</v>
      </c>
      <c r="D65" t="s">
        <v>228</v>
      </c>
      <c r="E65">
        <v>5865304758.1438799</v>
      </c>
      <c r="F65" t="s">
        <v>219</v>
      </c>
      <c r="G65">
        <v>4270908244.31075</v>
      </c>
      <c r="H65" t="s">
        <v>219</v>
      </c>
      <c r="I65">
        <v>4270908244.31075</v>
      </c>
      <c r="J65">
        <v>1594396513.8331299</v>
      </c>
      <c r="K65" t="s">
        <v>219</v>
      </c>
      <c r="L65">
        <v>3566664247.1511302</v>
      </c>
      <c r="M65" t="s">
        <v>219</v>
      </c>
      <c r="N65">
        <v>31795.135597919802</v>
      </c>
      <c r="O65" t="s">
        <v>219</v>
      </c>
      <c r="P65">
        <v>246447048.81028301</v>
      </c>
      <c r="Q65">
        <v>97784995.354034394</v>
      </c>
      <c r="R65">
        <v>16904145</v>
      </c>
      <c r="S65">
        <v>25812337.121718101</v>
      </c>
      <c r="T65">
        <v>42716482.121718101</v>
      </c>
      <c r="U65">
        <v>216899777.81395</v>
      </c>
      <c r="V65">
        <v>2193644.8028393802</v>
      </c>
      <c r="W65">
        <v>4923818442.1269503</v>
      </c>
      <c r="X65">
        <v>4923818442.1269503</v>
      </c>
      <c r="Y65" t="s">
        <v>219</v>
      </c>
      <c r="Z65">
        <v>704243997.159621</v>
      </c>
      <c r="AA65">
        <v>0.83510673681698999</v>
      </c>
      <c r="AB65">
        <v>134325.83833956599</v>
      </c>
    </row>
    <row r="66" spans="1:28" x14ac:dyDescent="0.25">
      <c r="A66">
        <v>2008</v>
      </c>
      <c r="B66" t="s">
        <v>226</v>
      </c>
      <c r="C66">
        <v>4</v>
      </c>
      <c r="D66" t="s">
        <v>228</v>
      </c>
      <c r="E66">
        <v>35285335552.140999</v>
      </c>
      <c r="F66" t="s">
        <v>219</v>
      </c>
      <c r="G66">
        <v>19717369003.045101</v>
      </c>
      <c r="H66" t="s">
        <v>219</v>
      </c>
      <c r="I66">
        <v>19717369003.045101</v>
      </c>
      <c r="J66">
        <v>15567966549.0959</v>
      </c>
      <c r="K66" t="s">
        <v>219</v>
      </c>
      <c r="L66">
        <v>16994715654.6684</v>
      </c>
      <c r="M66" t="s">
        <v>219</v>
      </c>
      <c r="N66">
        <v>69259.138353550195</v>
      </c>
      <c r="O66" t="s">
        <v>219</v>
      </c>
      <c r="P66">
        <v>1612498764.5149801</v>
      </c>
      <c r="Q66">
        <v>475286560.588283</v>
      </c>
      <c r="R66">
        <v>2657427.3146865</v>
      </c>
      <c r="S66">
        <v>173095483.76289999</v>
      </c>
      <c r="T66">
        <v>175752911.07758701</v>
      </c>
      <c r="U66">
        <v>702770962.95213997</v>
      </c>
      <c r="V66">
        <v>-22014455.5442398</v>
      </c>
      <c r="W66">
        <v>13739384595.2815</v>
      </c>
      <c r="X66">
        <v>13739384595.2815</v>
      </c>
      <c r="Y66" t="s">
        <v>219</v>
      </c>
      <c r="Z66">
        <v>2722653348.37674</v>
      </c>
      <c r="AA66">
        <v>0.86191599153232601</v>
      </c>
      <c r="AB66">
        <v>284689.78205291799</v>
      </c>
    </row>
    <row r="67" spans="1:28" x14ac:dyDescent="0.25">
      <c r="A67">
        <v>2008</v>
      </c>
      <c r="B67" t="s">
        <v>229</v>
      </c>
      <c r="C67">
        <v>4</v>
      </c>
      <c r="D67" t="s">
        <v>228</v>
      </c>
      <c r="E67">
        <v>5791343044.2777796</v>
      </c>
      <c r="F67" t="s">
        <v>219</v>
      </c>
      <c r="G67">
        <v>2714021939.7301602</v>
      </c>
      <c r="H67" t="s">
        <v>219</v>
      </c>
      <c r="I67">
        <v>2714021939.7301602</v>
      </c>
      <c r="J67">
        <v>3077321104.5476198</v>
      </c>
      <c r="K67" t="s">
        <v>219</v>
      </c>
      <c r="L67">
        <v>1475484549.7381001</v>
      </c>
      <c r="M67" t="s">
        <v>219</v>
      </c>
      <c r="N67">
        <v>8919.4444444444507</v>
      </c>
      <c r="O67" t="s">
        <v>219</v>
      </c>
      <c r="P67">
        <v>252867504.07936499</v>
      </c>
      <c r="Q67">
        <v>103794324.071429</v>
      </c>
      <c r="R67">
        <v>20187248.785714298</v>
      </c>
      <c r="S67">
        <v>16320548.2857143</v>
      </c>
      <c r="T67">
        <v>36507797.071428597</v>
      </c>
      <c r="U67">
        <v>319930257.96825403</v>
      </c>
      <c r="V67">
        <v>-2745182.3650793601</v>
      </c>
      <c r="W67">
        <v>5380229455.0317497</v>
      </c>
      <c r="X67">
        <v>5380229455.0317497</v>
      </c>
      <c r="Y67" t="s">
        <v>219</v>
      </c>
      <c r="Z67">
        <v>1238537389.9920599</v>
      </c>
      <c r="AA67">
        <v>0.54365240315072605</v>
      </c>
      <c r="AB67">
        <v>304281.50056146301</v>
      </c>
    </row>
    <row r="68" spans="1:28" x14ac:dyDescent="0.25">
      <c r="A68">
        <v>2009</v>
      </c>
      <c r="B68" t="s">
        <v>217</v>
      </c>
      <c r="C68">
        <v>4</v>
      </c>
      <c r="D68" t="s">
        <v>228</v>
      </c>
      <c r="E68">
        <v>262347159926.776</v>
      </c>
      <c r="F68" t="s">
        <v>219</v>
      </c>
      <c r="G68">
        <v>78234883877.820404</v>
      </c>
      <c r="H68" t="s">
        <v>219</v>
      </c>
      <c r="I68">
        <v>64741176279.6548</v>
      </c>
      <c r="J68">
        <v>197605983647.12201</v>
      </c>
      <c r="K68">
        <v>29940300552.5942</v>
      </c>
      <c r="L68">
        <v>29743370612.9925</v>
      </c>
      <c r="M68">
        <v>4506571304.9988604</v>
      </c>
      <c r="N68">
        <v>104036.64779083501</v>
      </c>
      <c r="O68" t="s">
        <v>219</v>
      </c>
      <c r="P68">
        <v>7961085386.4242697</v>
      </c>
      <c r="Q68">
        <v>5801409600.9794102</v>
      </c>
      <c r="R68">
        <v>2415847160.2104001</v>
      </c>
      <c r="S68">
        <v>1477856506.79828</v>
      </c>
      <c r="T68">
        <v>3893703667.0086799</v>
      </c>
      <c r="U68">
        <v>7803216717.6423397</v>
      </c>
      <c r="V68">
        <v>9175908840.9832592</v>
      </c>
      <c r="W68">
        <v>93192117548.195999</v>
      </c>
      <c r="X68">
        <v>93192117548.195999</v>
      </c>
      <c r="Y68">
        <v>127638989405.789</v>
      </c>
      <c r="Z68">
        <v>48491513264.827904</v>
      </c>
      <c r="AA68">
        <v>0.38018041490855597</v>
      </c>
      <c r="AB68">
        <v>751993.50939402403</v>
      </c>
    </row>
    <row r="69" spans="1:28" x14ac:dyDescent="0.25">
      <c r="A69">
        <v>2009</v>
      </c>
      <c r="B69" t="s">
        <v>220</v>
      </c>
      <c r="C69">
        <v>4</v>
      </c>
      <c r="D69" t="s">
        <v>228</v>
      </c>
      <c r="E69">
        <v>34162044497.799999</v>
      </c>
      <c r="F69" t="s">
        <v>219</v>
      </c>
      <c r="G69">
        <v>12299179975.799999</v>
      </c>
      <c r="H69" t="s">
        <v>219</v>
      </c>
      <c r="I69">
        <v>12299179975.799999</v>
      </c>
      <c r="J69">
        <v>21862864522</v>
      </c>
      <c r="K69" t="s">
        <v>219</v>
      </c>
      <c r="L69">
        <v>6068798136.1000004</v>
      </c>
      <c r="M69" t="s">
        <v>219</v>
      </c>
      <c r="N69">
        <v>12290.2</v>
      </c>
      <c r="O69" t="s">
        <v>219</v>
      </c>
      <c r="P69">
        <v>4760493305.8999996</v>
      </c>
      <c r="Q69">
        <v>1673513359.7</v>
      </c>
      <c r="R69">
        <v>216686724</v>
      </c>
      <c r="S69">
        <v>78460241.599999994</v>
      </c>
      <c r="T69">
        <v>295146965.60000002</v>
      </c>
      <c r="U69">
        <v>4863765968</v>
      </c>
      <c r="V69">
        <v>114674521.8</v>
      </c>
      <c r="W69">
        <v>92363394353.5</v>
      </c>
      <c r="X69">
        <v>92363394353.5</v>
      </c>
      <c r="Y69" t="s">
        <v>219</v>
      </c>
      <c r="Z69">
        <v>6230381839.6999998</v>
      </c>
      <c r="AA69">
        <v>0.49343111882589202</v>
      </c>
      <c r="AB69">
        <v>1000730.66148639</v>
      </c>
    </row>
    <row r="70" spans="1:28" x14ac:dyDescent="0.25">
      <c r="A70">
        <v>2009</v>
      </c>
      <c r="B70" t="s">
        <v>221</v>
      </c>
      <c r="C70">
        <v>4</v>
      </c>
      <c r="D70" t="s">
        <v>228</v>
      </c>
      <c r="E70">
        <v>78812299023.803497</v>
      </c>
      <c r="F70" t="s">
        <v>219</v>
      </c>
      <c r="G70">
        <v>46924257067.792801</v>
      </c>
      <c r="H70" t="s">
        <v>219</v>
      </c>
      <c r="I70">
        <v>42857278433.517303</v>
      </c>
      <c r="J70">
        <v>35955020590.286201</v>
      </c>
      <c r="K70" t="s">
        <v>219</v>
      </c>
      <c r="L70">
        <v>21123382960.934299</v>
      </c>
      <c r="M70" t="s">
        <v>219</v>
      </c>
      <c r="N70">
        <v>99621.607267728701</v>
      </c>
      <c r="O70" t="s">
        <v>219</v>
      </c>
      <c r="P70">
        <v>6918031617.3935699</v>
      </c>
      <c r="Q70">
        <v>2202286963.9166899</v>
      </c>
      <c r="R70">
        <v>3054292540.7198601</v>
      </c>
      <c r="S70">
        <v>948354904.27550304</v>
      </c>
      <c r="T70">
        <v>4002647444.9953699</v>
      </c>
      <c r="U70">
        <v>2464916912.1641598</v>
      </c>
      <c r="V70">
        <v>1303956626.6589799</v>
      </c>
      <c r="W70">
        <v>29062370119.561001</v>
      </c>
      <c r="X70">
        <v>29062370119.561001</v>
      </c>
      <c r="Y70" t="s">
        <v>219</v>
      </c>
      <c r="Z70">
        <v>25800874106.858501</v>
      </c>
      <c r="AA70">
        <v>0.45015913476087099</v>
      </c>
      <c r="AB70">
        <v>471024.89464645903</v>
      </c>
    </row>
    <row r="71" spans="1:28" x14ac:dyDescent="0.25">
      <c r="A71">
        <v>2009</v>
      </c>
      <c r="B71" t="s">
        <v>222</v>
      </c>
      <c r="C71">
        <v>4</v>
      </c>
      <c r="D71" t="s">
        <v>228</v>
      </c>
      <c r="E71">
        <v>94219750468.941406</v>
      </c>
      <c r="F71" t="s">
        <v>219</v>
      </c>
      <c r="G71">
        <v>44677051180.4832</v>
      </c>
      <c r="H71" t="s">
        <v>219</v>
      </c>
      <c r="I71">
        <v>44669337963.591698</v>
      </c>
      <c r="J71">
        <v>49550412505.349701</v>
      </c>
      <c r="K71" t="s">
        <v>219</v>
      </c>
      <c r="L71">
        <v>20593240105.119202</v>
      </c>
      <c r="M71" t="s">
        <v>219</v>
      </c>
      <c r="N71">
        <v>54292.735493914297</v>
      </c>
      <c r="O71" t="s">
        <v>219</v>
      </c>
      <c r="P71">
        <v>13488357170.3188</v>
      </c>
      <c r="Q71">
        <v>9657411305.5034904</v>
      </c>
      <c r="R71">
        <v>3664146093.9299502</v>
      </c>
      <c r="S71">
        <v>756655418.63698399</v>
      </c>
      <c r="T71">
        <v>4420801512.5669298</v>
      </c>
      <c r="U71">
        <v>8877254981.2330399</v>
      </c>
      <c r="V71">
        <v>-2140244676.9304299</v>
      </c>
      <c r="W71">
        <v>85729337195.5289</v>
      </c>
      <c r="X71">
        <v>85729337195.5289</v>
      </c>
      <c r="Y71" t="s">
        <v>219</v>
      </c>
      <c r="Z71">
        <v>24083811075.363998</v>
      </c>
      <c r="AA71">
        <v>0.46093552642783198</v>
      </c>
      <c r="AB71">
        <v>822891.87999177398</v>
      </c>
    </row>
    <row r="72" spans="1:28" x14ac:dyDescent="0.25">
      <c r="A72">
        <v>2009</v>
      </c>
      <c r="B72" t="s">
        <v>223</v>
      </c>
      <c r="C72">
        <v>4</v>
      </c>
      <c r="D72" t="s">
        <v>228</v>
      </c>
      <c r="E72">
        <v>12674114232.3297</v>
      </c>
      <c r="F72" t="s">
        <v>219</v>
      </c>
      <c r="G72">
        <v>5436411405.3072205</v>
      </c>
      <c r="H72" t="s">
        <v>219</v>
      </c>
      <c r="I72">
        <v>5434061023.95467</v>
      </c>
      <c r="J72">
        <v>7240053208.3750296</v>
      </c>
      <c r="K72" t="s">
        <v>219</v>
      </c>
      <c r="L72">
        <v>2965205187.3460102</v>
      </c>
      <c r="M72" t="s">
        <v>219</v>
      </c>
      <c r="N72">
        <v>17697.471143932798</v>
      </c>
      <c r="O72" t="s">
        <v>219</v>
      </c>
      <c r="P72">
        <v>780365867.97989905</v>
      </c>
      <c r="Q72">
        <v>320433783.62884498</v>
      </c>
      <c r="R72">
        <v>102402211</v>
      </c>
      <c r="S72">
        <v>21020467.765856601</v>
      </c>
      <c r="T72">
        <v>123422678.765857</v>
      </c>
      <c r="U72">
        <v>737296133.20611203</v>
      </c>
      <c r="V72">
        <v>15094091.3405862</v>
      </c>
      <c r="W72">
        <v>15824518238.219601</v>
      </c>
      <c r="X72">
        <v>15824518238.219601</v>
      </c>
      <c r="Y72" t="s">
        <v>219</v>
      </c>
      <c r="Z72">
        <v>2471206217.9612098</v>
      </c>
      <c r="AA72">
        <v>0.545434288591785</v>
      </c>
      <c r="AB72">
        <v>307185.77592770703</v>
      </c>
    </row>
    <row r="73" spans="1:28" x14ac:dyDescent="0.25">
      <c r="A73">
        <v>2009</v>
      </c>
      <c r="B73" t="s">
        <v>224</v>
      </c>
      <c r="C73">
        <v>4</v>
      </c>
      <c r="D73" t="s">
        <v>228</v>
      </c>
      <c r="E73">
        <v>31888503540.243999</v>
      </c>
      <c r="F73" t="s">
        <v>219</v>
      </c>
      <c r="G73">
        <v>14557699643.2803</v>
      </c>
      <c r="H73" t="s">
        <v>219</v>
      </c>
      <c r="I73">
        <v>14557493385.8578</v>
      </c>
      <c r="J73">
        <v>17331010154.3862</v>
      </c>
      <c r="K73" t="s">
        <v>219</v>
      </c>
      <c r="L73">
        <v>9817803133.81814</v>
      </c>
      <c r="M73" t="s">
        <v>219</v>
      </c>
      <c r="N73">
        <v>61772.260597784698</v>
      </c>
      <c r="O73" t="s">
        <v>219</v>
      </c>
      <c r="P73">
        <v>1092830465.8628399</v>
      </c>
      <c r="Q73">
        <v>828474353.31560099</v>
      </c>
      <c r="R73">
        <v>135506809.22757801</v>
      </c>
      <c r="S73">
        <v>607223275.43107498</v>
      </c>
      <c r="T73">
        <v>742730084.65865302</v>
      </c>
      <c r="U73">
        <v>606069186.23406506</v>
      </c>
      <c r="V73">
        <v>-223909629.73132199</v>
      </c>
      <c r="W73">
        <v>5636265167.8689203</v>
      </c>
      <c r="X73">
        <v>5636265167.8689203</v>
      </c>
      <c r="Y73" t="s">
        <v>219</v>
      </c>
      <c r="Z73">
        <v>4739896509.4621096</v>
      </c>
      <c r="AA73">
        <v>0.67440621625615005</v>
      </c>
      <c r="AB73">
        <v>235667.26395313899</v>
      </c>
    </row>
    <row r="74" spans="1:28" x14ac:dyDescent="0.25">
      <c r="A74">
        <v>2009</v>
      </c>
      <c r="B74" t="s">
        <v>225</v>
      </c>
      <c r="C74">
        <v>4</v>
      </c>
      <c r="D74" t="s">
        <v>228</v>
      </c>
      <c r="E74">
        <v>7024062835.93046</v>
      </c>
      <c r="F74" t="s">
        <v>219</v>
      </c>
      <c r="G74">
        <v>5473932707.7265396</v>
      </c>
      <c r="H74" t="s">
        <v>219</v>
      </c>
      <c r="I74">
        <v>5473932707.7265396</v>
      </c>
      <c r="J74">
        <v>1550130128.2039199</v>
      </c>
      <c r="K74" t="s">
        <v>219</v>
      </c>
      <c r="L74">
        <v>4330630889.8629503</v>
      </c>
      <c r="M74" t="s">
        <v>219</v>
      </c>
      <c r="N74">
        <v>30152.827014852101</v>
      </c>
      <c r="O74" t="s">
        <v>219</v>
      </c>
      <c r="P74">
        <v>396857073.37203801</v>
      </c>
      <c r="Q74">
        <v>107348194.028253</v>
      </c>
      <c r="R74">
        <v>3129009.66276262</v>
      </c>
      <c r="S74">
        <v>16498482.497479999</v>
      </c>
      <c r="T74">
        <v>19627492.160242699</v>
      </c>
      <c r="U74">
        <v>191083057.80342901</v>
      </c>
      <c r="V74">
        <v>-4797671.9925338197</v>
      </c>
      <c r="W74">
        <v>4420167255.3984804</v>
      </c>
      <c r="X74">
        <v>4420167255.3984804</v>
      </c>
      <c r="Y74" t="s">
        <v>219</v>
      </c>
      <c r="Z74">
        <v>1143301817.86359</v>
      </c>
      <c r="AA74">
        <v>0.79113703457665796</v>
      </c>
      <c r="AB74">
        <v>181539.61832601301</v>
      </c>
    </row>
    <row r="75" spans="1:28" x14ac:dyDescent="0.25">
      <c r="A75">
        <v>2009</v>
      </c>
      <c r="B75" t="s">
        <v>226</v>
      </c>
      <c r="C75">
        <v>4</v>
      </c>
      <c r="D75" t="s">
        <v>228</v>
      </c>
      <c r="E75">
        <v>39651080888.021301</v>
      </c>
      <c r="F75" t="s">
        <v>219</v>
      </c>
      <c r="G75">
        <v>21927460428.530201</v>
      </c>
      <c r="H75" t="s">
        <v>219</v>
      </c>
      <c r="I75">
        <v>21927460428.530201</v>
      </c>
      <c r="J75">
        <v>17723620459.4911</v>
      </c>
      <c r="K75" t="s">
        <v>219</v>
      </c>
      <c r="L75">
        <v>19081212214.0546</v>
      </c>
      <c r="M75" t="s">
        <v>219</v>
      </c>
      <c r="N75">
        <v>74044.771059357401</v>
      </c>
      <c r="O75" t="s">
        <v>219</v>
      </c>
      <c r="P75">
        <v>1722104161.79037</v>
      </c>
      <c r="Q75">
        <v>794989323.19993806</v>
      </c>
      <c r="R75">
        <v>11132202.468913199</v>
      </c>
      <c r="S75">
        <v>278586576.16142499</v>
      </c>
      <c r="T75">
        <v>289718778.63033801</v>
      </c>
      <c r="U75">
        <v>757359356.49559796</v>
      </c>
      <c r="V75">
        <v>-3846200.94351508</v>
      </c>
      <c r="W75">
        <v>14648937124.259001</v>
      </c>
      <c r="X75">
        <v>14648937124.259001</v>
      </c>
      <c r="Y75" t="s">
        <v>219</v>
      </c>
      <c r="Z75">
        <v>2846248214.4755402</v>
      </c>
      <c r="AA75">
        <v>0.87019708808721696</v>
      </c>
      <c r="AB75">
        <v>296137.86517014401</v>
      </c>
    </row>
    <row r="76" spans="1:28" x14ac:dyDescent="0.25">
      <c r="A76">
        <v>2009</v>
      </c>
      <c r="B76" t="s">
        <v>229</v>
      </c>
      <c r="C76">
        <v>4</v>
      </c>
      <c r="D76" t="s">
        <v>228</v>
      </c>
      <c r="E76">
        <v>11746279430.033701</v>
      </c>
      <c r="F76" t="s">
        <v>219</v>
      </c>
      <c r="G76">
        <v>5121528140.7957602</v>
      </c>
      <c r="H76" t="s">
        <v>219</v>
      </c>
      <c r="I76">
        <v>5121528140.7957602</v>
      </c>
      <c r="J76">
        <v>6624751289.2379303</v>
      </c>
      <c r="K76" t="s">
        <v>219</v>
      </c>
      <c r="L76">
        <v>3385269866.4584298</v>
      </c>
      <c r="M76" t="s">
        <v>219</v>
      </c>
      <c r="N76">
        <v>23552.492350678702</v>
      </c>
      <c r="O76" t="s">
        <v>219</v>
      </c>
      <c r="P76">
        <v>375209335.05740303</v>
      </c>
      <c r="Q76">
        <v>195630916.033739</v>
      </c>
      <c r="R76">
        <v>76243318.331428602</v>
      </c>
      <c r="S76">
        <v>39270108.931786597</v>
      </c>
      <c r="T76">
        <v>115513427.26321501</v>
      </c>
      <c r="U76">
        <v>387237796.62181598</v>
      </c>
      <c r="V76">
        <v>-11281477.410975</v>
      </c>
      <c r="W76">
        <v>5516886601.5211802</v>
      </c>
      <c r="X76">
        <v>5516886601.5211802</v>
      </c>
      <c r="Y76" t="s">
        <v>219</v>
      </c>
      <c r="Z76">
        <v>1736258274.3373301</v>
      </c>
      <c r="AA76">
        <v>0.66098823893847503</v>
      </c>
      <c r="AB76">
        <v>217451.64225255299</v>
      </c>
    </row>
    <row r="77" spans="1:28" x14ac:dyDescent="0.25">
      <c r="A77">
        <v>2010</v>
      </c>
      <c r="B77" t="s">
        <v>217</v>
      </c>
      <c r="C77">
        <v>4</v>
      </c>
      <c r="D77" t="s">
        <v>228</v>
      </c>
      <c r="E77">
        <v>298614685114.745</v>
      </c>
      <c r="F77" t="s">
        <v>219</v>
      </c>
      <c r="G77">
        <v>95564090931.252304</v>
      </c>
      <c r="H77" t="s">
        <v>219</v>
      </c>
      <c r="I77">
        <v>79081496006.913193</v>
      </c>
      <c r="J77">
        <v>219533189107.83099</v>
      </c>
      <c r="K77">
        <v>33262604410.2775</v>
      </c>
      <c r="L77">
        <v>34131850283.349602</v>
      </c>
      <c r="M77">
        <v>5171492467.1741896</v>
      </c>
      <c r="N77">
        <v>112274.193929867</v>
      </c>
      <c r="O77" t="s">
        <v>219</v>
      </c>
      <c r="P77">
        <v>10581328732.3151</v>
      </c>
      <c r="Q77">
        <v>6527266606.3431396</v>
      </c>
      <c r="R77">
        <v>2632960238.7007899</v>
      </c>
      <c r="S77">
        <v>1822989811.2412601</v>
      </c>
      <c r="T77">
        <v>4455950049.94205</v>
      </c>
      <c r="U77">
        <v>8154845648.1199398</v>
      </c>
      <c r="V77">
        <v>12317165605.5467</v>
      </c>
      <c r="W77">
        <v>99737810059.451508</v>
      </c>
      <c r="X77">
        <v>99737810059.451508</v>
      </c>
      <c r="Y77">
        <v>138171906936.90302</v>
      </c>
      <c r="Z77">
        <v>61432240647.902702</v>
      </c>
      <c r="AA77">
        <v>0.35716187901482399</v>
      </c>
      <c r="AB77">
        <v>851167.01876254403</v>
      </c>
    </row>
    <row r="78" spans="1:28" x14ac:dyDescent="0.25">
      <c r="A78">
        <v>2010</v>
      </c>
      <c r="B78" t="s">
        <v>220</v>
      </c>
      <c r="C78">
        <v>4</v>
      </c>
      <c r="D78" t="s">
        <v>228</v>
      </c>
      <c r="E78">
        <v>38994624353.25</v>
      </c>
      <c r="F78" t="s">
        <v>219</v>
      </c>
      <c r="G78">
        <v>26390029596.5</v>
      </c>
      <c r="H78" t="s">
        <v>219</v>
      </c>
      <c r="I78">
        <v>26390029596.5</v>
      </c>
      <c r="J78">
        <v>12604594756.75</v>
      </c>
      <c r="K78" t="s">
        <v>219</v>
      </c>
      <c r="L78">
        <v>7026644454</v>
      </c>
      <c r="M78" t="s">
        <v>219</v>
      </c>
      <c r="N78">
        <v>12607.25</v>
      </c>
      <c r="O78" t="s">
        <v>219</v>
      </c>
      <c r="P78">
        <v>9171112853</v>
      </c>
      <c r="Q78">
        <v>1551406864</v>
      </c>
      <c r="R78">
        <v>908300</v>
      </c>
      <c r="S78">
        <v>6714257</v>
      </c>
      <c r="T78">
        <v>7622557</v>
      </c>
      <c r="U78">
        <v>5678174155.5</v>
      </c>
      <c r="V78">
        <v>56662309</v>
      </c>
      <c r="W78">
        <v>109721059531.5</v>
      </c>
      <c r="X78">
        <v>109721059531.5</v>
      </c>
      <c r="Y78" t="s">
        <v>219</v>
      </c>
      <c r="Z78">
        <v>19363385142.5</v>
      </c>
      <c r="AA78">
        <v>0.26626133283806203</v>
      </c>
      <c r="AB78">
        <v>2093242.34837098</v>
      </c>
    </row>
    <row r="79" spans="1:28" x14ac:dyDescent="0.25">
      <c r="A79">
        <v>2010</v>
      </c>
      <c r="B79" t="s">
        <v>221</v>
      </c>
      <c r="C79">
        <v>4</v>
      </c>
      <c r="D79" t="s">
        <v>228</v>
      </c>
      <c r="E79">
        <v>114837662487.26801</v>
      </c>
      <c r="F79" t="s">
        <v>219</v>
      </c>
      <c r="G79">
        <v>64321142010.214897</v>
      </c>
      <c r="H79" t="s">
        <v>219</v>
      </c>
      <c r="I79">
        <v>58746355606.888</v>
      </c>
      <c r="J79">
        <v>56091306880.380501</v>
      </c>
      <c r="K79" t="s">
        <v>219</v>
      </c>
      <c r="L79">
        <v>26747076212.073898</v>
      </c>
      <c r="M79" t="s">
        <v>219</v>
      </c>
      <c r="N79">
        <v>112666.908623568</v>
      </c>
      <c r="O79" t="s">
        <v>219</v>
      </c>
      <c r="P79">
        <v>8076935906.2514801</v>
      </c>
      <c r="Q79">
        <v>4649741378.6367702</v>
      </c>
      <c r="R79">
        <v>335093521.06429702</v>
      </c>
      <c r="S79">
        <v>3169581557.5820799</v>
      </c>
      <c r="T79">
        <v>3504675078.6463799</v>
      </c>
      <c r="U79">
        <v>3268959735.6551099</v>
      </c>
      <c r="V79">
        <v>1813337271.24211</v>
      </c>
      <c r="W79">
        <v>39049175307.968102</v>
      </c>
      <c r="X79">
        <v>39049175307.968102</v>
      </c>
      <c r="Y79" t="s">
        <v>219</v>
      </c>
      <c r="Z79">
        <v>37574065798.1409</v>
      </c>
      <c r="AA79">
        <v>0.41583646334864799</v>
      </c>
      <c r="AB79">
        <v>570896.48412311205</v>
      </c>
    </row>
    <row r="80" spans="1:28" x14ac:dyDescent="0.25">
      <c r="A80">
        <v>2010</v>
      </c>
      <c r="B80" t="s">
        <v>222</v>
      </c>
      <c r="C80">
        <v>4</v>
      </c>
      <c r="D80" t="s">
        <v>228</v>
      </c>
      <c r="E80">
        <v>116055949020.836</v>
      </c>
      <c r="F80" t="s">
        <v>219</v>
      </c>
      <c r="G80">
        <v>52926000790.248497</v>
      </c>
      <c r="H80" t="s">
        <v>219</v>
      </c>
      <c r="I80">
        <v>52916863443.165199</v>
      </c>
      <c r="J80">
        <v>63139085577.670403</v>
      </c>
      <c r="K80" t="s">
        <v>219</v>
      </c>
      <c r="L80">
        <v>24322396293.5033</v>
      </c>
      <c r="M80" t="s">
        <v>219</v>
      </c>
      <c r="N80">
        <v>59920.013466436903</v>
      </c>
      <c r="O80" t="s">
        <v>219</v>
      </c>
      <c r="P80">
        <v>15474182798.7012</v>
      </c>
      <c r="Q80">
        <v>11653054750.447201</v>
      </c>
      <c r="R80">
        <v>6003664796.6243896</v>
      </c>
      <c r="S80">
        <v>1024522795.7720701</v>
      </c>
      <c r="T80">
        <v>7028187592.3964596</v>
      </c>
      <c r="U80">
        <v>10453299412.6987</v>
      </c>
      <c r="V80">
        <v>-2347558987.9468699</v>
      </c>
      <c r="W80">
        <v>112215574588.522</v>
      </c>
      <c r="X80">
        <v>112215574588.522</v>
      </c>
      <c r="Y80" t="s">
        <v>219</v>
      </c>
      <c r="Z80">
        <v>28603604496.745201</v>
      </c>
      <c r="AA80">
        <v>0.45955477327477701</v>
      </c>
      <c r="AB80">
        <v>883277.51828517194</v>
      </c>
    </row>
    <row r="81" spans="1:28" x14ac:dyDescent="0.25">
      <c r="A81">
        <v>2010</v>
      </c>
      <c r="B81" t="s">
        <v>223</v>
      </c>
      <c r="C81">
        <v>4</v>
      </c>
      <c r="D81" t="s">
        <v>228</v>
      </c>
      <c r="E81">
        <v>23403987317.616699</v>
      </c>
      <c r="F81" t="s">
        <v>219</v>
      </c>
      <c r="G81">
        <v>7645859617.6687403</v>
      </c>
      <c r="H81" t="s">
        <v>219</v>
      </c>
      <c r="I81">
        <v>7642554002.1569996</v>
      </c>
      <c r="J81">
        <v>15761433315.4597</v>
      </c>
      <c r="K81" t="s">
        <v>219</v>
      </c>
      <c r="L81">
        <v>4544184703.8722496</v>
      </c>
      <c r="M81" t="s">
        <v>219</v>
      </c>
      <c r="N81">
        <v>24412.392005484198</v>
      </c>
      <c r="O81" t="s">
        <v>219</v>
      </c>
      <c r="P81">
        <v>2294878556.65625</v>
      </c>
      <c r="Q81">
        <v>1293871780.2811699</v>
      </c>
      <c r="R81">
        <v>64677873</v>
      </c>
      <c r="S81">
        <v>463924535.69260401</v>
      </c>
      <c r="T81">
        <v>528602408.69260401</v>
      </c>
      <c r="U81">
        <v>1352996595.5048399</v>
      </c>
      <c r="V81">
        <v>49613909.4299706</v>
      </c>
      <c r="W81">
        <v>35928437064.365601</v>
      </c>
      <c r="X81">
        <v>35928437064.365601</v>
      </c>
      <c r="Y81" t="s">
        <v>219</v>
      </c>
      <c r="Z81">
        <v>3101674913.7964802</v>
      </c>
      <c r="AA81">
        <v>0.59433274100025901</v>
      </c>
      <c r="AB81">
        <v>313195.839881283</v>
      </c>
    </row>
    <row r="82" spans="1:28" x14ac:dyDescent="0.25">
      <c r="A82">
        <v>2010</v>
      </c>
      <c r="B82" t="s">
        <v>224</v>
      </c>
      <c r="C82">
        <v>4</v>
      </c>
      <c r="D82" t="s">
        <v>228</v>
      </c>
      <c r="E82">
        <v>44407587120.347099</v>
      </c>
      <c r="F82" t="s">
        <v>219</v>
      </c>
      <c r="G82">
        <v>20477575683.7206</v>
      </c>
      <c r="H82" t="s">
        <v>219</v>
      </c>
      <c r="I82">
        <v>20477285551.894699</v>
      </c>
      <c r="J82">
        <v>23930301568.452301</v>
      </c>
      <c r="K82" t="s">
        <v>219</v>
      </c>
      <c r="L82">
        <v>15123683950.9074</v>
      </c>
      <c r="M82" t="s">
        <v>219</v>
      </c>
      <c r="N82">
        <v>73624.330633245903</v>
      </c>
      <c r="O82" t="s">
        <v>219</v>
      </c>
      <c r="P82">
        <v>1864415627.99804</v>
      </c>
      <c r="Q82">
        <v>1168806778.4044499</v>
      </c>
      <c r="R82">
        <v>278602385.84968603</v>
      </c>
      <c r="S82">
        <v>648833088.00851905</v>
      </c>
      <c r="T82">
        <v>927435473.85820496</v>
      </c>
      <c r="U82">
        <v>1134903747.6219499</v>
      </c>
      <c r="V82">
        <v>69904849.218958303</v>
      </c>
      <c r="W82">
        <v>8788434025.6679802</v>
      </c>
      <c r="X82">
        <v>8788434025.6679802</v>
      </c>
      <c r="Y82" t="s">
        <v>219</v>
      </c>
      <c r="Z82">
        <v>5353891732.8131504</v>
      </c>
      <c r="AA82">
        <v>0.73854855596654301</v>
      </c>
      <c r="AB82">
        <v>278135.984498495</v>
      </c>
    </row>
    <row r="83" spans="1:28" x14ac:dyDescent="0.25">
      <c r="A83">
        <v>2010</v>
      </c>
      <c r="B83" t="s">
        <v>225</v>
      </c>
      <c r="C83">
        <v>4</v>
      </c>
      <c r="D83" t="s">
        <v>228</v>
      </c>
      <c r="E83">
        <v>9307663615.3346691</v>
      </c>
      <c r="F83" t="s">
        <v>219</v>
      </c>
      <c r="G83">
        <v>6744492273.2825804</v>
      </c>
      <c r="H83" t="s">
        <v>219</v>
      </c>
      <c r="I83">
        <v>6744492273.2825804</v>
      </c>
      <c r="J83">
        <v>2563171342.0520802</v>
      </c>
      <c r="K83" t="s">
        <v>219</v>
      </c>
      <c r="L83">
        <v>5107759058.7845602</v>
      </c>
      <c r="M83" t="s">
        <v>219</v>
      </c>
      <c r="N83">
        <v>31457.153758589</v>
      </c>
      <c r="O83" t="s">
        <v>219</v>
      </c>
      <c r="P83">
        <v>473420936.08440101</v>
      </c>
      <c r="Q83">
        <v>106502052.871217</v>
      </c>
      <c r="R83">
        <v>11199775</v>
      </c>
      <c r="S83">
        <v>59287416.963008702</v>
      </c>
      <c r="T83">
        <v>70487191.963008702</v>
      </c>
      <c r="U83">
        <v>214367634.50361499</v>
      </c>
      <c r="V83">
        <v>793234.65277096303</v>
      </c>
      <c r="W83">
        <v>5610572006.28584</v>
      </c>
      <c r="X83">
        <v>5610572006.28584</v>
      </c>
      <c r="Y83" t="s">
        <v>219</v>
      </c>
      <c r="Z83">
        <v>1636733214.4980199</v>
      </c>
      <c r="AA83">
        <v>0.75732299064501496</v>
      </c>
      <c r="AB83">
        <v>214402.49569435601</v>
      </c>
    </row>
    <row r="84" spans="1:28" x14ac:dyDescent="0.25">
      <c r="A84">
        <v>2010</v>
      </c>
      <c r="B84" t="s">
        <v>226</v>
      </c>
      <c r="C84">
        <v>4</v>
      </c>
      <c r="D84" t="s">
        <v>228</v>
      </c>
      <c r="E84">
        <v>47873424479.832001</v>
      </c>
      <c r="F84" t="s">
        <v>219</v>
      </c>
      <c r="G84">
        <v>28110573001.268101</v>
      </c>
      <c r="H84" t="s">
        <v>219</v>
      </c>
      <c r="I84">
        <v>28110573001.268101</v>
      </c>
      <c r="J84">
        <v>19762851478.5639</v>
      </c>
      <c r="K84" t="s">
        <v>219</v>
      </c>
      <c r="L84">
        <v>23647226705.2188</v>
      </c>
      <c r="M84" t="s">
        <v>219</v>
      </c>
      <c r="N84">
        <v>75954.119866234396</v>
      </c>
      <c r="O84" t="s">
        <v>219</v>
      </c>
      <c r="P84">
        <v>12635303080.9613</v>
      </c>
      <c r="Q84">
        <v>7886087442.2217798</v>
      </c>
      <c r="R84">
        <v>9310425.1358117294</v>
      </c>
      <c r="S84">
        <v>7490708724.1382303</v>
      </c>
      <c r="T84">
        <v>7500019149.2740402</v>
      </c>
      <c r="U84">
        <v>1099777430.1723199</v>
      </c>
      <c r="V84">
        <v>-50890166.004831001</v>
      </c>
      <c r="W84">
        <v>31147915094.4846</v>
      </c>
      <c r="X84">
        <v>31147915094.4846</v>
      </c>
      <c r="Y84" t="s">
        <v>219</v>
      </c>
      <c r="Z84">
        <v>4463346296.0492697</v>
      </c>
      <c r="AA84">
        <v>0.84122179594674495</v>
      </c>
      <c r="AB84">
        <v>370099.38434906001</v>
      </c>
    </row>
    <row r="85" spans="1:28" x14ac:dyDescent="0.25">
      <c r="A85">
        <v>2010</v>
      </c>
      <c r="B85" t="s">
        <v>229</v>
      </c>
      <c r="C85">
        <v>4</v>
      </c>
      <c r="D85" t="s">
        <v>228</v>
      </c>
      <c r="E85">
        <v>15929304299.509199</v>
      </c>
      <c r="F85" t="s">
        <v>219</v>
      </c>
      <c r="G85">
        <v>6125496189.6332502</v>
      </c>
      <c r="H85" t="s">
        <v>219</v>
      </c>
      <c r="I85">
        <v>6125496189.6332502</v>
      </c>
      <c r="J85">
        <v>9803808109.8759098</v>
      </c>
      <c r="K85" t="s">
        <v>219</v>
      </c>
      <c r="L85">
        <v>4034922088.9629698</v>
      </c>
      <c r="M85" t="s">
        <v>219</v>
      </c>
      <c r="N85">
        <v>19366.4060191436</v>
      </c>
      <c r="O85" t="s">
        <v>219</v>
      </c>
      <c r="P85">
        <v>505220495.58496302</v>
      </c>
      <c r="Q85">
        <v>233618658.687702</v>
      </c>
      <c r="R85">
        <v>8978822.8944049608</v>
      </c>
      <c r="S85">
        <v>84005652.914246798</v>
      </c>
      <c r="T85">
        <v>92984475.808651701</v>
      </c>
      <c r="U85">
        <v>422952488.88439202</v>
      </c>
      <c r="V85">
        <v>-3827397.7558744699</v>
      </c>
      <c r="W85">
        <v>6897228128.2881498</v>
      </c>
      <c r="X85">
        <v>6897228128.2881498</v>
      </c>
      <c r="Y85" t="s">
        <v>219</v>
      </c>
      <c r="Z85">
        <v>2090574100.67028</v>
      </c>
      <c r="AA85">
        <v>0.65870942762018903</v>
      </c>
      <c r="AB85">
        <v>316294.937923858</v>
      </c>
    </row>
    <row r="86" spans="1:28" x14ac:dyDescent="0.25">
      <c r="A86">
        <v>2011</v>
      </c>
      <c r="B86" t="s">
        <v>217</v>
      </c>
      <c r="C86">
        <v>4</v>
      </c>
      <c r="D86" t="s">
        <v>228</v>
      </c>
      <c r="E86">
        <v>322720110758.961</v>
      </c>
      <c r="F86" t="s">
        <v>219</v>
      </c>
      <c r="G86">
        <v>97706590220.234604</v>
      </c>
      <c r="H86" t="s">
        <v>219</v>
      </c>
      <c r="I86">
        <v>80854463732.712601</v>
      </c>
      <c r="J86">
        <v>241865647026.24899</v>
      </c>
      <c r="K86">
        <v>36646310155.492203</v>
      </c>
      <c r="L86">
        <v>38240756792.585899</v>
      </c>
      <c r="M86">
        <v>5794054059.4827099</v>
      </c>
      <c r="N86">
        <v>109399.623065035</v>
      </c>
      <c r="O86">
        <v>2202</v>
      </c>
      <c r="P86" t="s">
        <v>219</v>
      </c>
      <c r="Q86" t="s">
        <v>219</v>
      </c>
      <c r="R86" t="s">
        <v>219</v>
      </c>
      <c r="S86" t="s">
        <v>219</v>
      </c>
      <c r="T86" t="s">
        <v>219</v>
      </c>
      <c r="U86">
        <v>8184811603.9800196</v>
      </c>
      <c r="V86">
        <v>18825379389.486599</v>
      </c>
      <c r="W86" t="s">
        <v>219</v>
      </c>
      <c r="X86">
        <v>122150149877.437</v>
      </c>
      <c r="Y86">
        <v>164590514092.41199</v>
      </c>
      <c r="Z86">
        <v>59465833427.648804</v>
      </c>
      <c r="AA86">
        <v>0.39138359763031</v>
      </c>
      <c r="AB86">
        <v>893116.333336454</v>
      </c>
    </row>
    <row r="87" spans="1:28" x14ac:dyDescent="0.25">
      <c r="A87">
        <v>2011</v>
      </c>
      <c r="B87" t="s">
        <v>220</v>
      </c>
      <c r="C87">
        <v>4</v>
      </c>
      <c r="D87" t="s">
        <v>228</v>
      </c>
      <c r="E87">
        <v>39578219783.4468</v>
      </c>
      <c r="F87" t="s">
        <v>219</v>
      </c>
      <c r="G87">
        <v>19218415121.134998</v>
      </c>
      <c r="H87" t="s">
        <v>219</v>
      </c>
      <c r="I87">
        <v>19218415121.134998</v>
      </c>
      <c r="J87">
        <v>20359804662.311798</v>
      </c>
      <c r="K87" t="s">
        <v>219</v>
      </c>
      <c r="L87">
        <v>7835641471.5897102</v>
      </c>
      <c r="M87" t="s">
        <v>219</v>
      </c>
      <c r="N87">
        <v>14529.585329355299</v>
      </c>
      <c r="O87">
        <v>135</v>
      </c>
      <c r="P87" t="s">
        <v>219</v>
      </c>
      <c r="Q87" t="s">
        <v>219</v>
      </c>
      <c r="R87" t="s">
        <v>219</v>
      </c>
      <c r="S87" t="s">
        <v>219</v>
      </c>
      <c r="T87" t="s">
        <v>219</v>
      </c>
      <c r="U87">
        <v>6114722578.9549999</v>
      </c>
      <c r="V87">
        <v>1458215336.4217701</v>
      </c>
      <c r="W87" t="s">
        <v>219</v>
      </c>
      <c r="X87">
        <v>125774021529.862</v>
      </c>
      <c r="Y87" t="s">
        <v>219</v>
      </c>
      <c r="Z87">
        <v>11382773649.5453</v>
      </c>
      <c r="AA87">
        <v>0.40771527840360899</v>
      </c>
      <c r="AB87">
        <v>1322709.1266195001</v>
      </c>
    </row>
    <row r="88" spans="1:28" x14ac:dyDescent="0.25">
      <c r="A88">
        <v>2011</v>
      </c>
      <c r="B88" t="s">
        <v>221</v>
      </c>
      <c r="C88">
        <v>4</v>
      </c>
      <c r="D88" t="s">
        <v>228</v>
      </c>
      <c r="E88">
        <v>121044225323.414</v>
      </c>
      <c r="F88" t="s">
        <v>219</v>
      </c>
      <c r="G88">
        <v>73231630121.077393</v>
      </c>
      <c r="H88" t="s">
        <v>219</v>
      </c>
      <c r="I88">
        <v>66884561596.895897</v>
      </c>
      <c r="J88">
        <v>54159663726.518303</v>
      </c>
      <c r="K88" t="s">
        <v>219</v>
      </c>
      <c r="L88">
        <v>31869388118.310799</v>
      </c>
      <c r="M88" t="s">
        <v>219</v>
      </c>
      <c r="N88">
        <v>114837.61781419899</v>
      </c>
      <c r="O88">
        <v>3512</v>
      </c>
      <c r="P88" t="s">
        <v>219</v>
      </c>
      <c r="Q88" t="s">
        <v>219</v>
      </c>
      <c r="R88" t="s">
        <v>219</v>
      </c>
      <c r="S88" t="s">
        <v>219</v>
      </c>
      <c r="T88" t="s">
        <v>219</v>
      </c>
      <c r="U88">
        <v>3339584997.6827898</v>
      </c>
      <c r="V88">
        <v>3227271270.7214999</v>
      </c>
      <c r="W88" t="s">
        <v>219</v>
      </c>
      <c r="X88">
        <v>36946814278.129799</v>
      </c>
      <c r="Y88" t="s">
        <v>219</v>
      </c>
      <c r="Z88">
        <v>41362242002.766602</v>
      </c>
      <c r="AA88">
        <v>0.43518610831985599</v>
      </c>
      <c r="AB88">
        <v>637697.22426289297</v>
      </c>
    </row>
    <row r="89" spans="1:28" x14ac:dyDescent="0.25">
      <c r="A89">
        <v>2011</v>
      </c>
      <c r="B89" t="s">
        <v>222</v>
      </c>
      <c r="C89">
        <v>4</v>
      </c>
      <c r="D89" t="s">
        <v>228</v>
      </c>
      <c r="E89">
        <v>146332394935.42001</v>
      </c>
      <c r="F89" t="s">
        <v>219</v>
      </c>
      <c r="G89">
        <v>65881979697.166496</v>
      </c>
      <c r="H89" t="s">
        <v>219</v>
      </c>
      <c r="I89">
        <v>65870605580.361099</v>
      </c>
      <c r="J89">
        <v>80461789355.058594</v>
      </c>
      <c r="K89" t="s">
        <v>219</v>
      </c>
      <c r="L89">
        <v>35431447242.591904</v>
      </c>
      <c r="M89" t="s">
        <v>219</v>
      </c>
      <c r="N89">
        <v>74688.448860863195</v>
      </c>
      <c r="O89">
        <v>1327</v>
      </c>
      <c r="P89" t="s">
        <v>219</v>
      </c>
      <c r="Q89" t="s">
        <v>219</v>
      </c>
      <c r="R89" t="s">
        <v>219</v>
      </c>
      <c r="S89" t="s">
        <v>219</v>
      </c>
      <c r="T89" t="s">
        <v>219</v>
      </c>
      <c r="U89">
        <v>10182639782.220501</v>
      </c>
      <c r="V89">
        <v>-1203351137.1564901</v>
      </c>
      <c r="W89" t="s">
        <v>219</v>
      </c>
      <c r="X89">
        <v>130841310923.94299</v>
      </c>
      <c r="Y89" t="s">
        <v>219</v>
      </c>
      <c r="Z89">
        <v>30450532454.5746</v>
      </c>
      <c r="AA89">
        <v>0.53780179960371999</v>
      </c>
      <c r="AB89">
        <v>882090.61376944405</v>
      </c>
    </row>
    <row r="90" spans="1:28" x14ac:dyDescent="0.25">
      <c r="A90">
        <v>2011</v>
      </c>
      <c r="B90" t="s">
        <v>223</v>
      </c>
      <c r="C90">
        <v>4</v>
      </c>
      <c r="D90" t="s">
        <v>228</v>
      </c>
      <c r="E90">
        <v>14288171055.9734</v>
      </c>
      <c r="F90" t="s">
        <v>219</v>
      </c>
      <c r="G90">
        <v>5844789879.8501997</v>
      </c>
      <c r="H90" t="s">
        <v>219</v>
      </c>
      <c r="I90">
        <v>5842262939.90417</v>
      </c>
      <c r="J90">
        <v>8445908116.06919</v>
      </c>
      <c r="K90" t="s">
        <v>219</v>
      </c>
      <c r="L90">
        <v>3667389791.6128602</v>
      </c>
      <c r="M90" t="s">
        <v>219</v>
      </c>
      <c r="N90">
        <v>20434.2780410222</v>
      </c>
      <c r="O90">
        <v>817</v>
      </c>
      <c r="P90" t="s">
        <v>219</v>
      </c>
      <c r="Q90" t="s">
        <v>219</v>
      </c>
      <c r="R90" t="s">
        <v>219</v>
      </c>
      <c r="S90" t="s">
        <v>219</v>
      </c>
      <c r="T90" t="s">
        <v>219</v>
      </c>
      <c r="U90">
        <v>613779219.00219703</v>
      </c>
      <c r="V90">
        <v>111911882.911759</v>
      </c>
      <c r="W90" t="s">
        <v>219</v>
      </c>
      <c r="X90">
        <v>11831367017.481501</v>
      </c>
      <c r="Y90" t="s">
        <v>219</v>
      </c>
      <c r="Z90">
        <v>2177400088.23734</v>
      </c>
      <c r="AA90">
        <v>0.62746306830569198</v>
      </c>
      <c r="AB90">
        <v>286028.69492705702</v>
      </c>
    </row>
    <row r="91" spans="1:28" x14ac:dyDescent="0.25">
      <c r="A91">
        <v>2011</v>
      </c>
      <c r="B91" t="s">
        <v>224</v>
      </c>
      <c r="C91">
        <v>4</v>
      </c>
      <c r="D91" t="s">
        <v>228</v>
      </c>
      <c r="E91">
        <v>45797082564.721603</v>
      </c>
      <c r="F91" t="s">
        <v>219</v>
      </c>
      <c r="G91">
        <v>22095561547.084599</v>
      </c>
      <c r="H91" t="s">
        <v>219</v>
      </c>
      <c r="I91">
        <v>22095248491.1978</v>
      </c>
      <c r="J91">
        <v>23701834073.523899</v>
      </c>
      <c r="K91" t="s">
        <v>219</v>
      </c>
      <c r="L91">
        <v>16480028160.395</v>
      </c>
      <c r="M91" t="s">
        <v>219</v>
      </c>
      <c r="N91">
        <v>74963.794117793106</v>
      </c>
      <c r="O91">
        <v>1344</v>
      </c>
      <c r="P91" t="s">
        <v>219</v>
      </c>
      <c r="Q91" t="s">
        <v>219</v>
      </c>
      <c r="R91" t="s">
        <v>219</v>
      </c>
      <c r="S91" t="s">
        <v>219</v>
      </c>
      <c r="T91" t="s">
        <v>219</v>
      </c>
      <c r="U91">
        <v>1204383245.9491401</v>
      </c>
      <c r="V91">
        <v>-260728765.37237599</v>
      </c>
      <c r="W91" t="s">
        <v>219</v>
      </c>
      <c r="X91">
        <v>13744329481.1551</v>
      </c>
      <c r="Y91" t="s">
        <v>219</v>
      </c>
      <c r="Z91">
        <v>5615533386.6895103</v>
      </c>
      <c r="AA91">
        <v>0.74585242494411896</v>
      </c>
      <c r="AB91">
        <v>294749.77630354598</v>
      </c>
    </row>
    <row r="92" spans="1:28" x14ac:dyDescent="0.25">
      <c r="A92">
        <v>2011</v>
      </c>
      <c r="B92" t="s">
        <v>225</v>
      </c>
      <c r="C92">
        <v>4</v>
      </c>
      <c r="D92" t="s">
        <v>228</v>
      </c>
      <c r="E92">
        <v>9796213308.2724304</v>
      </c>
      <c r="F92" t="s">
        <v>219</v>
      </c>
      <c r="G92">
        <v>7387185362.6856899</v>
      </c>
      <c r="H92" t="s">
        <v>219</v>
      </c>
      <c r="I92">
        <v>7387185362.6856899</v>
      </c>
      <c r="J92">
        <v>2409027945.58674</v>
      </c>
      <c r="K92" t="s">
        <v>219</v>
      </c>
      <c r="L92">
        <v>6349584271.7187796</v>
      </c>
      <c r="M92" t="s">
        <v>219</v>
      </c>
      <c r="N92">
        <v>32998.554407765601</v>
      </c>
      <c r="O92">
        <v>457</v>
      </c>
      <c r="P92" t="s">
        <v>219</v>
      </c>
      <c r="Q92" t="s">
        <v>219</v>
      </c>
      <c r="R92" t="s">
        <v>219</v>
      </c>
      <c r="S92" t="s">
        <v>219</v>
      </c>
      <c r="T92" t="s">
        <v>219</v>
      </c>
      <c r="U92">
        <v>245951547.811746</v>
      </c>
      <c r="V92">
        <v>1601961.06673335</v>
      </c>
      <c r="W92" t="s">
        <v>219</v>
      </c>
      <c r="X92">
        <v>7250739095.6901703</v>
      </c>
      <c r="Y92" t="s">
        <v>219</v>
      </c>
      <c r="Z92">
        <v>1037601090.96691</v>
      </c>
      <c r="AA92">
        <v>0.85954040138100996</v>
      </c>
      <c r="AB92">
        <v>223863.908442827</v>
      </c>
    </row>
    <row r="93" spans="1:28" x14ac:dyDescent="0.25">
      <c r="A93">
        <v>2011</v>
      </c>
      <c r="B93" t="s">
        <v>226</v>
      </c>
      <c r="C93">
        <v>4</v>
      </c>
      <c r="D93" t="s">
        <v>228</v>
      </c>
      <c r="E93">
        <v>52814828944.245697</v>
      </c>
      <c r="F93" t="s">
        <v>219</v>
      </c>
      <c r="G93">
        <v>30273156006.663101</v>
      </c>
      <c r="H93" t="s">
        <v>219</v>
      </c>
      <c r="I93">
        <v>30273156006.663101</v>
      </c>
      <c r="J93">
        <v>22541672937.5826</v>
      </c>
      <c r="K93" t="s">
        <v>219</v>
      </c>
      <c r="L93">
        <v>27717309591.740601</v>
      </c>
      <c r="M93" t="s">
        <v>219</v>
      </c>
      <c r="N93">
        <v>79386.788761083706</v>
      </c>
      <c r="O93">
        <v>740</v>
      </c>
      <c r="P93" t="s">
        <v>219</v>
      </c>
      <c r="Q93" t="s">
        <v>219</v>
      </c>
      <c r="R93" t="s">
        <v>219</v>
      </c>
      <c r="S93" t="s">
        <v>219</v>
      </c>
      <c r="T93" t="s">
        <v>219</v>
      </c>
      <c r="U93">
        <v>979444005.54639697</v>
      </c>
      <c r="V93">
        <v>97359386.394326001</v>
      </c>
      <c r="W93" t="s">
        <v>219</v>
      </c>
      <c r="X93">
        <v>18849190917.343498</v>
      </c>
      <c r="Y93" t="s">
        <v>219</v>
      </c>
      <c r="Z93">
        <v>2555846414.9224401</v>
      </c>
      <c r="AA93">
        <v>0.91557383662410696</v>
      </c>
      <c r="AB93">
        <v>381337.45525052998</v>
      </c>
    </row>
    <row r="94" spans="1:28" x14ac:dyDescent="0.25">
      <c r="A94">
        <v>2011</v>
      </c>
      <c r="B94" t="s">
        <v>229</v>
      </c>
      <c r="C94">
        <v>4</v>
      </c>
      <c r="D94" t="s">
        <v>228</v>
      </c>
      <c r="E94">
        <v>19127334833.8797</v>
      </c>
      <c r="F94" t="s">
        <v>219</v>
      </c>
      <c r="G94">
        <v>8069809807.9713097</v>
      </c>
      <c r="H94" t="s">
        <v>219</v>
      </c>
      <c r="I94">
        <v>8069809807.9713097</v>
      </c>
      <c r="J94">
        <v>11057525025.9083</v>
      </c>
      <c r="K94" t="s">
        <v>219</v>
      </c>
      <c r="L94">
        <v>5379043920.7962799</v>
      </c>
      <c r="M94" t="s">
        <v>219</v>
      </c>
      <c r="N94">
        <v>21219.079648061201</v>
      </c>
      <c r="O94">
        <v>623</v>
      </c>
      <c r="P94" t="s">
        <v>219</v>
      </c>
      <c r="Q94" t="s">
        <v>219</v>
      </c>
      <c r="R94" t="s">
        <v>219</v>
      </c>
      <c r="S94" t="s">
        <v>219</v>
      </c>
      <c r="T94" t="s">
        <v>219</v>
      </c>
      <c r="U94">
        <v>628193595.51015604</v>
      </c>
      <c r="V94">
        <v>199615894.58768699</v>
      </c>
      <c r="W94" t="s">
        <v>219</v>
      </c>
      <c r="X94">
        <v>12617372678.923</v>
      </c>
      <c r="Y94" t="s">
        <v>219</v>
      </c>
      <c r="Z94">
        <v>2690765887.1750302</v>
      </c>
      <c r="AA94">
        <v>0.66656390284228195</v>
      </c>
      <c r="AB94">
        <v>380309.134129135</v>
      </c>
    </row>
    <row r="95" spans="1:28" x14ac:dyDescent="0.25">
      <c r="A95">
        <v>2012</v>
      </c>
      <c r="B95" t="s">
        <v>227</v>
      </c>
      <c r="C95">
        <v>4</v>
      </c>
      <c r="D95" t="s">
        <v>228</v>
      </c>
      <c r="E95">
        <v>2070794043.6159899</v>
      </c>
      <c r="F95" t="s">
        <v>219</v>
      </c>
      <c r="G95">
        <v>965726132.52718401</v>
      </c>
      <c r="H95" t="s">
        <v>219</v>
      </c>
      <c r="I95">
        <v>965726132.52718401</v>
      </c>
      <c r="J95">
        <v>1105067911.08881</v>
      </c>
      <c r="K95" t="s">
        <v>219</v>
      </c>
      <c r="L95">
        <v>352142647.75934601</v>
      </c>
      <c r="M95" t="s">
        <v>219</v>
      </c>
      <c r="N95">
        <v>1006.67903528926</v>
      </c>
      <c r="O95" t="s">
        <v>219</v>
      </c>
      <c r="P95">
        <v>300655513.741754</v>
      </c>
      <c r="Q95">
        <v>151570937.75678399</v>
      </c>
      <c r="R95">
        <v>25535653.619955</v>
      </c>
      <c r="S95">
        <v>123819113.632286</v>
      </c>
      <c r="T95">
        <v>149354767.25224099</v>
      </c>
      <c r="U95">
        <v>134955357.559672</v>
      </c>
      <c r="V95">
        <v>3971492.22313357</v>
      </c>
      <c r="W95">
        <v>1967310741.5849199</v>
      </c>
      <c r="X95">
        <v>1967310741.5849199</v>
      </c>
      <c r="Y95" t="s">
        <v>219</v>
      </c>
      <c r="Z95">
        <v>613583484.767838</v>
      </c>
      <c r="AA95">
        <v>0.36464028040520402</v>
      </c>
      <c r="AB95">
        <v>959318.80835254898</v>
      </c>
    </row>
    <row r="96" spans="1:28" x14ac:dyDescent="0.25">
      <c r="A96">
        <v>2012</v>
      </c>
      <c r="B96" t="s">
        <v>217</v>
      </c>
      <c r="C96">
        <v>4</v>
      </c>
      <c r="D96" t="s">
        <v>228</v>
      </c>
      <c r="E96">
        <v>366495477250.28802</v>
      </c>
      <c r="F96" t="s">
        <v>219</v>
      </c>
      <c r="G96">
        <v>99292174533.573807</v>
      </c>
      <c r="H96" t="s">
        <v>219</v>
      </c>
      <c r="I96">
        <v>82166571432.603302</v>
      </c>
      <c r="J96">
        <v>284328905817.68402</v>
      </c>
      <c r="K96">
        <v>43080137245.103699</v>
      </c>
      <c r="L96">
        <v>43787874689.425102</v>
      </c>
      <c r="M96">
        <v>6634526468.0947199</v>
      </c>
      <c r="N96">
        <v>110138.749533575</v>
      </c>
      <c r="O96" t="s">
        <v>219</v>
      </c>
      <c r="P96">
        <v>17144628448.139</v>
      </c>
      <c r="Q96">
        <v>11867620456.3477</v>
      </c>
      <c r="R96">
        <v>5974186587.4051304</v>
      </c>
      <c r="S96">
        <v>3152613515.84694</v>
      </c>
      <c r="T96">
        <v>9126800103.2520695</v>
      </c>
      <c r="U96">
        <v>9200641100.6563606</v>
      </c>
      <c r="V96">
        <v>16525006971.0191</v>
      </c>
      <c r="W96">
        <v>118070224347.511</v>
      </c>
      <c r="X96">
        <v>118070224347.511</v>
      </c>
      <c r="Y96">
        <v>167784888060.70901</v>
      </c>
      <c r="Z96">
        <v>55504299844.148697</v>
      </c>
      <c r="AA96">
        <v>0.44100025903470402</v>
      </c>
      <c r="AB96">
        <v>901518.99267119495</v>
      </c>
    </row>
    <row r="97" spans="1:28" x14ac:dyDescent="0.25">
      <c r="A97">
        <v>2012</v>
      </c>
      <c r="B97" t="s">
        <v>220</v>
      </c>
      <c r="C97">
        <v>4</v>
      </c>
      <c r="D97" t="s">
        <v>228</v>
      </c>
      <c r="E97">
        <v>47162071874.053101</v>
      </c>
      <c r="F97" t="s">
        <v>219</v>
      </c>
      <c r="G97">
        <v>11576279053.952299</v>
      </c>
      <c r="H97" t="s">
        <v>219</v>
      </c>
      <c r="I97">
        <v>11576279053.952299</v>
      </c>
      <c r="J97">
        <v>35585792820.1008</v>
      </c>
      <c r="K97" t="s">
        <v>219</v>
      </c>
      <c r="L97">
        <v>9907071211.9384899</v>
      </c>
      <c r="M97" t="s">
        <v>219</v>
      </c>
      <c r="N97">
        <v>15343.035964684001</v>
      </c>
      <c r="O97" t="s">
        <v>219</v>
      </c>
      <c r="P97">
        <v>8642302809.3919907</v>
      </c>
      <c r="Q97">
        <v>5823189092.5943699</v>
      </c>
      <c r="R97">
        <v>15001790</v>
      </c>
      <c r="S97">
        <v>126338964.445048</v>
      </c>
      <c r="T97">
        <v>141340754.445048</v>
      </c>
      <c r="U97">
        <v>6459393910.1197901</v>
      </c>
      <c r="V97">
        <v>123626401.589902</v>
      </c>
      <c r="W97">
        <v>133154943760.53999</v>
      </c>
      <c r="X97">
        <v>133154943760.53999</v>
      </c>
      <c r="Y97" t="s">
        <v>219</v>
      </c>
      <c r="Z97">
        <v>1669207842.0137999</v>
      </c>
      <c r="AA97">
        <v>0.85580791252229604</v>
      </c>
      <c r="AB97">
        <v>754497.28988435701</v>
      </c>
    </row>
    <row r="98" spans="1:28" x14ac:dyDescent="0.25">
      <c r="A98">
        <v>2012</v>
      </c>
      <c r="B98" t="s">
        <v>221</v>
      </c>
      <c r="C98">
        <v>4</v>
      </c>
      <c r="D98" t="s">
        <v>228</v>
      </c>
      <c r="E98">
        <v>165781836455.858</v>
      </c>
      <c r="F98" t="s">
        <v>219</v>
      </c>
      <c r="G98">
        <v>106511033980.101</v>
      </c>
      <c r="H98" t="s">
        <v>219</v>
      </c>
      <c r="I98">
        <v>97279601740.569702</v>
      </c>
      <c r="J98">
        <v>68502234715.288597</v>
      </c>
      <c r="K98" t="s">
        <v>219</v>
      </c>
      <c r="L98">
        <v>39444683778.098999</v>
      </c>
      <c r="M98" t="s">
        <v>219</v>
      </c>
      <c r="N98">
        <v>122466.61015814899</v>
      </c>
      <c r="O98" t="s">
        <v>219</v>
      </c>
      <c r="P98">
        <v>16208013394.869699</v>
      </c>
      <c r="Q98">
        <v>6548669473.48487</v>
      </c>
      <c r="R98">
        <v>5287096079.3539305</v>
      </c>
      <c r="S98">
        <v>1652897156.70386</v>
      </c>
      <c r="T98">
        <v>6939993236.0578003</v>
      </c>
      <c r="U98">
        <v>4080117897.1310501</v>
      </c>
      <c r="V98">
        <v>4561448348.7808104</v>
      </c>
      <c r="W98">
        <v>50911293893.541397</v>
      </c>
      <c r="X98">
        <v>50911293893.541397</v>
      </c>
      <c r="Y98" t="s">
        <v>219</v>
      </c>
      <c r="Z98">
        <v>67066350202.001801</v>
      </c>
      <c r="AA98">
        <v>0.37033424898934297</v>
      </c>
      <c r="AB98">
        <v>869714.88671529701</v>
      </c>
    </row>
    <row r="99" spans="1:28" x14ac:dyDescent="0.25">
      <c r="A99">
        <v>2012</v>
      </c>
      <c r="B99" t="s">
        <v>222</v>
      </c>
      <c r="C99">
        <v>4</v>
      </c>
      <c r="D99" t="s">
        <v>228</v>
      </c>
      <c r="E99">
        <v>143071085935.39001</v>
      </c>
      <c r="F99" t="s">
        <v>219</v>
      </c>
      <c r="G99">
        <v>62543395476.942299</v>
      </c>
      <c r="H99" t="s">
        <v>219</v>
      </c>
      <c r="I99">
        <v>62532597746.0783</v>
      </c>
      <c r="J99">
        <v>80538488189.312103</v>
      </c>
      <c r="K99" t="s">
        <v>219</v>
      </c>
      <c r="L99">
        <v>33818979819.7855</v>
      </c>
      <c r="M99" t="s">
        <v>219</v>
      </c>
      <c r="N99">
        <v>67775.477305109598</v>
      </c>
      <c r="O99" t="s">
        <v>219</v>
      </c>
      <c r="P99">
        <v>16856230160.9046</v>
      </c>
      <c r="Q99">
        <v>11814252425.664499</v>
      </c>
      <c r="R99">
        <v>4850414369.0190401</v>
      </c>
      <c r="S99">
        <v>3482294592.8931999</v>
      </c>
      <c r="T99">
        <v>8332708961.91224</v>
      </c>
      <c r="U99">
        <v>10924762866.573</v>
      </c>
      <c r="V99">
        <v>-1578780762.4342999</v>
      </c>
      <c r="W99">
        <v>97676324040.058395</v>
      </c>
      <c r="X99">
        <v>97676324040.058395</v>
      </c>
      <c r="Y99" t="s">
        <v>219</v>
      </c>
      <c r="Z99">
        <v>28724415657.156799</v>
      </c>
      <c r="AA99">
        <v>0.54072823456240804</v>
      </c>
      <c r="AB99">
        <v>922802.72989279497</v>
      </c>
    </row>
    <row r="100" spans="1:28" x14ac:dyDescent="0.25">
      <c r="A100">
        <v>2012</v>
      </c>
      <c r="B100" t="s">
        <v>223</v>
      </c>
      <c r="C100">
        <v>4</v>
      </c>
      <c r="D100" t="s">
        <v>228</v>
      </c>
      <c r="E100">
        <v>15859123695.9993</v>
      </c>
      <c r="F100" t="s">
        <v>219</v>
      </c>
      <c r="G100">
        <v>6719857635.4258604</v>
      </c>
      <c r="H100" t="s">
        <v>219</v>
      </c>
      <c r="I100">
        <v>6716952368.1639605</v>
      </c>
      <c r="J100">
        <v>9142171327.8353291</v>
      </c>
      <c r="K100" t="s">
        <v>219</v>
      </c>
      <c r="L100">
        <v>4351816270.3208103</v>
      </c>
      <c r="M100" t="s">
        <v>219</v>
      </c>
      <c r="N100">
        <v>21646.754350659001</v>
      </c>
      <c r="O100" t="s">
        <v>219</v>
      </c>
      <c r="P100">
        <v>1538388122.9402101</v>
      </c>
      <c r="Q100">
        <v>605110968.72136605</v>
      </c>
      <c r="R100">
        <v>3948239.31639056</v>
      </c>
      <c r="S100">
        <v>119256280.479304</v>
      </c>
      <c r="T100">
        <v>123204519.79569501</v>
      </c>
      <c r="U100">
        <v>695355083.87992096</v>
      </c>
      <c r="V100">
        <v>84870844.011996403</v>
      </c>
      <c r="W100">
        <v>13487030299.6085</v>
      </c>
      <c r="X100">
        <v>13487030299.6085</v>
      </c>
      <c r="Y100" t="s">
        <v>219</v>
      </c>
      <c r="Z100">
        <v>2368041365.1050501</v>
      </c>
      <c r="AA100">
        <v>0.64760542654636499</v>
      </c>
      <c r="AB100">
        <v>310432.57231868902</v>
      </c>
    </row>
    <row r="101" spans="1:28" x14ac:dyDescent="0.25">
      <c r="A101">
        <v>2012</v>
      </c>
      <c r="B101" t="s">
        <v>230</v>
      </c>
      <c r="C101">
        <v>4</v>
      </c>
      <c r="D101" t="s">
        <v>228</v>
      </c>
      <c r="E101">
        <v>23949255904.066898</v>
      </c>
      <c r="F101" t="s">
        <v>219</v>
      </c>
      <c r="G101">
        <v>14209091159.926001</v>
      </c>
      <c r="H101" t="s">
        <v>219</v>
      </c>
      <c r="I101">
        <v>14209091159.926001</v>
      </c>
      <c r="J101">
        <v>9740164744.1408405</v>
      </c>
      <c r="K101" t="s">
        <v>219</v>
      </c>
      <c r="L101">
        <v>6882689620.7142096</v>
      </c>
      <c r="M101" t="s">
        <v>219</v>
      </c>
      <c r="N101">
        <v>9841.9110454646507</v>
      </c>
      <c r="O101" t="s">
        <v>219</v>
      </c>
      <c r="P101">
        <v>416105780.322707</v>
      </c>
      <c r="Q101">
        <v>216837987.63976601</v>
      </c>
      <c r="R101">
        <v>921150.06103369896</v>
      </c>
      <c r="S101">
        <v>67860757.304047197</v>
      </c>
      <c r="T101">
        <v>68781907.365080893</v>
      </c>
      <c r="U101">
        <v>321469754.84375602</v>
      </c>
      <c r="V101">
        <v>12399871.3531556</v>
      </c>
      <c r="W101">
        <v>5758361751.6347799</v>
      </c>
      <c r="X101">
        <v>5758361751.6347799</v>
      </c>
      <c r="Y101" t="s">
        <v>219</v>
      </c>
      <c r="Z101">
        <v>7326401539.2118101</v>
      </c>
      <c r="AA101">
        <v>0.48438633711672602</v>
      </c>
      <c r="AB101">
        <v>1443732.9390894901</v>
      </c>
    </row>
    <row r="102" spans="1:28" x14ac:dyDescent="0.25">
      <c r="A102">
        <v>2012</v>
      </c>
      <c r="B102" t="s">
        <v>224</v>
      </c>
      <c r="C102">
        <v>4</v>
      </c>
      <c r="D102" t="s">
        <v>228</v>
      </c>
      <c r="E102">
        <v>50488644299.703102</v>
      </c>
      <c r="F102" t="s">
        <v>219</v>
      </c>
      <c r="G102">
        <v>26600421127.7272</v>
      </c>
      <c r="H102" t="s">
        <v>219</v>
      </c>
      <c r="I102">
        <v>26600044245.772499</v>
      </c>
      <c r="J102">
        <v>23888600053.930599</v>
      </c>
      <c r="K102" t="s">
        <v>219</v>
      </c>
      <c r="L102">
        <v>19261904119.449402</v>
      </c>
      <c r="M102" t="s">
        <v>219</v>
      </c>
      <c r="N102">
        <v>79318.368872498002</v>
      </c>
      <c r="O102" t="s">
        <v>219</v>
      </c>
      <c r="P102">
        <v>5100184630.97153</v>
      </c>
      <c r="Q102">
        <v>1773273374.00565</v>
      </c>
      <c r="R102">
        <v>242488120.242984</v>
      </c>
      <c r="S102">
        <v>1124357763.81458</v>
      </c>
      <c r="T102">
        <v>1366845884.05756</v>
      </c>
      <c r="U102">
        <v>1321647780.1945701</v>
      </c>
      <c r="V102">
        <v>-332183917.75254297</v>
      </c>
      <c r="W102">
        <v>26431928127.2869</v>
      </c>
      <c r="X102">
        <v>26431928127.2869</v>
      </c>
      <c r="Y102" t="s">
        <v>219</v>
      </c>
      <c r="Z102">
        <v>7338517008.27771</v>
      </c>
      <c r="AA102">
        <v>0.72412026963632004</v>
      </c>
      <c r="AB102">
        <v>335362.68465740298</v>
      </c>
    </row>
    <row r="103" spans="1:28" x14ac:dyDescent="0.25">
      <c r="A103">
        <v>2012</v>
      </c>
      <c r="B103" t="s">
        <v>225</v>
      </c>
      <c r="C103">
        <v>4</v>
      </c>
      <c r="D103" t="s">
        <v>228</v>
      </c>
      <c r="E103">
        <v>11268744814.368299</v>
      </c>
      <c r="F103" t="s">
        <v>219</v>
      </c>
      <c r="G103">
        <v>8643208734.1847095</v>
      </c>
      <c r="H103" t="s">
        <v>219</v>
      </c>
      <c r="I103">
        <v>8643208734.1847095</v>
      </c>
      <c r="J103">
        <v>2625536080.1835899</v>
      </c>
      <c r="K103" t="s">
        <v>219</v>
      </c>
      <c r="L103">
        <v>7576950185.6199598</v>
      </c>
      <c r="M103" t="s">
        <v>219</v>
      </c>
      <c r="N103">
        <v>34814.384323431601</v>
      </c>
      <c r="O103" t="s">
        <v>219</v>
      </c>
      <c r="P103">
        <v>587838087.3527</v>
      </c>
      <c r="Q103">
        <v>129763993.27109499</v>
      </c>
      <c r="R103">
        <v>13886211.0051248</v>
      </c>
      <c r="S103">
        <v>23013855.6942656</v>
      </c>
      <c r="T103">
        <v>36900066.699390396</v>
      </c>
      <c r="U103">
        <v>250514948.51244301</v>
      </c>
      <c r="V103">
        <v>2813192.1239825198</v>
      </c>
      <c r="W103">
        <v>6339353576.7218504</v>
      </c>
      <c r="X103">
        <v>6339353576.7218504</v>
      </c>
      <c r="Y103" t="s">
        <v>219</v>
      </c>
      <c r="Z103">
        <v>1066258548.56475</v>
      </c>
      <c r="AA103">
        <v>0.87663626075029399</v>
      </c>
      <c r="AB103">
        <v>248265.44838156001</v>
      </c>
    </row>
    <row r="104" spans="1:28" x14ac:dyDescent="0.25">
      <c r="A104">
        <v>2012</v>
      </c>
      <c r="B104" t="s">
        <v>226</v>
      </c>
      <c r="C104">
        <v>4</v>
      </c>
      <c r="D104" t="s">
        <v>228</v>
      </c>
      <c r="E104">
        <v>62224223292.981003</v>
      </c>
      <c r="F104" t="s">
        <v>219</v>
      </c>
      <c r="G104">
        <v>35381423418.710602</v>
      </c>
      <c r="H104" t="s">
        <v>219</v>
      </c>
      <c r="I104">
        <v>35381423418.710602</v>
      </c>
      <c r="J104">
        <v>26842799874.270401</v>
      </c>
      <c r="K104" t="s">
        <v>219</v>
      </c>
      <c r="L104">
        <v>32753414485.358101</v>
      </c>
      <c r="M104" t="s">
        <v>219</v>
      </c>
      <c r="N104">
        <v>81498.553825112904</v>
      </c>
      <c r="O104" t="s">
        <v>219</v>
      </c>
      <c r="P104">
        <v>2517220413.0552001</v>
      </c>
      <c r="Q104">
        <v>708365649.28918302</v>
      </c>
      <c r="R104">
        <v>0</v>
      </c>
      <c r="S104">
        <v>283235055.93725598</v>
      </c>
      <c r="T104">
        <v>283235055.93725598</v>
      </c>
      <c r="U104">
        <v>1139210051.9329</v>
      </c>
      <c r="V104">
        <v>34502715.725460902</v>
      </c>
      <c r="W104">
        <v>21954988305.3484</v>
      </c>
      <c r="X104">
        <v>21954988305.3484</v>
      </c>
      <c r="Y104" t="s">
        <v>219</v>
      </c>
      <c r="Z104">
        <v>2628008933.3524699</v>
      </c>
      <c r="AA104">
        <v>0.925723482002064</v>
      </c>
      <c r="AB104">
        <v>434135.59821730503</v>
      </c>
    </row>
    <row r="105" spans="1:28" x14ac:dyDescent="0.25">
      <c r="A105">
        <v>2012</v>
      </c>
      <c r="B105" t="s">
        <v>229</v>
      </c>
      <c r="C105">
        <v>4</v>
      </c>
      <c r="D105" t="s">
        <v>228</v>
      </c>
      <c r="E105">
        <v>20344825581.674198</v>
      </c>
      <c r="F105" t="s">
        <v>219</v>
      </c>
      <c r="G105">
        <v>8361367067.5903502</v>
      </c>
      <c r="H105" t="s">
        <v>219</v>
      </c>
      <c r="I105">
        <v>8361367067.5903502</v>
      </c>
      <c r="J105">
        <v>11983458514.0839</v>
      </c>
      <c r="K105" t="s">
        <v>219</v>
      </c>
      <c r="L105">
        <v>6242340781.2927303</v>
      </c>
      <c r="M105" t="s">
        <v>219</v>
      </c>
      <c r="N105">
        <v>20993.272797559501</v>
      </c>
      <c r="O105" t="s">
        <v>219</v>
      </c>
      <c r="P105">
        <v>1091009522.15292</v>
      </c>
      <c r="Q105">
        <v>276129446.05575401</v>
      </c>
      <c r="R105">
        <v>4984667.2842539996</v>
      </c>
      <c r="S105">
        <v>40498751.155626997</v>
      </c>
      <c r="T105">
        <v>45483418.439880997</v>
      </c>
      <c r="U105">
        <v>585737928.84793198</v>
      </c>
      <c r="V105">
        <v>41577264.044245802</v>
      </c>
      <c r="W105">
        <v>14535280606.695499</v>
      </c>
      <c r="X105">
        <v>14535280606.695499</v>
      </c>
      <c r="Y105" t="s">
        <v>219</v>
      </c>
      <c r="Z105">
        <v>2119026286.2976201</v>
      </c>
      <c r="AA105">
        <v>0.74656939838089198</v>
      </c>
      <c r="AB105">
        <v>398287.92529016099</v>
      </c>
    </row>
    <row r="106" spans="1:28" x14ac:dyDescent="0.25">
      <c r="A106">
        <v>2013</v>
      </c>
      <c r="B106" t="s">
        <v>227</v>
      </c>
      <c r="C106">
        <v>4</v>
      </c>
      <c r="D106" t="s">
        <v>228</v>
      </c>
      <c r="E106">
        <v>2043990079.88504</v>
      </c>
      <c r="F106" t="s">
        <v>219</v>
      </c>
      <c r="G106">
        <v>863567223.21545899</v>
      </c>
      <c r="H106" t="s">
        <v>219</v>
      </c>
      <c r="I106">
        <v>863567223.21545899</v>
      </c>
      <c r="J106">
        <v>1180422856.66958</v>
      </c>
      <c r="K106" t="s">
        <v>219</v>
      </c>
      <c r="L106">
        <v>418975808.35072899</v>
      </c>
      <c r="M106" t="s">
        <v>219</v>
      </c>
      <c r="N106">
        <v>1107.28968018305</v>
      </c>
      <c r="O106" t="s">
        <v>219</v>
      </c>
      <c r="P106">
        <v>433254714.01233298</v>
      </c>
      <c r="Q106">
        <v>150931660.94342899</v>
      </c>
      <c r="R106">
        <v>9742293.0991495401</v>
      </c>
      <c r="S106">
        <v>40952019.966906197</v>
      </c>
      <c r="T106">
        <v>50694313.0660557</v>
      </c>
      <c r="U106">
        <v>230656695.61308199</v>
      </c>
      <c r="V106">
        <v>997467.462015367</v>
      </c>
      <c r="W106">
        <v>2617915368.8343902</v>
      </c>
      <c r="X106">
        <v>2617915368.8343902</v>
      </c>
      <c r="Y106" t="s">
        <v>219</v>
      </c>
      <c r="Z106">
        <v>444591414.86473</v>
      </c>
      <c r="AA106">
        <v>0.48516872466591399</v>
      </c>
      <c r="AB106">
        <v>779892.77663339104</v>
      </c>
    </row>
    <row r="107" spans="1:28" x14ac:dyDescent="0.25">
      <c r="A107">
        <v>2013</v>
      </c>
      <c r="B107" t="s">
        <v>217</v>
      </c>
      <c r="C107">
        <v>4</v>
      </c>
      <c r="D107" t="s">
        <v>228</v>
      </c>
      <c r="E107">
        <v>393495580200.29303</v>
      </c>
      <c r="F107" t="s">
        <v>219</v>
      </c>
      <c r="G107">
        <v>111896035273.73399</v>
      </c>
      <c r="H107" t="s">
        <v>219</v>
      </c>
      <c r="I107">
        <v>92596557770.376694</v>
      </c>
      <c r="J107">
        <v>300899022429.91602</v>
      </c>
      <c r="K107">
        <v>45590760974.229698</v>
      </c>
      <c r="L107">
        <v>50186679222.508797</v>
      </c>
      <c r="M107">
        <v>7604042306.4407301</v>
      </c>
      <c r="N107">
        <v>109797.749814658</v>
      </c>
      <c r="O107" t="s">
        <v>219</v>
      </c>
      <c r="P107">
        <v>28790672811.2985</v>
      </c>
      <c r="Q107">
        <v>18295653366.858398</v>
      </c>
      <c r="R107">
        <v>2479792576.5747099</v>
      </c>
      <c r="S107">
        <v>16298811702.858601</v>
      </c>
      <c r="T107">
        <v>18778604279.4333</v>
      </c>
      <c r="U107">
        <v>9634456614.2834396</v>
      </c>
      <c r="V107">
        <v>20496674468.1147</v>
      </c>
      <c r="W107">
        <v>130303268121.312</v>
      </c>
      <c r="X107">
        <v>130303268121.312</v>
      </c>
      <c r="Y107">
        <v>183498071401.983</v>
      </c>
      <c r="Z107">
        <v>61709356051.225502</v>
      </c>
      <c r="AA107">
        <v>0.4485116840801</v>
      </c>
      <c r="AB107">
        <v>1019110.45957334</v>
      </c>
    </row>
    <row r="108" spans="1:28" x14ac:dyDescent="0.25">
      <c r="A108">
        <v>2013</v>
      </c>
      <c r="B108" t="s">
        <v>220</v>
      </c>
      <c r="C108">
        <v>4</v>
      </c>
      <c r="D108" t="s">
        <v>228</v>
      </c>
      <c r="E108">
        <v>54232725039.185997</v>
      </c>
      <c r="F108" t="s">
        <v>219</v>
      </c>
      <c r="G108">
        <v>27424184357.438</v>
      </c>
      <c r="H108" t="s">
        <v>219</v>
      </c>
      <c r="I108">
        <v>27424184357.438</v>
      </c>
      <c r="J108">
        <v>26808540681.748001</v>
      </c>
      <c r="K108" t="s">
        <v>219</v>
      </c>
      <c r="L108">
        <v>11156680423.1465</v>
      </c>
      <c r="M108" t="s">
        <v>219</v>
      </c>
      <c r="N108">
        <v>15449.199886856901</v>
      </c>
      <c r="O108" t="s">
        <v>219</v>
      </c>
      <c r="P108">
        <v>9792573764.6610603</v>
      </c>
      <c r="Q108">
        <v>6834477502.5180902</v>
      </c>
      <c r="R108">
        <v>0</v>
      </c>
      <c r="S108">
        <v>559404258.21427298</v>
      </c>
      <c r="T108">
        <v>559404258.21427298</v>
      </c>
      <c r="U108">
        <v>6620496644.84729</v>
      </c>
      <c r="V108">
        <v>144498009.202512</v>
      </c>
      <c r="W108">
        <v>136716695253.843</v>
      </c>
      <c r="X108">
        <v>136716695253.843</v>
      </c>
      <c r="Y108" t="s">
        <v>219</v>
      </c>
      <c r="Z108">
        <v>16267503934.2915</v>
      </c>
      <c r="AA108">
        <v>0.40681904255506401</v>
      </c>
      <c r="AB108">
        <v>1775120.0423504501</v>
      </c>
    </row>
    <row r="109" spans="1:28" x14ac:dyDescent="0.25">
      <c r="A109">
        <v>2013</v>
      </c>
      <c r="B109" t="s">
        <v>221</v>
      </c>
      <c r="C109">
        <v>4</v>
      </c>
      <c r="D109" t="s">
        <v>228</v>
      </c>
      <c r="E109">
        <v>193841746773.55899</v>
      </c>
      <c r="F109" t="s">
        <v>219</v>
      </c>
      <c r="G109">
        <v>120941899213.925</v>
      </c>
      <c r="H109" t="s">
        <v>219</v>
      </c>
      <c r="I109">
        <v>110459727500.879</v>
      </c>
      <c r="J109">
        <v>83382019272.680496</v>
      </c>
      <c r="K109" t="s">
        <v>219</v>
      </c>
      <c r="L109">
        <v>47556638703.632004</v>
      </c>
      <c r="M109" t="s">
        <v>219</v>
      </c>
      <c r="N109">
        <v>129905.88587619799</v>
      </c>
      <c r="O109" t="s">
        <v>219</v>
      </c>
      <c r="P109">
        <v>15431546310.898001</v>
      </c>
      <c r="Q109">
        <v>4613456637.7024202</v>
      </c>
      <c r="R109">
        <v>1559351428.88098</v>
      </c>
      <c r="S109">
        <v>1422493925.0824699</v>
      </c>
      <c r="T109">
        <v>2981845353.9634399</v>
      </c>
      <c r="U109">
        <v>4836468912.3252096</v>
      </c>
      <c r="V109">
        <v>5100378627.8520803</v>
      </c>
      <c r="W109">
        <v>58469063859.356598</v>
      </c>
      <c r="X109">
        <v>58469063859.356598</v>
      </c>
      <c r="Y109" t="s">
        <v>219</v>
      </c>
      <c r="Z109">
        <v>73385260510.293198</v>
      </c>
      <c r="AA109">
        <v>0.39321888454482301</v>
      </c>
      <c r="AB109">
        <v>930996.30088497</v>
      </c>
    </row>
    <row r="110" spans="1:28" x14ac:dyDescent="0.25">
      <c r="A110">
        <v>2013</v>
      </c>
      <c r="B110" t="s">
        <v>222</v>
      </c>
      <c r="C110">
        <v>4</v>
      </c>
      <c r="D110" t="s">
        <v>228</v>
      </c>
      <c r="E110">
        <v>166590645489.845</v>
      </c>
      <c r="F110" t="s">
        <v>219</v>
      </c>
      <c r="G110">
        <v>69150890377.321701</v>
      </c>
      <c r="H110" t="s">
        <v>219</v>
      </c>
      <c r="I110">
        <v>69138951903.281296</v>
      </c>
      <c r="J110">
        <v>97451693586.5634</v>
      </c>
      <c r="K110" t="s">
        <v>219</v>
      </c>
      <c r="L110">
        <v>40907826937.468803</v>
      </c>
      <c r="M110" t="s">
        <v>219</v>
      </c>
      <c r="N110">
        <v>74603.995194924893</v>
      </c>
      <c r="O110" t="s">
        <v>219</v>
      </c>
      <c r="P110">
        <v>30338349956.555099</v>
      </c>
      <c r="Q110">
        <v>18709796055.803799</v>
      </c>
      <c r="R110">
        <v>8966939022.3159294</v>
      </c>
      <c r="S110">
        <v>5956734285.5541801</v>
      </c>
      <c r="T110">
        <v>14923673307.8701</v>
      </c>
      <c r="U110">
        <v>10654294034.681999</v>
      </c>
      <c r="V110">
        <v>-931070699.93237495</v>
      </c>
      <c r="W110">
        <v>144916625635.68799</v>
      </c>
      <c r="X110">
        <v>144916625635.68799</v>
      </c>
      <c r="Y110" t="s">
        <v>219</v>
      </c>
      <c r="Z110">
        <v>28243063439.853001</v>
      </c>
      <c r="AA110">
        <v>0.59157339427236999</v>
      </c>
      <c r="AB110">
        <v>926905.99473452696</v>
      </c>
    </row>
    <row r="111" spans="1:28" x14ac:dyDescent="0.25">
      <c r="A111">
        <v>2013</v>
      </c>
      <c r="B111" t="s">
        <v>223</v>
      </c>
      <c r="C111">
        <v>4</v>
      </c>
      <c r="D111" t="s">
        <v>228</v>
      </c>
      <c r="E111">
        <v>17565205472.806801</v>
      </c>
      <c r="F111" t="s">
        <v>219</v>
      </c>
      <c r="G111">
        <v>7262263637.3670597</v>
      </c>
      <c r="H111" t="s">
        <v>219</v>
      </c>
      <c r="I111">
        <v>7259123865.9704599</v>
      </c>
      <c r="J111">
        <v>10306081606.8363</v>
      </c>
      <c r="K111" t="s">
        <v>219</v>
      </c>
      <c r="L111">
        <v>5097565016.3073397</v>
      </c>
      <c r="M111" t="s">
        <v>219</v>
      </c>
      <c r="N111">
        <v>23477.894413038699</v>
      </c>
      <c r="O111" t="s">
        <v>219</v>
      </c>
      <c r="P111">
        <v>1212981784.36202</v>
      </c>
      <c r="Q111">
        <v>384599751.69019902</v>
      </c>
      <c r="R111">
        <v>2078435.67361839</v>
      </c>
      <c r="S111">
        <v>48499393.439218096</v>
      </c>
      <c r="T111">
        <v>50577829.112836502</v>
      </c>
      <c r="U111">
        <v>574408535.84470606</v>
      </c>
      <c r="V111">
        <v>74832160.415906906</v>
      </c>
      <c r="W111">
        <v>12144318126.0958</v>
      </c>
      <c r="X111">
        <v>12144318126.0958</v>
      </c>
      <c r="Y111" t="s">
        <v>219</v>
      </c>
      <c r="Z111">
        <v>2164698621.05972</v>
      </c>
      <c r="AA111">
        <v>0.70192508436053802</v>
      </c>
      <c r="AB111">
        <v>309323.46443017799</v>
      </c>
    </row>
    <row r="112" spans="1:28" x14ac:dyDescent="0.25">
      <c r="A112">
        <v>2013</v>
      </c>
      <c r="B112" t="s">
        <v>230</v>
      </c>
      <c r="C112">
        <v>4</v>
      </c>
      <c r="D112" t="s">
        <v>228</v>
      </c>
      <c r="E112">
        <v>24251507161.787998</v>
      </c>
      <c r="F112" t="s">
        <v>219</v>
      </c>
      <c r="G112">
        <v>14099675669.1605</v>
      </c>
      <c r="H112" t="s">
        <v>219</v>
      </c>
      <c r="I112">
        <v>14099675669.1605</v>
      </c>
      <c r="J112">
        <v>10151831492.627501</v>
      </c>
      <c r="K112" t="s">
        <v>219</v>
      </c>
      <c r="L112">
        <v>6198366275.3308296</v>
      </c>
      <c r="M112" t="s">
        <v>219</v>
      </c>
      <c r="N112">
        <v>8995.6918957207909</v>
      </c>
      <c r="O112" t="s">
        <v>219</v>
      </c>
      <c r="P112">
        <v>486641459.45250797</v>
      </c>
      <c r="Q112">
        <v>270288806.99750298</v>
      </c>
      <c r="R112">
        <v>11527993.257836901</v>
      </c>
      <c r="S112">
        <v>41246615.492943399</v>
      </c>
      <c r="T112">
        <v>52774608.750780299</v>
      </c>
      <c r="U112">
        <v>321559961.23769897</v>
      </c>
      <c r="V112">
        <v>154388391.855995</v>
      </c>
      <c r="W112">
        <v>2774582225.77104</v>
      </c>
      <c r="X112">
        <v>2774582225.77104</v>
      </c>
      <c r="Y112" t="s">
        <v>219</v>
      </c>
      <c r="Z112">
        <v>7901309393.8296604</v>
      </c>
      <c r="AA112">
        <v>0.43961055706325303</v>
      </c>
      <c r="AB112">
        <v>1567380.9010586101</v>
      </c>
    </row>
    <row r="113" spans="1:28" x14ac:dyDescent="0.25">
      <c r="A113">
        <v>2013</v>
      </c>
      <c r="B113" t="s">
        <v>224</v>
      </c>
      <c r="C113">
        <v>4</v>
      </c>
      <c r="D113" t="s">
        <v>228</v>
      </c>
      <c r="E113">
        <v>63930007164.1922</v>
      </c>
      <c r="F113" t="s">
        <v>219</v>
      </c>
      <c r="G113">
        <v>31520119987.452</v>
      </c>
      <c r="H113" t="s">
        <v>219</v>
      </c>
      <c r="I113">
        <v>31519673401.874401</v>
      </c>
      <c r="J113">
        <v>32410333762.317699</v>
      </c>
      <c r="K113" t="s">
        <v>219</v>
      </c>
      <c r="L113">
        <v>22855256399.2435</v>
      </c>
      <c r="M113" t="s">
        <v>219</v>
      </c>
      <c r="N113">
        <v>81735.942895700893</v>
      </c>
      <c r="O113" t="s">
        <v>219</v>
      </c>
      <c r="P113">
        <v>3447840611.6909299</v>
      </c>
      <c r="Q113">
        <v>1759941642.4319</v>
      </c>
      <c r="R113">
        <v>892677929.95627606</v>
      </c>
      <c r="S113">
        <v>863294874.76463199</v>
      </c>
      <c r="T113">
        <v>1755972804.7209101</v>
      </c>
      <c r="U113">
        <v>1679136955.66995</v>
      </c>
      <c r="V113">
        <v>-387926016.49606597</v>
      </c>
      <c r="W113">
        <v>13698730388.6915</v>
      </c>
      <c r="X113">
        <v>13698730388.6915</v>
      </c>
      <c r="Y113" t="s">
        <v>219</v>
      </c>
      <c r="Z113">
        <v>8664863588.2084904</v>
      </c>
      <c r="AA113">
        <v>0.72510055191230505</v>
      </c>
      <c r="AB113">
        <v>385633.527561714</v>
      </c>
    </row>
    <row r="114" spans="1:28" x14ac:dyDescent="0.25">
      <c r="A114">
        <v>2013</v>
      </c>
      <c r="B114" t="s">
        <v>225</v>
      </c>
      <c r="C114">
        <v>4</v>
      </c>
      <c r="D114" t="s">
        <v>228</v>
      </c>
      <c r="E114">
        <v>14553760092.485399</v>
      </c>
      <c r="F114" t="s">
        <v>219</v>
      </c>
      <c r="G114">
        <v>11200573110.5762</v>
      </c>
      <c r="H114" t="s">
        <v>219</v>
      </c>
      <c r="I114">
        <v>11200573110.5762</v>
      </c>
      <c r="J114">
        <v>3353186981.9091902</v>
      </c>
      <c r="K114" t="s">
        <v>219</v>
      </c>
      <c r="L114">
        <v>9482672821.2576294</v>
      </c>
      <c r="M114" t="s">
        <v>219</v>
      </c>
      <c r="N114">
        <v>40057.391016657501</v>
      </c>
      <c r="O114" t="s">
        <v>219</v>
      </c>
      <c r="P114">
        <v>558251499.61463106</v>
      </c>
      <c r="Q114">
        <v>139873332.28767899</v>
      </c>
      <c r="R114">
        <v>10636154</v>
      </c>
      <c r="S114">
        <v>25179739.9561437</v>
      </c>
      <c r="T114">
        <v>35815893.9561437</v>
      </c>
      <c r="U114">
        <v>304143660.41281199</v>
      </c>
      <c r="V114">
        <v>2355885.5700686602</v>
      </c>
      <c r="W114">
        <v>7329576581.2579803</v>
      </c>
      <c r="X114">
        <v>7329576581.2579803</v>
      </c>
      <c r="Y114" t="s">
        <v>219</v>
      </c>
      <c r="Z114">
        <v>1717900289.3185999</v>
      </c>
      <c r="AA114">
        <v>0.84662389394195703</v>
      </c>
      <c r="AB114">
        <v>279613.145696847</v>
      </c>
    </row>
    <row r="115" spans="1:28" x14ac:dyDescent="0.25">
      <c r="A115">
        <v>2013</v>
      </c>
      <c r="B115" t="s">
        <v>226</v>
      </c>
      <c r="C115">
        <v>4</v>
      </c>
      <c r="D115" t="s">
        <v>228</v>
      </c>
      <c r="E115">
        <v>73795253270.450302</v>
      </c>
      <c r="F115" t="s">
        <v>219</v>
      </c>
      <c r="G115">
        <v>41392542417.035698</v>
      </c>
      <c r="H115" t="s">
        <v>219</v>
      </c>
      <c r="I115">
        <v>41392542417.035698</v>
      </c>
      <c r="J115">
        <v>32402710853.4146</v>
      </c>
      <c r="K115" t="s">
        <v>219</v>
      </c>
      <c r="L115">
        <v>38369574505.087502</v>
      </c>
      <c r="M115" t="s">
        <v>219</v>
      </c>
      <c r="N115">
        <v>83566.593452780406</v>
      </c>
      <c r="O115" t="s">
        <v>219</v>
      </c>
      <c r="P115">
        <v>3459232323.6423502</v>
      </c>
      <c r="Q115">
        <v>1024758885.66609</v>
      </c>
      <c r="R115">
        <v>0</v>
      </c>
      <c r="S115">
        <v>260772463.52282399</v>
      </c>
      <c r="T115">
        <v>260772463.52282399</v>
      </c>
      <c r="U115">
        <v>1352059629.4340701</v>
      </c>
      <c r="V115">
        <v>5715480.8535743495</v>
      </c>
      <c r="W115">
        <v>25443434724.463299</v>
      </c>
      <c r="X115">
        <v>25443434724.463299</v>
      </c>
      <c r="Y115" t="s">
        <v>219</v>
      </c>
      <c r="Z115">
        <v>3022967911.9481702</v>
      </c>
      <c r="AA115">
        <v>0.92696829584683804</v>
      </c>
      <c r="AB115">
        <v>495324.03687634598</v>
      </c>
    </row>
    <row r="116" spans="1:28" x14ac:dyDescent="0.25">
      <c r="A116">
        <v>2013</v>
      </c>
      <c r="B116" t="s">
        <v>229</v>
      </c>
      <c r="C116">
        <v>4</v>
      </c>
      <c r="D116" t="s">
        <v>228</v>
      </c>
      <c r="E116">
        <v>25330151395.590099</v>
      </c>
      <c r="F116" t="s">
        <v>219</v>
      </c>
      <c r="G116">
        <v>10686781272.2666</v>
      </c>
      <c r="H116" t="s">
        <v>219</v>
      </c>
      <c r="I116">
        <v>10686781272.2666</v>
      </c>
      <c r="J116">
        <v>14643370123.3234</v>
      </c>
      <c r="K116" t="s">
        <v>219</v>
      </c>
      <c r="L116">
        <v>7487086853.33496</v>
      </c>
      <c r="M116" t="s">
        <v>219</v>
      </c>
      <c r="N116">
        <v>23601.5738369182</v>
      </c>
      <c r="O116" t="s">
        <v>219</v>
      </c>
      <c r="P116">
        <v>1680914697.2527599</v>
      </c>
      <c r="Q116">
        <v>818957569.359308</v>
      </c>
      <c r="R116">
        <v>132941000.076327</v>
      </c>
      <c r="S116">
        <v>59483650.452955902</v>
      </c>
      <c r="T116">
        <v>192424650.52928299</v>
      </c>
      <c r="U116">
        <v>793670652.60135996</v>
      </c>
      <c r="V116">
        <v>32515363.096540201</v>
      </c>
      <c r="W116">
        <v>17462542094.3881</v>
      </c>
      <c r="X116">
        <v>17462542094.3881</v>
      </c>
      <c r="Y116" t="s">
        <v>219</v>
      </c>
      <c r="Z116">
        <v>3199694418.9316802</v>
      </c>
      <c r="AA116">
        <v>0.70059325278461204</v>
      </c>
      <c r="AB116">
        <v>452799.51862998598</v>
      </c>
    </row>
    <row r="117" spans="1:28" x14ac:dyDescent="0.25">
      <c r="A117">
        <v>2014</v>
      </c>
      <c r="B117" t="s">
        <v>227</v>
      </c>
      <c r="C117">
        <v>4</v>
      </c>
      <c r="D117" t="s">
        <v>228</v>
      </c>
      <c r="E117">
        <v>2649508648.8695302</v>
      </c>
      <c r="F117" t="s">
        <v>219</v>
      </c>
      <c r="G117">
        <v>1156537265.0798199</v>
      </c>
      <c r="H117" t="s">
        <v>219</v>
      </c>
      <c r="I117">
        <v>1156537265.0798199</v>
      </c>
      <c r="J117">
        <v>1492971383.78971</v>
      </c>
      <c r="K117" t="s">
        <v>219</v>
      </c>
      <c r="L117">
        <v>515645948.60141402</v>
      </c>
      <c r="M117" t="s">
        <v>219</v>
      </c>
      <c r="N117">
        <v>1116.8048586499301</v>
      </c>
      <c r="O117" t="s">
        <v>219</v>
      </c>
      <c r="P117">
        <v>258656796.44642299</v>
      </c>
      <c r="Q117">
        <v>177512970.18745899</v>
      </c>
      <c r="R117">
        <v>783989.75923988898</v>
      </c>
      <c r="S117">
        <v>103774432.044333</v>
      </c>
      <c r="T117">
        <v>104558421.803573</v>
      </c>
      <c r="U117">
        <v>264894073.74489099</v>
      </c>
      <c r="V117">
        <v>-2038462.05032288</v>
      </c>
      <c r="W117">
        <v>2551852111.5853601</v>
      </c>
      <c r="X117">
        <v>2551852111.5853601</v>
      </c>
      <c r="Y117" t="s">
        <v>219</v>
      </c>
      <c r="Z117">
        <v>640891316.47840202</v>
      </c>
      <c r="AA117">
        <v>0.44585329342226399</v>
      </c>
      <c r="AB117">
        <v>1035576.8567106</v>
      </c>
    </row>
    <row r="118" spans="1:28" x14ac:dyDescent="0.25">
      <c r="A118">
        <v>2014</v>
      </c>
      <c r="B118" t="s">
        <v>217</v>
      </c>
      <c r="C118">
        <v>4</v>
      </c>
      <c r="D118" t="s">
        <v>228</v>
      </c>
      <c r="E118">
        <v>453640919223.41602</v>
      </c>
      <c r="F118" t="s">
        <v>219</v>
      </c>
      <c r="G118">
        <v>130780131947.159</v>
      </c>
      <c r="H118" t="s">
        <v>219</v>
      </c>
      <c r="I118">
        <v>108223584628.696</v>
      </c>
      <c r="J118">
        <v>345417334594.71899</v>
      </c>
      <c r="K118">
        <v>52335959787.078697</v>
      </c>
      <c r="L118">
        <v>56837646365.692398</v>
      </c>
      <c r="M118">
        <v>8611764600.8624802</v>
      </c>
      <c r="N118">
        <v>107700.426949954</v>
      </c>
      <c r="O118" t="s">
        <v>219</v>
      </c>
      <c r="P118">
        <v>78176629453.823105</v>
      </c>
      <c r="Q118">
        <v>52611954747.577003</v>
      </c>
      <c r="R118">
        <v>2217119087.20402</v>
      </c>
      <c r="S118">
        <v>48143911013.675201</v>
      </c>
      <c r="T118">
        <v>50361030100.879204</v>
      </c>
      <c r="U118">
        <v>12235321829.4487</v>
      </c>
      <c r="V118">
        <v>22082788548.337002</v>
      </c>
      <c r="W118">
        <v>198429417562.73401</v>
      </c>
      <c r="X118">
        <v>198429417562.73401</v>
      </c>
      <c r="Y118">
        <v>259377141950.67499</v>
      </c>
      <c r="Z118">
        <v>73942485581.466507</v>
      </c>
      <c r="AA118">
        <v>0.43460459566333298</v>
      </c>
      <c r="AB118">
        <v>1214295.39000741</v>
      </c>
    </row>
    <row r="119" spans="1:28" x14ac:dyDescent="0.25">
      <c r="A119">
        <v>2014</v>
      </c>
      <c r="B119" t="s">
        <v>220</v>
      </c>
      <c r="C119">
        <v>4</v>
      </c>
      <c r="D119" t="s">
        <v>228</v>
      </c>
      <c r="E119">
        <v>60440307639.459801</v>
      </c>
      <c r="F119" t="s">
        <v>219</v>
      </c>
      <c r="G119">
        <v>34218093521.142101</v>
      </c>
      <c r="H119" t="s">
        <v>219</v>
      </c>
      <c r="I119">
        <v>34218093521.142101</v>
      </c>
      <c r="J119">
        <v>26222214118.317799</v>
      </c>
      <c r="K119" t="s">
        <v>219</v>
      </c>
      <c r="L119">
        <v>12417609182.1087</v>
      </c>
      <c r="M119" t="s">
        <v>219</v>
      </c>
      <c r="N119">
        <v>15772.3855100279</v>
      </c>
      <c r="O119" t="s">
        <v>219</v>
      </c>
      <c r="P119">
        <v>20692528407.244999</v>
      </c>
      <c r="Q119">
        <v>15680718167.001699</v>
      </c>
      <c r="R119">
        <v>149522279.82434899</v>
      </c>
      <c r="S119">
        <v>1039568966.61595</v>
      </c>
      <c r="T119">
        <v>1189091246.4403</v>
      </c>
      <c r="U119">
        <v>7628855334.9963903</v>
      </c>
      <c r="V119">
        <v>241148849.839481</v>
      </c>
      <c r="W119">
        <v>154498377220.30801</v>
      </c>
      <c r="X119">
        <v>154498377220.30801</v>
      </c>
      <c r="Y119" t="s">
        <v>219</v>
      </c>
      <c r="Z119">
        <v>21800484339.033298</v>
      </c>
      <c r="AA119">
        <v>0.362895997535232</v>
      </c>
      <c r="AB119">
        <v>2169493.8599735899</v>
      </c>
    </row>
    <row r="120" spans="1:28" x14ac:dyDescent="0.25">
      <c r="A120">
        <v>2014</v>
      </c>
      <c r="B120" t="s">
        <v>221</v>
      </c>
      <c r="C120">
        <v>4</v>
      </c>
      <c r="D120" t="s">
        <v>228</v>
      </c>
      <c r="E120">
        <v>223788449728.297</v>
      </c>
      <c r="F120" t="s">
        <v>219</v>
      </c>
      <c r="G120">
        <v>141598170945.978</v>
      </c>
      <c r="H120" t="s">
        <v>219</v>
      </c>
      <c r="I120">
        <v>129325696710.36501</v>
      </c>
      <c r="J120">
        <v>94462753017.932007</v>
      </c>
      <c r="K120" t="s">
        <v>219</v>
      </c>
      <c r="L120">
        <v>56309853657.2369</v>
      </c>
      <c r="M120" t="s">
        <v>219</v>
      </c>
      <c r="N120">
        <v>133998.565319341</v>
      </c>
      <c r="O120" t="s">
        <v>219</v>
      </c>
      <c r="P120">
        <v>15707268357.636101</v>
      </c>
      <c r="Q120">
        <v>6046507954.1891804</v>
      </c>
      <c r="R120">
        <v>2097675636.1175201</v>
      </c>
      <c r="S120">
        <v>1684098325.24931</v>
      </c>
      <c r="T120">
        <v>3781773961.3668199</v>
      </c>
      <c r="U120">
        <v>6079000311.2630196</v>
      </c>
      <c r="V120">
        <v>5773091661.1320105</v>
      </c>
      <c r="W120">
        <v>69005027841.639297</v>
      </c>
      <c r="X120">
        <v>69005027841.639297</v>
      </c>
      <c r="Y120" t="s">
        <v>219</v>
      </c>
      <c r="Z120">
        <v>85288317288.741104</v>
      </c>
      <c r="AA120">
        <v>0.397673594800317</v>
      </c>
      <c r="AB120">
        <v>1056714.0820390501</v>
      </c>
    </row>
    <row r="121" spans="1:28" x14ac:dyDescent="0.25">
      <c r="A121">
        <v>2014</v>
      </c>
      <c r="B121" t="s">
        <v>222</v>
      </c>
      <c r="C121">
        <v>4</v>
      </c>
      <c r="D121" t="s">
        <v>228</v>
      </c>
      <c r="E121">
        <v>198881059460.017</v>
      </c>
      <c r="F121" t="s">
        <v>219</v>
      </c>
      <c r="G121">
        <v>81883734549.880997</v>
      </c>
      <c r="H121" t="s">
        <v>219</v>
      </c>
      <c r="I121">
        <v>81869597828.951904</v>
      </c>
      <c r="J121">
        <v>117011461631.065</v>
      </c>
      <c r="K121" t="s">
        <v>219</v>
      </c>
      <c r="L121">
        <v>48451679069.989403</v>
      </c>
      <c r="M121" t="s">
        <v>219</v>
      </c>
      <c r="N121">
        <v>79518.973227591501</v>
      </c>
      <c r="O121" t="s">
        <v>219</v>
      </c>
      <c r="P121">
        <v>33656910135.304298</v>
      </c>
      <c r="Q121">
        <v>26800821541.349899</v>
      </c>
      <c r="R121">
        <v>11771004652.443899</v>
      </c>
      <c r="S121">
        <v>7837636057.6889696</v>
      </c>
      <c r="T121">
        <v>19608640710.132801</v>
      </c>
      <c r="U121">
        <v>12469250862.7201</v>
      </c>
      <c r="V121">
        <v>-1124160007.4252501</v>
      </c>
      <c r="W121">
        <v>166481668674.29501</v>
      </c>
      <c r="X121">
        <v>166481668674.29501</v>
      </c>
      <c r="Y121" t="s">
        <v>219</v>
      </c>
      <c r="Z121">
        <v>33432055479.891602</v>
      </c>
      <c r="AA121">
        <v>0.591713108059014</v>
      </c>
      <c r="AB121">
        <v>1029738.32817888</v>
      </c>
    </row>
    <row r="122" spans="1:28" x14ac:dyDescent="0.25">
      <c r="A122">
        <v>2014</v>
      </c>
      <c r="B122" t="s">
        <v>223</v>
      </c>
      <c r="C122">
        <v>4</v>
      </c>
      <c r="D122" t="s">
        <v>228</v>
      </c>
      <c r="E122">
        <v>19959337766.5368</v>
      </c>
      <c r="F122" t="s">
        <v>219</v>
      </c>
      <c r="G122">
        <v>8160447503.6212196</v>
      </c>
      <c r="H122" t="s">
        <v>219</v>
      </c>
      <c r="I122">
        <v>8156919410.8756599</v>
      </c>
      <c r="J122">
        <v>11802418355.6611</v>
      </c>
      <c r="K122" t="s">
        <v>219</v>
      </c>
      <c r="L122">
        <v>5958119151.5205898</v>
      </c>
      <c r="M122" t="s">
        <v>219</v>
      </c>
      <c r="N122">
        <v>24672.1867012927</v>
      </c>
      <c r="O122" t="s">
        <v>219</v>
      </c>
      <c r="P122">
        <v>469669407.46863002</v>
      </c>
      <c r="Q122">
        <v>228995817.98598599</v>
      </c>
      <c r="R122">
        <v>1536304.45126556</v>
      </c>
      <c r="S122">
        <v>41535183.310170397</v>
      </c>
      <c r="T122">
        <v>43071487.761435904</v>
      </c>
      <c r="U122">
        <v>586193230.23520899</v>
      </c>
      <c r="V122">
        <v>63084179.662269302</v>
      </c>
      <c r="W122">
        <v>11667863272.5457</v>
      </c>
      <c r="X122">
        <v>11667863272.5457</v>
      </c>
      <c r="Y122" t="s">
        <v>219</v>
      </c>
      <c r="Z122">
        <v>2202328352.1006298</v>
      </c>
      <c r="AA122">
        <v>0.73012162003084502</v>
      </c>
      <c r="AB122">
        <v>330754.93479439599</v>
      </c>
    </row>
    <row r="123" spans="1:28" x14ac:dyDescent="0.25">
      <c r="A123">
        <v>2014</v>
      </c>
      <c r="B123" t="s">
        <v>230</v>
      </c>
      <c r="C123">
        <v>4</v>
      </c>
      <c r="D123" t="s">
        <v>228</v>
      </c>
      <c r="E123">
        <v>31982816544.741699</v>
      </c>
      <c r="F123" t="s">
        <v>219</v>
      </c>
      <c r="G123">
        <v>17569615707.3419</v>
      </c>
      <c r="H123" t="s">
        <v>219</v>
      </c>
      <c r="I123">
        <v>17569615707.3419</v>
      </c>
      <c r="J123">
        <v>14413200837.399799</v>
      </c>
      <c r="K123" t="s">
        <v>219</v>
      </c>
      <c r="L123">
        <v>8024572493.3453302</v>
      </c>
      <c r="M123" t="s">
        <v>219</v>
      </c>
      <c r="N123">
        <v>10324.7429353487</v>
      </c>
      <c r="O123" t="s">
        <v>219</v>
      </c>
      <c r="P123">
        <v>581411007.74149597</v>
      </c>
      <c r="Q123">
        <v>235029279.92259401</v>
      </c>
      <c r="R123">
        <v>12313013.841383699</v>
      </c>
      <c r="S123">
        <v>53043706.279850997</v>
      </c>
      <c r="T123">
        <v>65356720.1212347</v>
      </c>
      <c r="U123">
        <v>378592494.57348001</v>
      </c>
      <c r="V123">
        <v>63072892.608821601</v>
      </c>
      <c r="W123">
        <v>3181547409.0219102</v>
      </c>
      <c r="X123">
        <v>3181547409.0219102</v>
      </c>
      <c r="Y123" t="s">
        <v>219</v>
      </c>
      <c r="Z123">
        <v>9545043213.9965305</v>
      </c>
      <c r="AA123">
        <v>0.45673010878616299</v>
      </c>
      <c r="AB123">
        <v>1701700.0633680699</v>
      </c>
    </row>
    <row r="124" spans="1:28" x14ac:dyDescent="0.25">
      <c r="A124">
        <v>2014</v>
      </c>
      <c r="B124" t="s">
        <v>224</v>
      </c>
      <c r="C124">
        <v>4</v>
      </c>
      <c r="D124" t="s">
        <v>228</v>
      </c>
      <c r="E124">
        <v>75593276006.630798</v>
      </c>
      <c r="F124" t="s">
        <v>219</v>
      </c>
      <c r="G124">
        <v>36502593280.9487</v>
      </c>
      <c r="H124" t="s">
        <v>219</v>
      </c>
      <c r="I124">
        <v>36502076102.343201</v>
      </c>
      <c r="J124">
        <v>39091199904.287598</v>
      </c>
      <c r="K124" t="s">
        <v>219</v>
      </c>
      <c r="L124">
        <v>27360957939.238899</v>
      </c>
      <c r="M124" t="s">
        <v>219</v>
      </c>
      <c r="N124">
        <v>88280.116811096203</v>
      </c>
      <c r="O124" t="s">
        <v>219</v>
      </c>
      <c r="P124">
        <v>3350964231.87533</v>
      </c>
      <c r="Q124">
        <v>2224036040.9980798</v>
      </c>
      <c r="R124">
        <v>227862964.34737599</v>
      </c>
      <c r="S124">
        <v>1261709088.81707</v>
      </c>
      <c r="T124">
        <v>1489572053.1644499</v>
      </c>
      <c r="U124">
        <v>1889692909.1861899</v>
      </c>
      <c r="V124">
        <v>-405171205.935085</v>
      </c>
      <c r="W124">
        <v>14715645697.1122</v>
      </c>
      <c r="X124">
        <v>14715645697.1122</v>
      </c>
      <c r="Y124" t="s">
        <v>219</v>
      </c>
      <c r="Z124">
        <v>9141635341.7098007</v>
      </c>
      <c r="AA124">
        <v>0.74956203052891102</v>
      </c>
      <c r="AB124">
        <v>413486.01020836702</v>
      </c>
    </row>
    <row r="125" spans="1:28" x14ac:dyDescent="0.25">
      <c r="A125">
        <v>2014</v>
      </c>
      <c r="B125" t="s">
        <v>225</v>
      </c>
      <c r="C125">
        <v>4</v>
      </c>
      <c r="D125" t="s">
        <v>228</v>
      </c>
      <c r="E125">
        <v>18145160969.3265</v>
      </c>
      <c r="F125" t="s">
        <v>219</v>
      </c>
      <c r="G125">
        <v>13015052389.191601</v>
      </c>
      <c r="H125" t="s">
        <v>219</v>
      </c>
      <c r="I125">
        <v>13015052389.191601</v>
      </c>
      <c r="J125">
        <v>5130108580.1348696</v>
      </c>
      <c r="K125" t="s">
        <v>219</v>
      </c>
      <c r="L125">
        <v>11416645625.028299</v>
      </c>
      <c r="M125" t="s">
        <v>219</v>
      </c>
      <c r="N125">
        <v>42075.718639875202</v>
      </c>
      <c r="O125" t="s">
        <v>219</v>
      </c>
      <c r="P125">
        <v>1660014143.06569</v>
      </c>
      <c r="Q125">
        <v>241784044.792564</v>
      </c>
      <c r="R125">
        <v>9066431</v>
      </c>
      <c r="S125">
        <v>115607247.999091</v>
      </c>
      <c r="T125">
        <v>124673678.999091</v>
      </c>
      <c r="U125">
        <v>348451277.56716102</v>
      </c>
      <c r="V125">
        <v>2640444.6271684198</v>
      </c>
      <c r="W125">
        <v>9637017710.0405407</v>
      </c>
      <c r="X125">
        <v>9637017710.0405407</v>
      </c>
      <c r="Y125" t="s">
        <v>219</v>
      </c>
      <c r="Z125">
        <v>1598406764.1633301</v>
      </c>
      <c r="AA125">
        <v>0.87718783479575302</v>
      </c>
      <c r="AB125">
        <v>309324.54180015501</v>
      </c>
    </row>
    <row r="126" spans="1:28" x14ac:dyDescent="0.25">
      <c r="A126">
        <v>2014</v>
      </c>
      <c r="B126" t="s">
        <v>226</v>
      </c>
      <c r="C126">
        <v>4</v>
      </c>
      <c r="D126" t="s">
        <v>228</v>
      </c>
      <c r="E126">
        <v>85039499633.047394</v>
      </c>
      <c r="F126" t="s">
        <v>219</v>
      </c>
      <c r="G126">
        <v>47875516581.933899</v>
      </c>
      <c r="H126" t="s">
        <v>219</v>
      </c>
      <c r="I126">
        <v>47875516581.933899</v>
      </c>
      <c r="J126">
        <v>37163983051.113503</v>
      </c>
      <c r="K126" t="s">
        <v>219</v>
      </c>
      <c r="L126">
        <v>44683724646.305397</v>
      </c>
      <c r="M126" t="s">
        <v>219</v>
      </c>
      <c r="N126">
        <v>88178.334111497999</v>
      </c>
      <c r="O126" t="s">
        <v>219</v>
      </c>
      <c r="P126">
        <v>2965754005.7841401</v>
      </c>
      <c r="Q126">
        <v>954412093.22418296</v>
      </c>
      <c r="R126">
        <v>0</v>
      </c>
      <c r="S126">
        <v>207020838.63447699</v>
      </c>
      <c r="T126">
        <v>207020838.63447699</v>
      </c>
      <c r="U126">
        <v>1465175347.1934299</v>
      </c>
      <c r="V126">
        <v>-822310.508889321</v>
      </c>
      <c r="W126">
        <v>27984475225.154301</v>
      </c>
      <c r="X126">
        <v>27984475225.154301</v>
      </c>
      <c r="Y126" t="s">
        <v>219</v>
      </c>
      <c r="Z126">
        <v>3191791935.62851</v>
      </c>
      <c r="AA126">
        <v>0.93333143611795599</v>
      </c>
      <c r="AB126">
        <v>542939.68086760701</v>
      </c>
    </row>
    <row r="127" spans="1:28" x14ac:dyDescent="0.25">
      <c r="A127">
        <v>2014</v>
      </c>
      <c r="B127" t="s">
        <v>229</v>
      </c>
      <c r="C127">
        <v>4</v>
      </c>
      <c r="D127" t="s">
        <v>228</v>
      </c>
      <c r="E127">
        <v>29193647565.927299</v>
      </c>
      <c r="F127" t="s">
        <v>219</v>
      </c>
      <c r="G127">
        <v>12561955206.6052</v>
      </c>
      <c r="H127" t="s">
        <v>219</v>
      </c>
      <c r="I127">
        <v>12561955206.6052</v>
      </c>
      <c r="J127">
        <v>16631692359.322001</v>
      </c>
      <c r="K127" t="s">
        <v>219</v>
      </c>
      <c r="L127">
        <v>8950181584.1346798</v>
      </c>
      <c r="M127" t="s">
        <v>219</v>
      </c>
      <c r="N127">
        <v>25221.091249269801</v>
      </c>
      <c r="O127" t="s">
        <v>219</v>
      </c>
      <c r="P127">
        <v>1708167802.60063</v>
      </c>
      <c r="Q127">
        <v>710582800.05018699</v>
      </c>
      <c r="R127">
        <v>223277291.50881201</v>
      </c>
      <c r="S127">
        <v>74720442.458067104</v>
      </c>
      <c r="T127">
        <v>297997733.96687901</v>
      </c>
      <c r="U127">
        <v>973380181.20861197</v>
      </c>
      <c r="V127">
        <v>43212046.807671703</v>
      </c>
      <c r="W127">
        <v>18261605789.338299</v>
      </c>
      <c r="X127">
        <v>18261605789.338299</v>
      </c>
      <c r="Y127" t="s">
        <v>219</v>
      </c>
      <c r="Z127">
        <v>3611773622.47053</v>
      </c>
      <c r="AA127">
        <v>0.71248316340346296</v>
      </c>
      <c r="AB127">
        <v>498073.42126676999</v>
      </c>
    </row>
    <row r="128" spans="1:28" x14ac:dyDescent="0.25">
      <c r="A128">
        <v>2015</v>
      </c>
      <c r="B128" t="s">
        <v>227</v>
      </c>
      <c r="C128">
        <v>4</v>
      </c>
      <c r="D128" t="s">
        <v>228</v>
      </c>
      <c r="E128">
        <v>2662540824.2249799</v>
      </c>
      <c r="F128" t="s">
        <v>219</v>
      </c>
      <c r="G128">
        <v>1228502364.78267</v>
      </c>
      <c r="H128" t="s">
        <v>219</v>
      </c>
      <c r="I128">
        <v>1228502364.78267</v>
      </c>
      <c r="J128">
        <v>1434038459.4423201</v>
      </c>
      <c r="K128" t="s">
        <v>219</v>
      </c>
      <c r="L128">
        <v>561211583.07381105</v>
      </c>
      <c r="M128" t="s">
        <v>219</v>
      </c>
      <c r="N128">
        <v>1137.11496246499</v>
      </c>
      <c r="O128" t="s">
        <v>219</v>
      </c>
      <c r="P128">
        <v>252197995.586458</v>
      </c>
      <c r="Q128">
        <v>189931466.41457599</v>
      </c>
      <c r="R128">
        <v>8628195.7431155704</v>
      </c>
      <c r="S128">
        <v>59113725.7874754</v>
      </c>
      <c r="T128">
        <v>67741921.530590996</v>
      </c>
      <c r="U128">
        <v>343404289.66125202</v>
      </c>
      <c r="V128">
        <v>-5863758.1917475499</v>
      </c>
      <c r="W128">
        <v>2396499180.7253299</v>
      </c>
      <c r="X128">
        <v>2396499180.7253299</v>
      </c>
      <c r="Y128" t="s">
        <v>219</v>
      </c>
      <c r="Z128">
        <v>667290781.70885599</v>
      </c>
      <c r="AA128">
        <v>0.45682580608877699</v>
      </c>
      <c r="AB128">
        <v>1080367.7775196701</v>
      </c>
    </row>
    <row r="129" spans="1:28" x14ac:dyDescent="0.25">
      <c r="A129">
        <v>2015</v>
      </c>
      <c r="B129" t="s">
        <v>217</v>
      </c>
      <c r="C129">
        <v>4</v>
      </c>
      <c r="D129" t="s">
        <v>228</v>
      </c>
      <c r="E129">
        <v>478094966223.237</v>
      </c>
      <c r="F129" t="s">
        <v>219</v>
      </c>
      <c r="G129">
        <v>151939673902.59201</v>
      </c>
      <c r="H129" t="s">
        <v>219</v>
      </c>
      <c r="I129">
        <v>125733595097.592</v>
      </c>
      <c r="J129">
        <v>352361371125.64502</v>
      </c>
      <c r="K129">
        <v>53388086534.188698</v>
      </c>
      <c r="L129">
        <v>61103872632.969101</v>
      </c>
      <c r="M129">
        <v>9258162520.1468391</v>
      </c>
      <c r="N129">
        <v>103791.208900956</v>
      </c>
      <c r="O129" t="s">
        <v>219</v>
      </c>
      <c r="P129">
        <v>26806672376.5168</v>
      </c>
      <c r="Q129">
        <v>16410900596.9536</v>
      </c>
      <c r="R129">
        <v>1393260740.63695</v>
      </c>
      <c r="S129">
        <v>6282740266.2847996</v>
      </c>
      <c r="T129">
        <v>7676001006.9217501</v>
      </c>
      <c r="U129">
        <v>14988600854.6759</v>
      </c>
      <c r="V129">
        <v>24800676496.6772</v>
      </c>
      <c r="W129">
        <v>207813793849.16599</v>
      </c>
      <c r="X129">
        <v>207813793849.16599</v>
      </c>
      <c r="Y129">
        <v>270460042903.50201</v>
      </c>
      <c r="Z129">
        <v>90835801269.622894</v>
      </c>
      <c r="AA129">
        <v>0.402158771725037</v>
      </c>
      <c r="AB129">
        <v>1463897.3330350299</v>
      </c>
    </row>
    <row r="130" spans="1:28" x14ac:dyDescent="0.25">
      <c r="A130">
        <v>2015</v>
      </c>
      <c r="B130" t="s">
        <v>220</v>
      </c>
      <c r="C130">
        <v>4</v>
      </c>
      <c r="D130" t="s">
        <v>228</v>
      </c>
      <c r="E130">
        <v>64683721370.594398</v>
      </c>
      <c r="F130" t="s">
        <v>219</v>
      </c>
      <c r="G130">
        <v>35724098052.028503</v>
      </c>
      <c r="H130" t="s">
        <v>219</v>
      </c>
      <c r="I130">
        <v>35724098052.028503</v>
      </c>
      <c r="J130">
        <v>28959623318.565899</v>
      </c>
      <c r="K130" t="s">
        <v>219</v>
      </c>
      <c r="L130">
        <v>14205432688.972</v>
      </c>
      <c r="M130" t="s">
        <v>219</v>
      </c>
      <c r="N130">
        <v>16253.8758929709</v>
      </c>
      <c r="O130" t="s">
        <v>219</v>
      </c>
      <c r="P130">
        <v>18195872414.6954</v>
      </c>
      <c r="Q130">
        <v>13557352593.0368</v>
      </c>
      <c r="R130">
        <v>32017019.3393641</v>
      </c>
      <c r="S130">
        <v>173812532.15518099</v>
      </c>
      <c r="T130">
        <v>205829551.49454501</v>
      </c>
      <c r="U130">
        <v>8311517122.0789499</v>
      </c>
      <c r="V130">
        <v>346144896.81211698</v>
      </c>
      <c r="W130">
        <v>161446632376.77499</v>
      </c>
      <c r="X130">
        <v>161446632376.77499</v>
      </c>
      <c r="Y130" t="s">
        <v>219</v>
      </c>
      <c r="Z130">
        <v>21518665363.056499</v>
      </c>
      <c r="AA130">
        <v>0.39764286472070698</v>
      </c>
      <c r="AB130">
        <v>2197881.8029167801</v>
      </c>
    </row>
    <row r="131" spans="1:28" x14ac:dyDescent="0.25">
      <c r="A131">
        <v>2015</v>
      </c>
      <c r="B131" t="s">
        <v>221</v>
      </c>
      <c r="C131">
        <v>4</v>
      </c>
      <c r="D131" t="s">
        <v>228</v>
      </c>
      <c r="E131">
        <v>262829007187.28</v>
      </c>
      <c r="F131" t="s">
        <v>219</v>
      </c>
      <c r="G131">
        <v>159962546860.72601</v>
      </c>
      <c r="H131" t="s">
        <v>219</v>
      </c>
      <c r="I131">
        <v>146098411315.07401</v>
      </c>
      <c r="J131">
        <v>116730595872.20599</v>
      </c>
      <c r="K131" t="s">
        <v>219</v>
      </c>
      <c r="L131">
        <v>67373300663.5271</v>
      </c>
      <c r="M131" t="s">
        <v>219</v>
      </c>
      <c r="N131">
        <v>136613.68561471999</v>
      </c>
      <c r="O131" t="s">
        <v>219</v>
      </c>
      <c r="P131">
        <v>19503083471.275501</v>
      </c>
      <c r="Q131">
        <v>6550591271.9222803</v>
      </c>
      <c r="R131">
        <v>2323741120.7411199</v>
      </c>
      <c r="S131">
        <v>2479852903.52846</v>
      </c>
      <c r="T131">
        <v>4803594024.2695904</v>
      </c>
      <c r="U131">
        <v>7438451576.7517595</v>
      </c>
      <c r="V131">
        <v>10557596680.7507</v>
      </c>
      <c r="W131">
        <v>85372829845.554794</v>
      </c>
      <c r="X131">
        <v>85372829845.554794</v>
      </c>
      <c r="Y131" t="s">
        <v>219</v>
      </c>
      <c r="Z131">
        <v>92589246197.198593</v>
      </c>
      <c r="AA131">
        <v>0.421181720257223</v>
      </c>
      <c r="AB131">
        <v>1170911.5828399099</v>
      </c>
    </row>
    <row r="132" spans="1:28" x14ac:dyDescent="0.25">
      <c r="A132">
        <v>2015</v>
      </c>
      <c r="B132" t="s">
        <v>222</v>
      </c>
      <c r="C132">
        <v>4</v>
      </c>
      <c r="D132" t="s">
        <v>228</v>
      </c>
      <c r="E132">
        <v>216904071925.53799</v>
      </c>
      <c r="F132" t="s">
        <v>219</v>
      </c>
      <c r="G132">
        <v>98540714633.190994</v>
      </c>
      <c r="H132" t="s">
        <v>219</v>
      </c>
      <c r="I132">
        <v>98523702187.549896</v>
      </c>
      <c r="J132">
        <v>118380369737.98801</v>
      </c>
      <c r="K132" t="s">
        <v>219</v>
      </c>
      <c r="L132">
        <v>53342737578.685898</v>
      </c>
      <c r="M132" t="s">
        <v>219</v>
      </c>
      <c r="N132">
        <v>77928.630697496395</v>
      </c>
      <c r="O132" t="s">
        <v>219</v>
      </c>
      <c r="P132">
        <v>23957271517.9884</v>
      </c>
      <c r="Q132">
        <v>16217917726.4603</v>
      </c>
      <c r="R132">
        <v>7034142147.0534</v>
      </c>
      <c r="S132">
        <v>5976786691.4006996</v>
      </c>
      <c r="T132">
        <v>13010928838.4541</v>
      </c>
      <c r="U132">
        <v>12736379725.9338</v>
      </c>
      <c r="V132">
        <v>-304321164.11214501</v>
      </c>
      <c r="W132">
        <v>170080653559.11899</v>
      </c>
      <c r="X132">
        <v>170080653559.11899</v>
      </c>
      <c r="Y132" t="s">
        <v>219</v>
      </c>
      <c r="Z132">
        <v>45197977054.505096</v>
      </c>
      <c r="AA132">
        <v>0.54132687972935301</v>
      </c>
      <c r="AB132">
        <v>1264499.50103328</v>
      </c>
    </row>
    <row r="133" spans="1:28" x14ac:dyDescent="0.25">
      <c r="A133">
        <v>2015</v>
      </c>
      <c r="B133" t="s">
        <v>223</v>
      </c>
      <c r="C133">
        <v>4</v>
      </c>
      <c r="D133" t="s">
        <v>228</v>
      </c>
      <c r="E133">
        <v>21972343224.990398</v>
      </c>
      <c r="F133" t="s">
        <v>219</v>
      </c>
      <c r="G133">
        <v>9147044386.5521603</v>
      </c>
      <c r="H133" t="s">
        <v>219</v>
      </c>
      <c r="I133">
        <v>9143089747.9212208</v>
      </c>
      <c r="J133">
        <v>12829253477.069201</v>
      </c>
      <c r="K133" t="s">
        <v>219</v>
      </c>
      <c r="L133">
        <v>7055016645.9295197</v>
      </c>
      <c r="M133" t="s">
        <v>219</v>
      </c>
      <c r="N133">
        <v>26120.163085524699</v>
      </c>
      <c r="O133" t="s">
        <v>219</v>
      </c>
      <c r="P133">
        <v>917162106.24832904</v>
      </c>
      <c r="Q133">
        <v>299562135.72195798</v>
      </c>
      <c r="R133">
        <v>0</v>
      </c>
      <c r="S133">
        <v>50396970.257112101</v>
      </c>
      <c r="T133">
        <v>50396970.257112101</v>
      </c>
      <c r="U133">
        <v>803759978.44536602</v>
      </c>
      <c r="V133">
        <v>89831301.746706396</v>
      </c>
      <c r="W133">
        <v>15956404692.932899</v>
      </c>
      <c r="X133">
        <v>15956404692.932899</v>
      </c>
      <c r="Y133" t="s">
        <v>219</v>
      </c>
      <c r="Z133">
        <v>2092027740.6226299</v>
      </c>
      <c r="AA133">
        <v>0.771289210786131</v>
      </c>
      <c r="AB133">
        <v>350190.93703979498</v>
      </c>
    </row>
    <row r="134" spans="1:28" x14ac:dyDescent="0.25">
      <c r="A134">
        <v>2015</v>
      </c>
      <c r="B134" t="s">
        <v>230</v>
      </c>
      <c r="C134">
        <v>4</v>
      </c>
      <c r="D134" t="s">
        <v>228</v>
      </c>
      <c r="E134">
        <v>38483653990.7882</v>
      </c>
      <c r="F134" t="s">
        <v>219</v>
      </c>
      <c r="G134">
        <v>17750875412.7136</v>
      </c>
      <c r="H134" t="s">
        <v>219</v>
      </c>
      <c r="I134">
        <v>17750875412.7136</v>
      </c>
      <c r="J134">
        <v>20732778578.0746</v>
      </c>
      <c r="K134" t="s">
        <v>219</v>
      </c>
      <c r="L134">
        <v>9636283095.2486591</v>
      </c>
      <c r="M134" t="s">
        <v>219</v>
      </c>
      <c r="N134">
        <v>8615.0254306433508</v>
      </c>
      <c r="O134" t="s">
        <v>219</v>
      </c>
      <c r="P134">
        <v>860505852.15355504</v>
      </c>
      <c r="Q134">
        <v>278791798.66689301</v>
      </c>
      <c r="R134">
        <v>58298</v>
      </c>
      <c r="S134">
        <v>29327935</v>
      </c>
      <c r="T134">
        <v>29386233</v>
      </c>
      <c r="U134">
        <v>405853425.45246798</v>
      </c>
      <c r="V134">
        <v>30839570.061636198</v>
      </c>
      <c r="W134">
        <v>3467425442.43678</v>
      </c>
      <c r="X134">
        <v>3467425442.43678</v>
      </c>
      <c r="Y134" t="s">
        <v>219</v>
      </c>
      <c r="Z134">
        <v>8114592317.4649496</v>
      </c>
      <c r="AA134">
        <v>0.54286241501908805</v>
      </c>
      <c r="AB134">
        <v>2060455.37016923</v>
      </c>
    </row>
    <row r="135" spans="1:28" x14ac:dyDescent="0.25">
      <c r="A135">
        <v>2015</v>
      </c>
      <c r="B135" t="s">
        <v>224</v>
      </c>
      <c r="C135">
        <v>4</v>
      </c>
      <c r="D135" t="s">
        <v>228</v>
      </c>
      <c r="E135">
        <v>102706464894.091</v>
      </c>
      <c r="F135" t="s">
        <v>219</v>
      </c>
      <c r="G135">
        <v>49853153173.5299</v>
      </c>
      <c r="H135" t="s">
        <v>219</v>
      </c>
      <c r="I135">
        <v>49852446840.584198</v>
      </c>
      <c r="J135">
        <v>52854018053.506897</v>
      </c>
      <c r="K135" t="s">
        <v>219</v>
      </c>
      <c r="L135">
        <v>31307189934.060001</v>
      </c>
      <c r="M135" t="s">
        <v>219</v>
      </c>
      <c r="N135">
        <v>87409.782802527305</v>
      </c>
      <c r="O135" t="s">
        <v>219</v>
      </c>
      <c r="P135">
        <v>4463144698.1617403</v>
      </c>
      <c r="Q135">
        <v>3002896442.6089802</v>
      </c>
      <c r="R135">
        <v>1670175867.95316</v>
      </c>
      <c r="S135">
        <v>420387525.10405201</v>
      </c>
      <c r="T135">
        <v>2090563393.05721</v>
      </c>
      <c r="U135">
        <v>5199647205.9844503</v>
      </c>
      <c r="V135">
        <v>-247339499.241745</v>
      </c>
      <c r="W135">
        <v>21724334755.745998</v>
      </c>
      <c r="X135">
        <v>21724334755.745998</v>
      </c>
      <c r="Y135" t="s">
        <v>219</v>
      </c>
      <c r="Z135">
        <v>18545963239.469898</v>
      </c>
      <c r="AA135">
        <v>0.62798816004847802</v>
      </c>
      <c r="AB135">
        <v>570338.37146302196</v>
      </c>
    </row>
    <row r="136" spans="1:28" x14ac:dyDescent="0.25">
      <c r="A136">
        <v>2015</v>
      </c>
      <c r="B136" t="s">
        <v>225</v>
      </c>
      <c r="C136">
        <v>4</v>
      </c>
      <c r="D136" t="s">
        <v>228</v>
      </c>
      <c r="E136">
        <v>18723363905.974098</v>
      </c>
      <c r="F136" t="s">
        <v>219</v>
      </c>
      <c r="G136">
        <v>14662674623.271</v>
      </c>
      <c r="H136" t="s">
        <v>219</v>
      </c>
      <c r="I136">
        <v>14662674623.271</v>
      </c>
      <c r="J136">
        <v>4060689282.7031498</v>
      </c>
      <c r="K136" t="s">
        <v>219</v>
      </c>
      <c r="L136">
        <v>12653250965.7407</v>
      </c>
      <c r="M136" t="s">
        <v>219</v>
      </c>
      <c r="N136">
        <v>43320.958813944198</v>
      </c>
      <c r="O136" t="s">
        <v>219</v>
      </c>
      <c r="P136">
        <v>1254056387.8907199</v>
      </c>
      <c r="Q136">
        <v>194379005.75497201</v>
      </c>
      <c r="R136">
        <v>16236452</v>
      </c>
      <c r="S136">
        <v>50335961.945188798</v>
      </c>
      <c r="T136">
        <v>66572413.945188798</v>
      </c>
      <c r="U136">
        <v>357294067.91955602</v>
      </c>
      <c r="V136">
        <v>3303506.9139335402</v>
      </c>
      <c r="W136">
        <v>10874479422.348301</v>
      </c>
      <c r="X136">
        <v>10874479422.348301</v>
      </c>
      <c r="Y136" t="s">
        <v>219</v>
      </c>
      <c r="Z136">
        <v>2009423657.5302501</v>
      </c>
      <c r="AA136">
        <v>0.86295654038853797</v>
      </c>
      <c r="AB136">
        <v>338466.06872771599</v>
      </c>
    </row>
    <row r="137" spans="1:28" x14ac:dyDescent="0.25">
      <c r="A137">
        <v>2015</v>
      </c>
      <c r="B137" t="s">
        <v>226</v>
      </c>
      <c r="C137">
        <v>4</v>
      </c>
      <c r="D137" t="s">
        <v>228</v>
      </c>
      <c r="E137">
        <v>95714830960.998795</v>
      </c>
      <c r="F137" t="s">
        <v>219</v>
      </c>
      <c r="G137">
        <v>54123496927.257103</v>
      </c>
      <c r="H137" t="s">
        <v>219</v>
      </c>
      <c r="I137">
        <v>54123496927.257103</v>
      </c>
      <c r="J137">
        <v>41591334033.741699</v>
      </c>
      <c r="K137" t="s">
        <v>219</v>
      </c>
      <c r="L137">
        <v>49738341859.013603</v>
      </c>
      <c r="M137" t="s">
        <v>219</v>
      </c>
      <c r="N137">
        <v>91004.743757115997</v>
      </c>
      <c r="O137" t="s">
        <v>219</v>
      </c>
      <c r="P137">
        <v>4205541725.5581899</v>
      </c>
      <c r="Q137">
        <v>1365014886.93683</v>
      </c>
      <c r="R137">
        <v>698921.547745171</v>
      </c>
      <c r="S137">
        <v>265650170.02710599</v>
      </c>
      <c r="T137">
        <v>266349091.57485101</v>
      </c>
      <c r="U137">
        <v>1615336047.3531401</v>
      </c>
      <c r="V137">
        <v>-59390660.009115703</v>
      </c>
      <c r="W137">
        <v>32164274857.129501</v>
      </c>
      <c r="X137">
        <v>32164274857.129501</v>
      </c>
      <c r="Y137" t="s">
        <v>219</v>
      </c>
      <c r="Z137">
        <v>4385155068.2435503</v>
      </c>
      <c r="AA137">
        <v>0.91897871872290005</v>
      </c>
      <c r="AB137">
        <v>594732.69955803803</v>
      </c>
    </row>
    <row r="138" spans="1:28" x14ac:dyDescent="0.25">
      <c r="A138">
        <v>2015</v>
      </c>
      <c r="B138" t="s">
        <v>229</v>
      </c>
      <c r="C138">
        <v>4</v>
      </c>
      <c r="D138" t="s">
        <v>228</v>
      </c>
      <c r="E138">
        <v>36039843375.686897</v>
      </c>
      <c r="F138" t="s">
        <v>219</v>
      </c>
      <c r="G138">
        <v>14274765515.269501</v>
      </c>
      <c r="H138" t="s">
        <v>219</v>
      </c>
      <c r="I138">
        <v>14274765515.269501</v>
      </c>
      <c r="J138">
        <v>21765077860.4175</v>
      </c>
      <c r="K138" t="s">
        <v>219</v>
      </c>
      <c r="L138">
        <v>11103337809.7628</v>
      </c>
      <c r="M138" t="s">
        <v>219</v>
      </c>
      <c r="N138">
        <v>26784.7444140958</v>
      </c>
      <c r="O138" t="s">
        <v>219</v>
      </c>
      <c r="P138">
        <v>4809343819.49825</v>
      </c>
      <c r="Q138">
        <v>649728321.90009797</v>
      </c>
      <c r="R138">
        <v>16663386.462014601</v>
      </c>
      <c r="S138">
        <v>134633549.18885201</v>
      </c>
      <c r="T138">
        <v>151296935.65086699</v>
      </c>
      <c r="U138">
        <v>1190315287.88643</v>
      </c>
      <c r="V138">
        <v>56839893.063850999</v>
      </c>
      <c r="W138">
        <v>24764142793.7911</v>
      </c>
      <c r="X138">
        <v>24764142793.7911</v>
      </c>
      <c r="Y138" t="s">
        <v>219</v>
      </c>
      <c r="Z138">
        <v>3171427705.50664</v>
      </c>
      <c r="AA138">
        <v>0.77782978626764698</v>
      </c>
      <c r="AB138">
        <v>532943.87635661697</v>
      </c>
    </row>
    <row r="139" spans="1:28" x14ac:dyDescent="0.25">
      <c r="A139">
        <v>2016</v>
      </c>
      <c r="B139" t="s">
        <v>227</v>
      </c>
      <c r="C139">
        <v>4</v>
      </c>
      <c r="D139" t="s">
        <v>228</v>
      </c>
      <c r="E139">
        <v>2430171441.3316798</v>
      </c>
      <c r="F139" t="s">
        <v>219</v>
      </c>
      <c r="G139">
        <v>1083559643.49404</v>
      </c>
      <c r="H139" t="s">
        <v>219</v>
      </c>
      <c r="I139">
        <v>1083559643.49404</v>
      </c>
      <c r="J139">
        <v>1346611797.83764</v>
      </c>
      <c r="K139" t="s">
        <v>219</v>
      </c>
      <c r="L139">
        <v>615830080.23456097</v>
      </c>
      <c r="M139" t="s">
        <v>219</v>
      </c>
      <c r="N139">
        <v>1073.8862101217201</v>
      </c>
      <c r="O139" t="s">
        <v>219</v>
      </c>
      <c r="P139">
        <v>297533326.57269198</v>
      </c>
      <c r="Q139">
        <v>206426139.899124</v>
      </c>
      <c r="R139">
        <v>16296848.6942141</v>
      </c>
      <c r="S139">
        <v>73856084.314684495</v>
      </c>
      <c r="T139">
        <v>90152933.008898601</v>
      </c>
      <c r="U139">
        <v>215934462.08073401</v>
      </c>
      <c r="V139">
        <v>1512937.15786385</v>
      </c>
      <c r="W139">
        <v>1211587939.07442</v>
      </c>
      <c r="X139">
        <v>1211587939.07442</v>
      </c>
      <c r="Y139" t="s">
        <v>219</v>
      </c>
      <c r="Z139">
        <v>467729563.25948203</v>
      </c>
      <c r="AA139">
        <v>0.56833980845646603</v>
      </c>
      <c r="AB139">
        <v>1009007.87558416</v>
      </c>
    </row>
    <row r="140" spans="1:28" x14ac:dyDescent="0.25">
      <c r="A140">
        <v>2016</v>
      </c>
      <c r="B140" t="s">
        <v>217</v>
      </c>
      <c r="C140">
        <v>4</v>
      </c>
      <c r="D140" t="s">
        <v>228</v>
      </c>
      <c r="E140">
        <v>488282856955.12799</v>
      </c>
      <c r="F140" t="s">
        <v>219</v>
      </c>
      <c r="G140">
        <v>155382839152.64899</v>
      </c>
      <c r="H140" t="s">
        <v>219</v>
      </c>
      <c r="I140">
        <v>128582893995.537</v>
      </c>
      <c r="J140">
        <v>359699962959.59198</v>
      </c>
      <c r="K140">
        <v>54499994387.816902</v>
      </c>
      <c r="L140">
        <v>65854041864.740097</v>
      </c>
      <c r="M140">
        <v>9977885131.0212307</v>
      </c>
      <c r="N140">
        <v>100240.446716766</v>
      </c>
      <c r="O140" t="s">
        <v>219</v>
      </c>
      <c r="P140">
        <v>17409371770.145</v>
      </c>
      <c r="Q140">
        <v>7957401871.3004799</v>
      </c>
      <c r="R140">
        <v>1694713789.3844199</v>
      </c>
      <c r="S140">
        <v>4309905878.0705795</v>
      </c>
      <c r="T140">
        <v>6004619667.4550104</v>
      </c>
      <c r="U140">
        <v>16145911799.0432</v>
      </c>
      <c r="V140">
        <v>26902000893.9114</v>
      </c>
      <c r="W140">
        <v>218824498043.51999</v>
      </c>
      <c r="X140">
        <v>218824498043.51999</v>
      </c>
      <c r="Y140">
        <v>283302377562.35797</v>
      </c>
      <c r="Z140">
        <v>89528797287.908905</v>
      </c>
      <c r="AA140">
        <v>0.423817985460059</v>
      </c>
      <c r="AB140">
        <v>1550101.2240267801</v>
      </c>
    </row>
    <row r="141" spans="1:28" x14ac:dyDescent="0.25">
      <c r="A141">
        <v>2016</v>
      </c>
      <c r="B141" t="s">
        <v>220</v>
      </c>
      <c r="C141">
        <v>4</v>
      </c>
      <c r="D141" t="s">
        <v>228</v>
      </c>
      <c r="E141">
        <v>71930162980.238602</v>
      </c>
      <c r="F141" t="s">
        <v>219</v>
      </c>
      <c r="G141">
        <v>42013380667.172203</v>
      </c>
      <c r="H141" t="s">
        <v>219</v>
      </c>
      <c r="I141">
        <v>42013380667.172203</v>
      </c>
      <c r="J141">
        <v>29916782313.066399</v>
      </c>
      <c r="K141" t="s">
        <v>219</v>
      </c>
      <c r="L141">
        <v>15147042266.561701</v>
      </c>
      <c r="M141" t="s">
        <v>219</v>
      </c>
      <c r="N141">
        <v>15985.0554961166</v>
      </c>
      <c r="O141" t="s">
        <v>219</v>
      </c>
      <c r="P141">
        <v>24220732119.0121</v>
      </c>
      <c r="Q141">
        <v>9642836154.3689899</v>
      </c>
      <c r="R141">
        <v>21875408.4632181</v>
      </c>
      <c r="S141">
        <v>113649042.76301999</v>
      </c>
      <c r="T141">
        <v>135524451.226239</v>
      </c>
      <c r="U141">
        <v>7653329572.5473003</v>
      </c>
      <c r="V141">
        <v>364549058.70321399</v>
      </c>
      <c r="W141">
        <v>179758151328.56699</v>
      </c>
      <c r="X141">
        <v>179758151328.56699</v>
      </c>
      <c r="Y141" t="s">
        <v>219</v>
      </c>
      <c r="Z141">
        <v>26866338400.6105</v>
      </c>
      <c r="AA141">
        <v>0.360529003522849</v>
      </c>
      <c r="AB141">
        <v>2628291.1984496401</v>
      </c>
    </row>
    <row r="142" spans="1:28" x14ac:dyDescent="0.25">
      <c r="A142">
        <v>2016</v>
      </c>
      <c r="B142" t="s">
        <v>221</v>
      </c>
      <c r="C142">
        <v>4</v>
      </c>
      <c r="D142" t="s">
        <v>228</v>
      </c>
      <c r="E142">
        <v>280451584212.75598</v>
      </c>
      <c r="F142" t="s">
        <v>219</v>
      </c>
      <c r="G142">
        <v>172740397091.11401</v>
      </c>
      <c r="H142" t="s">
        <v>219</v>
      </c>
      <c r="I142">
        <v>157768790759.00201</v>
      </c>
      <c r="J142">
        <v>122682793453.754</v>
      </c>
      <c r="K142" t="s">
        <v>219</v>
      </c>
      <c r="L142">
        <v>74673824222.050003</v>
      </c>
      <c r="M142" t="s">
        <v>219</v>
      </c>
      <c r="N142">
        <v>134970.23288194701</v>
      </c>
      <c r="O142" t="s">
        <v>219</v>
      </c>
      <c r="P142">
        <v>19039502279.503201</v>
      </c>
      <c r="Q142">
        <v>7776406537.5661402</v>
      </c>
      <c r="R142">
        <v>1545132977.09163</v>
      </c>
      <c r="S142">
        <v>2945907140.6525798</v>
      </c>
      <c r="T142">
        <v>4491040117.7442102</v>
      </c>
      <c r="U142">
        <v>8481552195.1250801</v>
      </c>
      <c r="V142">
        <v>13910612102.2384</v>
      </c>
      <c r="W142">
        <v>89447537836.750504</v>
      </c>
      <c r="X142">
        <v>89447537836.750504</v>
      </c>
      <c r="Y142" t="s">
        <v>219</v>
      </c>
      <c r="Z142">
        <v>98066572869.063904</v>
      </c>
      <c r="AA142">
        <v>0.43228929352676199</v>
      </c>
      <c r="AB142">
        <v>1279840.6982241999</v>
      </c>
    </row>
    <row r="143" spans="1:28" x14ac:dyDescent="0.25">
      <c r="A143">
        <v>2016</v>
      </c>
      <c r="B143" t="s">
        <v>222</v>
      </c>
      <c r="C143">
        <v>4</v>
      </c>
      <c r="D143" t="s">
        <v>228</v>
      </c>
      <c r="E143">
        <v>228797598205.005</v>
      </c>
      <c r="F143" t="s">
        <v>219</v>
      </c>
      <c r="G143">
        <v>104912946007.10899</v>
      </c>
      <c r="H143" t="s">
        <v>219</v>
      </c>
      <c r="I143">
        <v>104894833435.086</v>
      </c>
      <c r="J143">
        <v>123902764769.91901</v>
      </c>
      <c r="K143" t="s">
        <v>219</v>
      </c>
      <c r="L143">
        <v>59143773552.233398</v>
      </c>
      <c r="M143" t="s">
        <v>219</v>
      </c>
      <c r="N143">
        <v>77002.721157800901</v>
      </c>
      <c r="O143" t="s">
        <v>219</v>
      </c>
      <c r="P143">
        <v>30975507900.470299</v>
      </c>
      <c r="Q143">
        <v>19254176171.778099</v>
      </c>
      <c r="R143">
        <v>5945446914.9341297</v>
      </c>
      <c r="S143">
        <v>7597177726.6666899</v>
      </c>
      <c r="T143">
        <v>13542624641.6008</v>
      </c>
      <c r="U143">
        <v>14961164002.943501</v>
      </c>
      <c r="V143">
        <v>-761795831.37261701</v>
      </c>
      <c r="W143">
        <v>204605134133.33899</v>
      </c>
      <c r="X143">
        <v>204605134133.33899</v>
      </c>
      <c r="Y143" t="s">
        <v>219</v>
      </c>
      <c r="Z143">
        <v>45769172454.875702</v>
      </c>
      <c r="AA143">
        <v>0.56374142375361103</v>
      </c>
      <c r="AB143">
        <v>1362457.6434398</v>
      </c>
    </row>
    <row r="144" spans="1:28" x14ac:dyDescent="0.25">
      <c r="A144">
        <v>2016</v>
      </c>
      <c r="B144" t="s">
        <v>223</v>
      </c>
      <c r="C144">
        <v>4</v>
      </c>
      <c r="D144" t="s">
        <v>228</v>
      </c>
      <c r="E144">
        <v>25072298297.906502</v>
      </c>
      <c r="F144" t="s">
        <v>219</v>
      </c>
      <c r="G144">
        <v>10537347902.9111</v>
      </c>
      <c r="H144" t="s">
        <v>219</v>
      </c>
      <c r="I144">
        <v>10532792179.627899</v>
      </c>
      <c r="J144">
        <v>14539506118.278601</v>
      </c>
      <c r="K144" t="s">
        <v>219</v>
      </c>
      <c r="L144">
        <v>7892244161.9042797</v>
      </c>
      <c r="M144" t="s">
        <v>219</v>
      </c>
      <c r="N144">
        <v>27387.963227489301</v>
      </c>
      <c r="O144" t="s">
        <v>219</v>
      </c>
      <c r="P144">
        <v>1327194075.0127699</v>
      </c>
      <c r="Q144">
        <v>370847020.91650701</v>
      </c>
      <c r="R144">
        <v>3235407.7792310799</v>
      </c>
      <c r="S144">
        <v>48068159.996895596</v>
      </c>
      <c r="T144">
        <v>51303567.776126698</v>
      </c>
      <c r="U144">
        <v>949021425.25181699</v>
      </c>
      <c r="V144">
        <v>142712851.44311601</v>
      </c>
      <c r="W144">
        <v>17703675829.104698</v>
      </c>
      <c r="X144">
        <v>17703675829.104698</v>
      </c>
      <c r="Y144" t="s">
        <v>219</v>
      </c>
      <c r="Z144">
        <v>2645103741.0068002</v>
      </c>
      <c r="AA144">
        <v>0.74897822816725501</v>
      </c>
      <c r="AB144">
        <v>384743.758248322</v>
      </c>
    </row>
    <row r="145" spans="1:28" x14ac:dyDescent="0.25">
      <c r="A145">
        <v>2016</v>
      </c>
      <c r="B145" t="s">
        <v>230</v>
      </c>
      <c r="C145">
        <v>4</v>
      </c>
      <c r="D145" t="s">
        <v>228</v>
      </c>
      <c r="E145">
        <v>41170668867.236397</v>
      </c>
      <c r="F145" t="s">
        <v>219</v>
      </c>
      <c r="G145">
        <v>19816163756.6035</v>
      </c>
      <c r="H145" t="s">
        <v>219</v>
      </c>
      <c r="I145">
        <v>19816163756.6035</v>
      </c>
      <c r="J145">
        <v>21354505110.6329</v>
      </c>
      <c r="K145" t="s">
        <v>219</v>
      </c>
      <c r="L145">
        <v>9749037723.3342609</v>
      </c>
      <c r="M145" t="s">
        <v>219</v>
      </c>
      <c r="N145">
        <v>8845.4945997057894</v>
      </c>
      <c r="O145" t="s">
        <v>219</v>
      </c>
      <c r="P145">
        <v>473648198.96946001</v>
      </c>
      <c r="Q145">
        <v>205871585.63102099</v>
      </c>
      <c r="R145">
        <v>6099369</v>
      </c>
      <c r="S145">
        <v>9995861.4890327007</v>
      </c>
      <c r="T145">
        <v>16095230.489032701</v>
      </c>
      <c r="U145">
        <v>416659159.33951098</v>
      </c>
      <c r="V145">
        <v>38709825.632351197</v>
      </c>
      <c r="W145">
        <v>3181508290.1863799</v>
      </c>
      <c r="X145">
        <v>3181508290.1863799</v>
      </c>
      <c r="Y145" t="s">
        <v>219</v>
      </c>
      <c r="Z145">
        <v>10067126033.269199</v>
      </c>
      <c r="AA145">
        <v>0.49197401894125597</v>
      </c>
      <c r="AB145">
        <v>2240255.0285048601</v>
      </c>
    </row>
    <row r="146" spans="1:28" x14ac:dyDescent="0.25">
      <c r="A146">
        <v>2016</v>
      </c>
      <c r="B146" t="s">
        <v>224</v>
      </c>
      <c r="C146">
        <v>4</v>
      </c>
      <c r="D146" t="s">
        <v>228</v>
      </c>
      <c r="E146">
        <v>93273814634.5728</v>
      </c>
      <c r="F146" t="s">
        <v>219</v>
      </c>
      <c r="G146">
        <v>51301012513.729797</v>
      </c>
      <c r="H146" t="s">
        <v>219</v>
      </c>
      <c r="I146">
        <v>51300285667.121597</v>
      </c>
      <c r="J146">
        <v>41973528967.451202</v>
      </c>
      <c r="K146" t="s">
        <v>219</v>
      </c>
      <c r="L146">
        <v>35008412528.616501</v>
      </c>
      <c r="M146" t="s">
        <v>219</v>
      </c>
      <c r="N146">
        <v>85150.636508228999</v>
      </c>
      <c r="O146" t="s">
        <v>219</v>
      </c>
      <c r="P146">
        <v>3198246459.5179901</v>
      </c>
      <c r="Q146">
        <v>1694888424.2842801</v>
      </c>
      <c r="R146">
        <v>459631957.34358001</v>
      </c>
      <c r="S146">
        <v>427125708.87264597</v>
      </c>
      <c r="T146">
        <v>886757666.21622598</v>
      </c>
      <c r="U146">
        <v>2299424243.57656</v>
      </c>
      <c r="V146">
        <v>-288113765.76896501</v>
      </c>
      <c r="W146">
        <v>15703800589.302799</v>
      </c>
      <c r="X146">
        <v>15703800589.302799</v>
      </c>
      <c r="Y146" t="s">
        <v>219</v>
      </c>
      <c r="Z146">
        <v>16292599985.1133</v>
      </c>
      <c r="AA146">
        <v>0.68241172665446204</v>
      </c>
      <c r="AB146">
        <v>602473.62342114805</v>
      </c>
    </row>
    <row r="147" spans="1:28" x14ac:dyDescent="0.25">
      <c r="A147">
        <v>2016</v>
      </c>
      <c r="B147" t="s">
        <v>225</v>
      </c>
      <c r="C147">
        <v>4</v>
      </c>
      <c r="D147" t="s">
        <v>228</v>
      </c>
      <c r="E147">
        <v>21492712798.368</v>
      </c>
      <c r="F147" t="s">
        <v>219</v>
      </c>
      <c r="G147">
        <v>16910723216.721901</v>
      </c>
      <c r="H147" t="s">
        <v>219</v>
      </c>
      <c r="I147">
        <v>16910723216.721901</v>
      </c>
      <c r="J147">
        <v>4581989581.64604</v>
      </c>
      <c r="K147" t="s">
        <v>219</v>
      </c>
      <c r="L147">
        <v>13868531293.085899</v>
      </c>
      <c r="M147" t="s">
        <v>219</v>
      </c>
      <c r="N147">
        <v>43488.705643011199</v>
      </c>
      <c r="O147" t="s">
        <v>219</v>
      </c>
      <c r="P147">
        <v>1043195455.97597</v>
      </c>
      <c r="Q147">
        <v>194797014.14853999</v>
      </c>
      <c r="R147">
        <v>15086400</v>
      </c>
      <c r="S147">
        <v>27043003.217211701</v>
      </c>
      <c r="T147">
        <v>42129403.217211701</v>
      </c>
      <c r="U147">
        <v>417974056.298926</v>
      </c>
      <c r="V147">
        <v>5934660.3858454004</v>
      </c>
      <c r="W147">
        <v>11920774812.8088</v>
      </c>
      <c r="X147">
        <v>11920774812.8088</v>
      </c>
      <c r="Y147" t="s">
        <v>219</v>
      </c>
      <c r="Z147">
        <v>3042191923.6360102</v>
      </c>
      <c r="AA147">
        <v>0.820102790126221</v>
      </c>
      <c r="AB147">
        <v>388853.21985754598</v>
      </c>
    </row>
    <row r="148" spans="1:28" x14ac:dyDescent="0.25">
      <c r="A148">
        <v>2016</v>
      </c>
      <c r="B148" t="s">
        <v>226</v>
      </c>
      <c r="C148">
        <v>4</v>
      </c>
      <c r="D148" t="s">
        <v>228</v>
      </c>
      <c r="E148">
        <v>108510643380.763</v>
      </c>
      <c r="F148" t="s">
        <v>219</v>
      </c>
      <c r="G148">
        <v>61102375205.009804</v>
      </c>
      <c r="H148" t="s">
        <v>219</v>
      </c>
      <c r="I148">
        <v>61102375205.009804</v>
      </c>
      <c r="J148">
        <v>47408268175.752998</v>
      </c>
      <c r="K148" t="s">
        <v>219</v>
      </c>
      <c r="L148">
        <v>56736304250.696198</v>
      </c>
      <c r="M148" t="s">
        <v>219</v>
      </c>
      <c r="N148">
        <v>94195.347813574903</v>
      </c>
      <c r="O148" t="s">
        <v>219</v>
      </c>
      <c r="P148">
        <v>4217551565.9892802</v>
      </c>
      <c r="Q148">
        <v>1303835269.8877101</v>
      </c>
      <c r="R148">
        <v>0</v>
      </c>
      <c r="S148">
        <v>224758274.71249101</v>
      </c>
      <c r="T148">
        <v>224758274.71249101</v>
      </c>
      <c r="U148">
        <v>1791902037.0644801</v>
      </c>
      <c r="V148">
        <v>-85514652.020819396</v>
      </c>
      <c r="W148">
        <v>35600140821.681297</v>
      </c>
      <c r="X148">
        <v>35600140821.681297</v>
      </c>
      <c r="Y148" t="s">
        <v>219</v>
      </c>
      <c r="Z148">
        <v>4366070954.3136301</v>
      </c>
      <c r="AA148">
        <v>0.92854498798672502</v>
      </c>
      <c r="AB148">
        <v>648677.20777399302</v>
      </c>
    </row>
    <row r="149" spans="1:28" x14ac:dyDescent="0.25">
      <c r="A149">
        <v>2016</v>
      </c>
      <c r="B149" t="s">
        <v>229</v>
      </c>
      <c r="C149">
        <v>4</v>
      </c>
      <c r="D149" t="s">
        <v>228</v>
      </c>
      <c r="E149">
        <v>41195263329.016998</v>
      </c>
      <c r="F149" t="s">
        <v>219</v>
      </c>
      <c r="G149">
        <v>15876015266.4886</v>
      </c>
      <c r="H149" t="s">
        <v>219</v>
      </c>
      <c r="I149">
        <v>15876015266.4886</v>
      </c>
      <c r="J149">
        <v>25319248062.528301</v>
      </c>
      <c r="K149" t="s">
        <v>219</v>
      </c>
      <c r="L149">
        <v>12248599787.3957</v>
      </c>
      <c r="M149" t="s">
        <v>219</v>
      </c>
      <c r="N149">
        <v>26143.603029882499</v>
      </c>
      <c r="O149" t="s">
        <v>219</v>
      </c>
      <c r="P149">
        <v>1781886760.9029901</v>
      </c>
      <c r="Q149">
        <v>751497734.27269602</v>
      </c>
      <c r="R149">
        <v>22614667.892776702</v>
      </c>
      <c r="S149">
        <v>135972165.413661</v>
      </c>
      <c r="T149">
        <v>158586833.306438</v>
      </c>
      <c r="U149">
        <v>1519719055.1489799</v>
      </c>
      <c r="V149">
        <v>65271879.420919403</v>
      </c>
      <c r="W149">
        <v>28064657944.16</v>
      </c>
      <c r="X149">
        <v>28064657944.16</v>
      </c>
      <c r="Y149" t="s">
        <v>219</v>
      </c>
      <c r="Z149">
        <v>3627415479.0929699</v>
      </c>
      <c r="AA149">
        <v>0.771515999562574</v>
      </c>
      <c r="AB149">
        <v>607261.94657798798</v>
      </c>
    </row>
    <row r="150" spans="1:28" x14ac:dyDescent="0.25">
      <c r="A150">
        <v>2017</v>
      </c>
      <c r="B150" t="s">
        <v>227</v>
      </c>
      <c r="C150">
        <v>5</v>
      </c>
      <c r="D150" t="s">
        <v>228</v>
      </c>
      <c r="E150">
        <v>2504592484.6462002</v>
      </c>
      <c r="F150">
        <v>2504592484.6462002</v>
      </c>
      <c r="G150">
        <v>1286736993.0383999</v>
      </c>
      <c r="H150">
        <v>1286736993.0383999</v>
      </c>
      <c r="I150">
        <v>1286736993.0383999</v>
      </c>
      <c r="J150">
        <v>1217855491.6078</v>
      </c>
      <c r="K150" t="s">
        <v>219</v>
      </c>
      <c r="L150">
        <v>657498303.12647605</v>
      </c>
      <c r="M150" t="s">
        <v>219</v>
      </c>
      <c r="N150">
        <v>1143.14648326107</v>
      </c>
      <c r="O150" t="s">
        <v>219</v>
      </c>
      <c r="P150">
        <v>178531834.12</v>
      </c>
      <c r="Q150">
        <v>178390754.61000001</v>
      </c>
      <c r="R150">
        <v>42292204.329999998</v>
      </c>
      <c r="S150">
        <v>35658791.270000003</v>
      </c>
      <c r="T150">
        <v>77950995.599999994</v>
      </c>
      <c r="U150">
        <v>229571334.24000001</v>
      </c>
      <c r="V150">
        <v>-5549581.6500000004</v>
      </c>
      <c r="W150">
        <v>1161252517.2</v>
      </c>
      <c r="X150">
        <v>1161252517.2</v>
      </c>
      <c r="Y150" t="s">
        <v>219</v>
      </c>
      <c r="Z150">
        <v>629238689.911924</v>
      </c>
      <c r="AA150">
        <v>0.51098111477615205</v>
      </c>
      <c r="AB150">
        <v>1125609.8950396201</v>
      </c>
    </row>
    <row r="151" spans="1:28" x14ac:dyDescent="0.25">
      <c r="A151">
        <v>2017</v>
      </c>
      <c r="B151" t="s">
        <v>217</v>
      </c>
      <c r="C151">
        <v>5</v>
      </c>
      <c r="D151" t="s">
        <v>228</v>
      </c>
      <c r="E151">
        <v>484141525416.43597</v>
      </c>
      <c r="F151">
        <v>455782090534.62</v>
      </c>
      <c r="G151">
        <v>164424571873.86099</v>
      </c>
      <c r="H151">
        <v>136065136992.04601</v>
      </c>
      <c r="I151">
        <v>136065136992.04601</v>
      </c>
      <c r="J151">
        <v>348076388424.39001</v>
      </c>
      <c r="K151">
        <v>52738846730.968102</v>
      </c>
      <c r="L151">
        <v>70584977309.771698</v>
      </c>
      <c r="M151">
        <v>10694693531.7836</v>
      </c>
      <c r="N151">
        <v>97466.997226108302</v>
      </c>
      <c r="O151" t="s">
        <v>219</v>
      </c>
      <c r="P151">
        <v>17036239960.98</v>
      </c>
      <c r="Q151">
        <v>8481037478.9200001</v>
      </c>
      <c r="R151">
        <v>1726303402.3</v>
      </c>
      <c r="S151">
        <v>2897152608.0599999</v>
      </c>
      <c r="T151">
        <v>4623456010.3599997</v>
      </c>
      <c r="U151">
        <v>15918676560.870001</v>
      </c>
      <c r="V151">
        <v>1963308432.45</v>
      </c>
      <c r="W151">
        <v>209773097223.23999</v>
      </c>
      <c r="X151">
        <v>209773097223.23999</v>
      </c>
      <c r="Y151">
        <v>273206637485.992</v>
      </c>
      <c r="Z151">
        <v>93839594564.0896</v>
      </c>
      <c r="AA151">
        <v>0.42928484778978898</v>
      </c>
      <c r="AB151">
        <v>1686976.8901613101</v>
      </c>
    </row>
    <row r="152" spans="1:28" x14ac:dyDescent="0.25">
      <c r="A152">
        <v>2017</v>
      </c>
      <c r="B152" t="s">
        <v>220</v>
      </c>
      <c r="C152">
        <v>5</v>
      </c>
      <c r="D152" t="s">
        <v>228</v>
      </c>
      <c r="E152">
        <v>77841809111.108307</v>
      </c>
      <c r="F152">
        <v>77841809111.108307</v>
      </c>
      <c r="G152">
        <v>48814690611.543999</v>
      </c>
      <c r="H152">
        <v>48814690611.543999</v>
      </c>
      <c r="I152">
        <v>48814690611.543999</v>
      </c>
      <c r="J152">
        <v>29027118499.564301</v>
      </c>
      <c r="K152" t="s">
        <v>219</v>
      </c>
      <c r="L152">
        <v>16345164422.620501</v>
      </c>
      <c r="M152" t="s">
        <v>219</v>
      </c>
      <c r="N152">
        <v>15655.4570794662</v>
      </c>
      <c r="O152" t="s">
        <v>219</v>
      </c>
      <c r="P152">
        <v>17280534586.110001</v>
      </c>
      <c r="Q152">
        <v>8592126527.1499996</v>
      </c>
      <c r="R152">
        <v>10846708</v>
      </c>
      <c r="S152">
        <v>34365878.479999997</v>
      </c>
      <c r="T152">
        <v>45212586.479999997</v>
      </c>
      <c r="U152">
        <v>9189859482.8299999</v>
      </c>
      <c r="V152">
        <v>428870021.82999998</v>
      </c>
      <c r="W152">
        <v>186463051067.35001</v>
      </c>
      <c r="X152">
        <v>186463051067.35001</v>
      </c>
      <c r="Y152" t="s">
        <v>219</v>
      </c>
      <c r="Z152">
        <v>32469526188.9235</v>
      </c>
      <c r="AA152">
        <v>0.33484109430686598</v>
      </c>
      <c r="AB152">
        <v>3118062.3065659101</v>
      </c>
    </row>
    <row r="153" spans="1:28" x14ac:dyDescent="0.25">
      <c r="A153">
        <v>2017</v>
      </c>
      <c r="B153" t="s">
        <v>221</v>
      </c>
      <c r="C153">
        <v>5</v>
      </c>
      <c r="D153" t="s">
        <v>228</v>
      </c>
      <c r="E153">
        <v>304494191939.09497</v>
      </c>
      <c r="F153">
        <v>288173490633.54102</v>
      </c>
      <c r="G153">
        <v>188306074965.37399</v>
      </c>
      <c r="H153">
        <v>171985373659.82001</v>
      </c>
      <c r="I153">
        <v>171985373659.82001</v>
      </c>
      <c r="J153">
        <v>132508818279.27499</v>
      </c>
      <c r="K153" t="s">
        <v>219</v>
      </c>
      <c r="L153">
        <v>83773687021.462097</v>
      </c>
      <c r="M153" t="s">
        <v>219</v>
      </c>
      <c r="N153">
        <v>135656.632398341</v>
      </c>
      <c r="O153" t="s">
        <v>219</v>
      </c>
      <c r="P153">
        <v>13617990498.48</v>
      </c>
      <c r="Q153">
        <v>5074666772.9300003</v>
      </c>
      <c r="R153">
        <v>1636265193.96</v>
      </c>
      <c r="S153">
        <v>1608050078.0799999</v>
      </c>
      <c r="T153">
        <v>3244315272.04</v>
      </c>
      <c r="U153">
        <v>8973552321.6100006</v>
      </c>
      <c r="V153">
        <v>602040898.26999998</v>
      </c>
      <c r="W153">
        <v>93649725823.910004</v>
      </c>
      <c r="X153">
        <v>93649725823.910004</v>
      </c>
      <c r="Y153" t="s">
        <v>219</v>
      </c>
      <c r="Z153">
        <v>104532387943.911</v>
      </c>
      <c r="AA153">
        <v>0.44488042691594898</v>
      </c>
      <c r="AB153">
        <v>1388108.1347532801</v>
      </c>
    </row>
    <row r="154" spans="1:28" x14ac:dyDescent="0.25">
      <c r="A154">
        <v>2017</v>
      </c>
      <c r="B154" t="s">
        <v>222</v>
      </c>
      <c r="C154">
        <v>5</v>
      </c>
      <c r="D154" t="s">
        <v>228</v>
      </c>
      <c r="E154">
        <v>247834567064.53299</v>
      </c>
      <c r="F154">
        <v>247814668536.55099</v>
      </c>
      <c r="G154">
        <v>115257688921.703</v>
      </c>
      <c r="H154">
        <v>115237790393.72099</v>
      </c>
      <c r="I154">
        <v>115237790393.72099</v>
      </c>
      <c r="J154">
        <v>132596776670.812</v>
      </c>
      <c r="K154" t="s">
        <v>219</v>
      </c>
      <c r="L154">
        <v>62823399111.948402</v>
      </c>
      <c r="M154" t="s">
        <v>219</v>
      </c>
      <c r="N154">
        <v>78171.618023532195</v>
      </c>
      <c r="O154" t="s">
        <v>219</v>
      </c>
      <c r="P154">
        <v>34929783219.940002</v>
      </c>
      <c r="Q154">
        <v>17372949503.240002</v>
      </c>
      <c r="R154">
        <v>5685952938.6999998</v>
      </c>
      <c r="S154">
        <v>9281001649.5300007</v>
      </c>
      <c r="T154">
        <v>14966954588.23</v>
      </c>
      <c r="U154">
        <v>16572201371.85</v>
      </c>
      <c r="V154">
        <v>-1049901453.38</v>
      </c>
      <c r="W154">
        <v>232757636827.73001</v>
      </c>
      <c r="X154">
        <v>232757636827.73001</v>
      </c>
      <c r="Y154" t="s">
        <v>219</v>
      </c>
      <c r="Z154">
        <v>52434289809.754402</v>
      </c>
      <c r="AA154">
        <v>0.545069050921417</v>
      </c>
      <c r="AB154">
        <v>1474418.61683107</v>
      </c>
    </row>
    <row r="155" spans="1:28" x14ac:dyDescent="0.25">
      <c r="A155">
        <v>2017</v>
      </c>
      <c r="B155" t="s">
        <v>223</v>
      </c>
      <c r="C155">
        <v>5</v>
      </c>
      <c r="D155" t="s">
        <v>228</v>
      </c>
      <c r="E155">
        <v>29171994086.435501</v>
      </c>
      <c r="F155">
        <v>29166457218.435501</v>
      </c>
      <c r="G155">
        <v>12806727007.195601</v>
      </c>
      <c r="H155">
        <v>12801190139.195601</v>
      </c>
      <c r="I155">
        <v>12801190139.195601</v>
      </c>
      <c r="J155">
        <v>16370803947.239901</v>
      </c>
      <c r="K155" t="s">
        <v>219</v>
      </c>
      <c r="L155">
        <v>9679394384.8637695</v>
      </c>
      <c r="M155" t="s">
        <v>219</v>
      </c>
      <c r="N155">
        <v>28334.960915635998</v>
      </c>
      <c r="O155" t="s">
        <v>219</v>
      </c>
      <c r="P155">
        <v>1311167251.04</v>
      </c>
      <c r="Q155">
        <v>724938881.48000002</v>
      </c>
      <c r="R155">
        <v>155409067.62</v>
      </c>
      <c r="S155">
        <v>18898571.149999999</v>
      </c>
      <c r="T155">
        <v>174307638.77000001</v>
      </c>
      <c r="U155">
        <v>999857991.54999995</v>
      </c>
      <c r="V155">
        <v>128215436.2</v>
      </c>
      <c r="W155">
        <v>17755790721.080002</v>
      </c>
      <c r="X155">
        <v>17755790721.080002</v>
      </c>
      <c r="Y155" t="s">
        <v>219</v>
      </c>
      <c r="Z155">
        <v>3127332622.33183</v>
      </c>
      <c r="AA155">
        <v>0.755805474687271</v>
      </c>
      <c r="AB155">
        <v>451976.16631009697</v>
      </c>
    </row>
    <row r="156" spans="1:28" x14ac:dyDescent="0.25">
      <c r="A156">
        <v>2017</v>
      </c>
      <c r="B156" t="s">
        <v>230</v>
      </c>
      <c r="C156">
        <v>5</v>
      </c>
      <c r="D156" t="s">
        <v>228</v>
      </c>
      <c r="E156">
        <v>44910282029.821404</v>
      </c>
      <c r="F156">
        <v>44910282029.821404</v>
      </c>
      <c r="G156">
        <v>23503008947.5756</v>
      </c>
      <c r="H156">
        <v>23503008947.5756</v>
      </c>
      <c r="I156">
        <v>23503008947.5756</v>
      </c>
      <c r="J156">
        <v>21407273082.2458</v>
      </c>
      <c r="K156" t="s">
        <v>219</v>
      </c>
      <c r="L156">
        <v>10813488957.756001</v>
      </c>
      <c r="M156" t="s">
        <v>219</v>
      </c>
      <c r="N156">
        <v>8876.3999507548306</v>
      </c>
      <c r="O156" t="s">
        <v>219</v>
      </c>
      <c r="P156">
        <v>632101869.33000004</v>
      </c>
      <c r="Q156">
        <v>219843866.09</v>
      </c>
      <c r="R156">
        <v>3770608</v>
      </c>
      <c r="S156">
        <v>35041811.75</v>
      </c>
      <c r="T156">
        <v>38812419.75</v>
      </c>
      <c r="U156">
        <v>399495977.68000001</v>
      </c>
      <c r="V156">
        <v>43772300.990000002</v>
      </c>
      <c r="W156">
        <v>3056599506.54</v>
      </c>
      <c r="X156">
        <v>3056599506.54</v>
      </c>
      <c r="Y156" t="s">
        <v>219</v>
      </c>
      <c r="Z156">
        <v>12689519989.819599</v>
      </c>
      <c r="AA156">
        <v>0.46008955627238801</v>
      </c>
      <c r="AB156">
        <v>2647808.6924842801</v>
      </c>
    </row>
    <row r="157" spans="1:28" x14ac:dyDescent="0.25">
      <c r="A157">
        <v>2017</v>
      </c>
      <c r="B157" t="s">
        <v>224</v>
      </c>
      <c r="C157">
        <v>5</v>
      </c>
      <c r="D157" t="s">
        <v>228</v>
      </c>
      <c r="E157">
        <v>118957837192.519</v>
      </c>
      <c r="F157">
        <v>118956970849.532</v>
      </c>
      <c r="G157">
        <v>61146701264.026703</v>
      </c>
      <c r="H157">
        <v>61145834921.039803</v>
      </c>
      <c r="I157">
        <v>61145834921.039803</v>
      </c>
      <c r="J157">
        <v>57812002271.478897</v>
      </c>
      <c r="K157" t="s">
        <v>219</v>
      </c>
      <c r="L157">
        <v>39273088032.7173</v>
      </c>
      <c r="M157" t="s">
        <v>219</v>
      </c>
      <c r="N157">
        <v>84938.565402616601</v>
      </c>
      <c r="O157" t="s">
        <v>219</v>
      </c>
      <c r="P157">
        <v>3719661805.3899999</v>
      </c>
      <c r="Q157">
        <v>2258764520.4899998</v>
      </c>
      <c r="R157">
        <v>999246556.61000001</v>
      </c>
      <c r="S157">
        <v>1399910750.1800001</v>
      </c>
      <c r="T157">
        <v>2399157306.79</v>
      </c>
      <c r="U157">
        <v>4086758715.4299998</v>
      </c>
      <c r="V157">
        <v>-407026848.52999997</v>
      </c>
      <c r="W157">
        <v>23114504849.259998</v>
      </c>
      <c r="X157">
        <v>23114504849.259998</v>
      </c>
      <c r="Y157" t="s">
        <v>219</v>
      </c>
      <c r="Z157">
        <v>21873613231.309399</v>
      </c>
      <c r="AA157">
        <v>0.64227647969330603</v>
      </c>
      <c r="AB157">
        <v>719893.26608220604</v>
      </c>
    </row>
    <row r="158" spans="1:28" x14ac:dyDescent="0.25">
      <c r="A158">
        <v>2017</v>
      </c>
      <c r="B158" t="s">
        <v>225</v>
      </c>
      <c r="C158">
        <v>5</v>
      </c>
      <c r="D158" t="s">
        <v>228</v>
      </c>
      <c r="E158">
        <v>21997765536.253601</v>
      </c>
      <c r="F158">
        <v>21997765536.253601</v>
      </c>
      <c r="G158">
        <v>17137276534.8414</v>
      </c>
      <c r="H158">
        <v>17137276534.8414</v>
      </c>
      <c r="I158">
        <v>17137276534.8414</v>
      </c>
      <c r="J158">
        <v>4860489001.4122496</v>
      </c>
      <c r="K158" t="s">
        <v>219</v>
      </c>
      <c r="L158">
        <v>15338221633.304001</v>
      </c>
      <c r="M158" t="s">
        <v>219</v>
      </c>
      <c r="N158">
        <v>45842.629927727401</v>
      </c>
      <c r="O158" t="s">
        <v>219</v>
      </c>
      <c r="P158">
        <v>1488653768.45</v>
      </c>
      <c r="Q158">
        <v>183173155.37</v>
      </c>
      <c r="R158">
        <v>13696922.949999999</v>
      </c>
      <c r="S158">
        <v>32792315.43</v>
      </c>
      <c r="T158">
        <v>46489238.380000003</v>
      </c>
      <c r="U158">
        <v>431839331.36000001</v>
      </c>
      <c r="V158">
        <v>4652414.6500000004</v>
      </c>
      <c r="W158">
        <v>11999369685.91</v>
      </c>
      <c r="X158">
        <v>11999369685.91</v>
      </c>
      <c r="Y158" t="s">
        <v>219</v>
      </c>
      <c r="Z158">
        <v>1799054901.53739</v>
      </c>
      <c r="AA158">
        <v>0.89502095634158796</v>
      </c>
      <c r="AB158">
        <v>373828.38990387198</v>
      </c>
    </row>
    <row r="159" spans="1:28" x14ac:dyDescent="0.25">
      <c r="A159">
        <v>2017</v>
      </c>
      <c r="B159" t="s">
        <v>226</v>
      </c>
      <c r="C159">
        <v>5</v>
      </c>
      <c r="D159" t="s">
        <v>228</v>
      </c>
      <c r="E159">
        <v>116647447035.377</v>
      </c>
      <c r="F159">
        <v>116647447035.377</v>
      </c>
      <c r="G159">
        <v>68176938693.468597</v>
      </c>
      <c r="H159">
        <v>68176938693.468597</v>
      </c>
      <c r="I159">
        <v>68176938693.468597</v>
      </c>
      <c r="J159">
        <v>48470508341.908401</v>
      </c>
      <c r="K159" t="s">
        <v>219</v>
      </c>
      <c r="L159">
        <v>62279557165.425201</v>
      </c>
      <c r="M159" t="s">
        <v>219</v>
      </c>
      <c r="N159">
        <v>95779.256970525501</v>
      </c>
      <c r="O159" t="s">
        <v>219</v>
      </c>
      <c r="P159">
        <v>3802581537.5500002</v>
      </c>
      <c r="Q159">
        <v>1182662198.1900001</v>
      </c>
      <c r="R159">
        <v>203132.49</v>
      </c>
      <c r="S159">
        <v>218287485.62</v>
      </c>
      <c r="T159">
        <v>218490618.11000001</v>
      </c>
      <c r="U159">
        <v>2013305748.4200001</v>
      </c>
      <c r="V159">
        <v>-69390064.689999998</v>
      </c>
      <c r="W159">
        <v>37442405471.540001</v>
      </c>
      <c r="X159">
        <v>37442405471.540001</v>
      </c>
      <c r="Y159" t="s">
        <v>219</v>
      </c>
      <c r="Z159">
        <v>5897381528.0433998</v>
      </c>
      <c r="AA159">
        <v>0.91349888039768501</v>
      </c>
      <c r="AB159">
        <v>711813.192646179</v>
      </c>
    </row>
    <row r="160" spans="1:28" x14ac:dyDescent="0.25">
      <c r="A160">
        <v>2017</v>
      </c>
      <c r="B160" t="s">
        <v>229</v>
      </c>
      <c r="C160">
        <v>5</v>
      </c>
      <c r="D160" t="s">
        <v>228</v>
      </c>
      <c r="E160">
        <v>39400615168.796204</v>
      </c>
      <c r="F160">
        <v>39400615168.796204</v>
      </c>
      <c r="G160">
        <v>18039218641.096699</v>
      </c>
      <c r="H160">
        <v>18039218641.096699</v>
      </c>
      <c r="I160">
        <v>18039218641.096699</v>
      </c>
      <c r="J160">
        <v>21361396527.699501</v>
      </c>
      <c r="K160" t="s">
        <v>219</v>
      </c>
      <c r="L160">
        <v>13563405187.742001</v>
      </c>
      <c r="M160" t="s">
        <v>219</v>
      </c>
      <c r="N160">
        <v>27960.537351511401</v>
      </c>
      <c r="O160" t="s">
        <v>219</v>
      </c>
      <c r="P160">
        <v>1579242470.5999999</v>
      </c>
      <c r="Q160">
        <v>640895395.78999996</v>
      </c>
      <c r="R160">
        <v>24188396</v>
      </c>
      <c r="S160">
        <v>66033079.68</v>
      </c>
      <c r="T160">
        <v>90221475.680000007</v>
      </c>
      <c r="U160">
        <v>1400874825.04</v>
      </c>
      <c r="V160">
        <v>123128968.05</v>
      </c>
      <c r="W160">
        <v>24792596822.27</v>
      </c>
      <c r="X160">
        <v>24792596822.27</v>
      </c>
      <c r="Y160" t="s">
        <v>219</v>
      </c>
      <c r="Z160">
        <v>4475813453.3547497</v>
      </c>
      <c r="AA160">
        <v>0.75188429485753805</v>
      </c>
      <c r="AB160">
        <v>645167.09440570197</v>
      </c>
    </row>
    <row r="161" spans="1:28" x14ac:dyDescent="0.25">
      <c r="A161">
        <v>2018</v>
      </c>
      <c r="B161" t="s">
        <v>227</v>
      </c>
      <c r="C161">
        <v>5</v>
      </c>
      <c r="D161" t="s">
        <v>228</v>
      </c>
      <c r="E161">
        <v>2743812530.5226202</v>
      </c>
      <c r="F161">
        <v>2743812530.5226202</v>
      </c>
      <c r="G161">
        <v>1319969962.9363699</v>
      </c>
      <c r="H161">
        <v>1319969962.9363699</v>
      </c>
      <c r="I161">
        <v>1319969962.9363699</v>
      </c>
      <c r="J161">
        <v>1423842567.5862501</v>
      </c>
      <c r="K161" t="s">
        <v>219</v>
      </c>
      <c r="L161">
        <v>739697413.94803202</v>
      </c>
      <c r="M161" t="s">
        <v>219</v>
      </c>
      <c r="N161">
        <v>994.92978050136799</v>
      </c>
      <c r="O161" t="s">
        <v>219</v>
      </c>
      <c r="P161">
        <v>196164457.83216199</v>
      </c>
      <c r="Q161">
        <v>195600204.128777</v>
      </c>
      <c r="R161">
        <v>20820151.950039599</v>
      </c>
      <c r="S161">
        <v>55903094.766067103</v>
      </c>
      <c r="T161">
        <v>76723246.716106698</v>
      </c>
      <c r="U161">
        <v>203299356.97633201</v>
      </c>
      <c r="V161">
        <v>986212.51168125903</v>
      </c>
      <c r="W161">
        <v>1073776253.20854</v>
      </c>
      <c r="X161">
        <v>1073776253.20854</v>
      </c>
      <c r="Y161" t="s">
        <v>219</v>
      </c>
      <c r="Z161">
        <v>580272548.98834002</v>
      </c>
      <c r="AA161">
        <v>0.56038958061024302</v>
      </c>
      <c r="AB161">
        <v>1326696.6059365601</v>
      </c>
    </row>
    <row r="162" spans="1:28" x14ac:dyDescent="0.25">
      <c r="A162">
        <v>2018</v>
      </c>
      <c r="B162" t="s">
        <v>217</v>
      </c>
      <c r="C162">
        <v>5</v>
      </c>
      <c r="D162" t="s">
        <v>228</v>
      </c>
      <c r="E162">
        <v>570036849535.36304</v>
      </c>
      <c r="F162">
        <v>539642243987.48297</v>
      </c>
      <c r="G162">
        <v>197885329971.67599</v>
      </c>
      <c r="H162">
        <v>167490724423.79599</v>
      </c>
      <c r="I162">
        <v>167490724423.79599</v>
      </c>
      <c r="J162">
        <v>402546125111.56702</v>
      </c>
      <c r="K162">
        <v>60991837138.116203</v>
      </c>
      <c r="L162">
        <v>76120684622.310806</v>
      </c>
      <c r="M162">
        <v>11533437063.9865</v>
      </c>
      <c r="N162">
        <v>94566.085657075993</v>
      </c>
      <c r="O162" t="s">
        <v>219</v>
      </c>
      <c r="P162">
        <v>21403883661.212399</v>
      </c>
      <c r="Q162">
        <v>9398761236.7636108</v>
      </c>
      <c r="R162">
        <v>2344301120.1145501</v>
      </c>
      <c r="S162">
        <v>3875594513.7322798</v>
      </c>
      <c r="T162">
        <v>6219895633.8468304</v>
      </c>
      <c r="U162">
        <v>16454135974.9035</v>
      </c>
      <c r="V162">
        <v>1215222874.5782199</v>
      </c>
      <c r="W162">
        <v>230944653073.897</v>
      </c>
      <c r="X162">
        <v>230944653073.897</v>
      </c>
      <c r="Y162">
        <v>303469927276</v>
      </c>
      <c r="Z162">
        <v>121764645349.366</v>
      </c>
      <c r="AA162">
        <v>0.38467068091002998</v>
      </c>
      <c r="AB162">
        <v>2092561.28766148</v>
      </c>
    </row>
    <row r="163" spans="1:28" x14ac:dyDescent="0.25">
      <c r="A163">
        <v>2018</v>
      </c>
      <c r="B163" t="s">
        <v>220</v>
      </c>
      <c r="C163">
        <v>5</v>
      </c>
      <c r="D163" t="s">
        <v>228</v>
      </c>
      <c r="E163">
        <v>78339831542.144806</v>
      </c>
      <c r="F163">
        <v>78339831542.144806</v>
      </c>
      <c r="G163">
        <v>42774298150.408096</v>
      </c>
      <c r="H163">
        <v>42774298150.408096</v>
      </c>
      <c r="I163">
        <v>42774298150.408096</v>
      </c>
      <c r="J163">
        <v>35565533391.736702</v>
      </c>
      <c r="K163" t="s">
        <v>219</v>
      </c>
      <c r="L163">
        <v>17126252016.250999</v>
      </c>
      <c r="M163" t="s">
        <v>219</v>
      </c>
      <c r="N163">
        <v>15095.8252293306</v>
      </c>
      <c r="O163" t="s">
        <v>219</v>
      </c>
      <c r="P163">
        <v>12577353191.535101</v>
      </c>
      <c r="Q163">
        <v>7715298707.5128498</v>
      </c>
      <c r="R163">
        <v>32286050.246542301</v>
      </c>
      <c r="S163">
        <v>192390364.11613199</v>
      </c>
      <c r="T163">
        <v>224676414.36267501</v>
      </c>
      <c r="U163">
        <v>9099747577.3855495</v>
      </c>
      <c r="V163">
        <v>238769650.97203201</v>
      </c>
      <c r="W163">
        <v>190894960300.784</v>
      </c>
      <c r="X163">
        <v>190894960300.784</v>
      </c>
      <c r="Y163" t="s">
        <v>219</v>
      </c>
      <c r="Z163">
        <v>25648046134.157101</v>
      </c>
      <c r="AA163">
        <v>0.40038651145203202</v>
      </c>
      <c r="AB163">
        <v>2833518.3734970102</v>
      </c>
    </row>
    <row r="164" spans="1:28" x14ac:dyDescent="0.25">
      <c r="A164">
        <v>2018</v>
      </c>
      <c r="B164" t="s">
        <v>221</v>
      </c>
      <c r="C164">
        <v>5</v>
      </c>
      <c r="D164" t="s">
        <v>228</v>
      </c>
      <c r="E164">
        <v>324220872342.245</v>
      </c>
      <c r="F164">
        <v>310134043963.24103</v>
      </c>
      <c r="G164">
        <v>205671562185.07901</v>
      </c>
      <c r="H164">
        <v>191584733806.07501</v>
      </c>
      <c r="I164">
        <v>191584733806.07501</v>
      </c>
      <c r="J164">
        <v>132636138536.17</v>
      </c>
      <c r="K164" t="s">
        <v>219</v>
      </c>
      <c r="L164">
        <v>90901249122.1436</v>
      </c>
      <c r="M164" t="s">
        <v>219</v>
      </c>
      <c r="N164">
        <v>135287.45856013201</v>
      </c>
      <c r="O164" t="s">
        <v>219</v>
      </c>
      <c r="P164">
        <v>16089418083.823999</v>
      </c>
      <c r="Q164">
        <v>6041424835.5007</v>
      </c>
      <c r="R164">
        <v>1056838583.75482</v>
      </c>
      <c r="S164">
        <v>1715165302.18099</v>
      </c>
      <c r="T164">
        <v>2772003885.9358101</v>
      </c>
      <c r="U164">
        <v>9646830343.1230297</v>
      </c>
      <c r="V164">
        <v>768867954.49333894</v>
      </c>
      <c r="W164">
        <v>100518380872.862</v>
      </c>
      <c r="X164">
        <v>100518380872.862</v>
      </c>
      <c r="Y164" t="s">
        <v>219</v>
      </c>
      <c r="Z164">
        <v>114770313062.935</v>
      </c>
      <c r="AA164">
        <v>0.44197286273512099</v>
      </c>
      <c r="AB164">
        <v>1520255.93779384</v>
      </c>
    </row>
    <row r="165" spans="1:28" x14ac:dyDescent="0.25">
      <c r="A165">
        <v>2018</v>
      </c>
      <c r="B165" t="s">
        <v>222</v>
      </c>
      <c r="C165">
        <v>5</v>
      </c>
      <c r="D165" t="s">
        <v>228</v>
      </c>
      <c r="E165">
        <v>274361537648.27701</v>
      </c>
      <c r="F165">
        <v>274337765905.026</v>
      </c>
      <c r="G165">
        <v>124797665545.19901</v>
      </c>
      <c r="H165">
        <v>124773893801.948</v>
      </c>
      <c r="I165">
        <v>124773893801.948</v>
      </c>
      <c r="J165">
        <v>149587643846.32901</v>
      </c>
      <c r="K165" t="s">
        <v>219</v>
      </c>
      <c r="L165">
        <v>69742900315.8983</v>
      </c>
      <c r="M165" t="s">
        <v>219</v>
      </c>
      <c r="N165">
        <v>77745.271533327905</v>
      </c>
      <c r="O165" t="s">
        <v>219</v>
      </c>
      <c r="P165">
        <v>34577901253.812202</v>
      </c>
      <c r="Q165">
        <v>19761920715.054199</v>
      </c>
      <c r="R165">
        <v>8141247346.6072903</v>
      </c>
      <c r="S165">
        <v>6074474841.3051901</v>
      </c>
      <c r="T165">
        <v>14215722187.9125</v>
      </c>
      <c r="U165">
        <v>17349377876.800598</v>
      </c>
      <c r="V165">
        <v>149384035.76137701</v>
      </c>
      <c r="W165">
        <v>243660340496.901</v>
      </c>
      <c r="X165">
        <v>243660340496.901</v>
      </c>
      <c r="Y165" t="s">
        <v>219</v>
      </c>
      <c r="Z165">
        <v>55054765229.300903</v>
      </c>
      <c r="AA165">
        <v>0.55884779583988897</v>
      </c>
      <c r="AB165">
        <v>1605212.2924504899</v>
      </c>
    </row>
    <row r="166" spans="1:28" x14ac:dyDescent="0.25">
      <c r="A166">
        <v>2018</v>
      </c>
      <c r="B166" t="s">
        <v>223</v>
      </c>
      <c r="C166">
        <v>5</v>
      </c>
      <c r="D166" t="s">
        <v>228</v>
      </c>
      <c r="E166">
        <v>30561322775.483002</v>
      </c>
      <c r="F166">
        <v>30539725164.966202</v>
      </c>
      <c r="G166">
        <v>12686325159.4482</v>
      </c>
      <c r="H166">
        <v>12664727548.931299</v>
      </c>
      <c r="I166">
        <v>12664727548.931299</v>
      </c>
      <c r="J166">
        <v>17896595226.551701</v>
      </c>
      <c r="K166" t="s">
        <v>219</v>
      </c>
      <c r="L166">
        <v>10137105272.648001</v>
      </c>
      <c r="M166" t="s">
        <v>219</v>
      </c>
      <c r="N166">
        <v>27110.638846862599</v>
      </c>
      <c r="O166" t="s">
        <v>219</v>
      </c>
      <c r="P166">
        <v>1628004653.12449</v>
      </c>
      <c r="Q166">
        <v>1215103412.7110901</v>
      </c>
      <c r="R166">
        <v>100246012.363691</v>
      </c>
      <c r="S166">
        <v>38153252.3588541</v>
      </c>
      <c r="T166">
        <v>138399264.722545</v>
      </c>
      <c r="U166">
        <v>976001995.41724098</v>
      </c>
      <c r="V166">
        <v>158277543.67355999</v>
      </c>
      <c r="W166">
        <v>20484843733.255501</v>
      </c>
      <c r="X166">
        <v>20484843733.255501</v>
      </c>
      <c r="Y166" t="s">
        <v>219</v>
      </c>
      <c r="Z166">
        <v>2549219886.80024</v>
      </c>
      <c r="AA166">
        <v>0.79905765816654195</v>
      </c>
      <c r="AB166">
        <v>467946.37452508201</v>
      </c>
    </row>
    <row r="167" spans="1:28" x14ac:dyDescent="0.25">
      <c r="A167">
        <v>2018</v>
      </c>
      <c r="B167" t="s">
        <v>230</v>
      </c>
      <c r="C167">
        <v>5</v>
      </c>
      <c r="D167" t="s">
        <v>228</v>
      </c>
      <c r="E167">
        <v>50444563458.189003</v>
      </c>
      <c r="F167">
        <v>50444563458.189003</v>
      </c>
      <c r="G167">
        <v>23598806658.1632</v>
      </c>
      <c r="H167">
        <v>23598806658.1632</v>
      </c>
      <c r="I167">
        <v>23598806658.1632</v>
      </c>
      <c r="J167">
        <v>26845756800.025799</v>
      </c>
      <c r="K167" t="s">
        <v>219</v>
      </c>
      <c r="L167">
        <v>12016441095.1521</v>
      </c>
      <c r="M167" t="s">
        <v>219</v>
      </c>
      <c r="N167">
        <v>8436.6185622083794</v>
      </c>
      <c r="O167" t="s">
        <v>219</v>
      </c>
      <c r="P167">
        <v>351799066.41212797</v>
      </c>
      <c r="Q167">
        <v>191136402.265338</v>
      </c>
      <c r="R167">
        <v>3606232.2588043902</v>
      </c>
      <c r="S167">
        <v>14813691.873133199</v>
      </c>
      <c r="T167">
        <v>18419924.131937601</v>
      </c>
      <c r="U167">
        <v>398462987.73629099</v>
      </c>
      <c r="V167">
        <v>84428399.021947905</v>
      </c>
      <c r="W167">
        <v>2913487485.5046902</v>
      </c>
      <c r="X167">
        <v>2913487485.5046902</v>
      </c>
      <c r="Y167" t="s">
        <v>219</v>
      </c>
      <c r="Z167">
        <v>11582365563.0112</v>
      </c>
      <c r="AA167">
        <v>0.50919698055983498</v>
      </c>
      <c r="AB167">
        <v>2797187.8169144099</v>
      </c>
    </row>
    <row r="168" spans="1:28" x14ac:dyDescent="0.25">
      <c r="A168">
        <v>2018</v>
      </c>
      <c r="B168" t="s">
        <v>224</v>
      </c>
      <c r="C168">
        <v>5</v>
      </c>
      <c r="D168" t="s">
        <v>228</v>
      </c>
      <c r="E168">
        <v>125945442835.252</v>
      </c>
      <c r="F168">
        <v>125944286412.39101</v>
      </c>
      <c r="G168">
        <v>64760307206.195</v>
      </c>
      <c r="H168">
        <v>64759150783.333603</v>
      </c>
      <c r="I168">
        <v>64759150783.333603</v>
      </c>
      <c r="J168">
        <v>61186292051.918503</v>
      </c>
      <c r="K168" t="s">
        <v>219</v>
      </c>
      <c r="L168">
        <v>42724707255.2939</v>
      </c>
      <c r="M168" t="s">
        <v>219</v>
      </c>
      <c r="N168">
        <v>86112.048383152505</v>
      </c>
      <c r="O168" t="s">
        <v>219</v>
      </c>
      <c r="P168">
        <v>4057917354.1222801</v>
      </c>
      <c r="Q168">
        <v>2907397697.37637</v>
      </c>
      <c r="R168">
        <v>721242352.71953797</v>
      </c>
      <c r="S168">
        <v>1386280576.31183</v>
      </c>
      <c r="T168">
        <v>2107522929.0313699</v>
      </c>
      <c r="U168">
        <v>3833999511.0653601</v>
      </c>
      <c r="V168">
        <v>-399803079.246382</v>
      </c>
      <c r="W168">
        <v>24208502004.834801</v>
      </c>
      <c r="X168">
        <v>24208502004.834801</v>
      </c>
      <c r="Y168" t="s">
        <v>219</v>
      </c>
      <c r="Z168">
        <v>22035599950.901001</v>
      </c>
      <c r="AA168">
        <v>0.65973601884345101</v>
      </c>
      <c r="AB168">
        <v>752046.99484149204</v>
      </c>
    </row>
    <row r="169" spans="1:28" x14ac:dyDescent="0.25">
      <c r="A169">
        <v>2018</v>
      </c>
      <c r="B169" t="s">
        <v>225</v>
      </c>
      <c r="C169">
        <v>5</v>
      </c>
      <c r="D169" t="s">
        <v>228</v>
      </c>
      <c r="E169">
        <v>26111581536.718899</v>
      </c>
      <c r="F169">
        <v>26111581536.718899</v>
      </c>
      <c r="G169">
        <v>19903470535.1628</v>
      </c>
      <c r="H169">
        <v>19903470535.1628</v>
      </c>
      <c r="I169">
        <v>19903470535.1628</v>
      </c>
      <c r="J169">
        <v>6208111001.5561199</v>
      </c>
      <c r="K169" t="s">
        <v>219</v>
      </c>
      <c r="L169">
        <v>17590784305.780998</v>
      </c>
      <c r="M169" t="s">
        <v>219</v>
      </c>
      <c r="N169">
        <v>47307.372209572801</v>
      </c>
      <c r="O169" t="s">
        <v>219</v>
      </c>
      <c r="P169">
        <v>1115750373.5540099</v>
      </c>
      <c r="Q169">
        <v>289948735.235021</v>
      </c>
      <c r="R169">
        <v>13856859</v>
      </c>
      <c r="S169">
        <v>34558255.492886499</v>
      </c>
      <c r="T169">
        <v>48415114.492886499</v>
      </c>
      <c r="U169">
        <v>495586768.09455597</v>
      </c>
      <c r="V169">
        <v>5228027.1134574404</v>
      </c>
      <c r="W169">
        <v>14708213923.4863</v>
      </c>
      <c r="X169">
        <v>14708213923.4863</v>
      </c>
      <c r="Y169" t="s">
        <v>219</v>
      </c>
      <c r="Z169">
        <v>2312686229.3817601</v>
      </c>
      <c r="AA169">
        <v>0.883804875873481</v>
      </c>
      <c r="AB169">
        <v>420726.61417315499</v>
      </c>
    </row>
    <row r="170" spans="1:28" x14ac:dyDescent="0.25">
      <c r="A170">
        <v>2018</v>
      </c>
      <c r="B170" t="s">
        <v>226</v>
      </c>
      <c r="C170">
        <v>5</v>
      </c>
      <c r="D170" t="s">
        <v>228</v>
      </c>
      <c r="E170">
        <v>134645121559.25101</v>
      </c>
      <c r="F170">
        <v>134645121559.25101</v>
      </c>
      <c r="G170">
        <v>78261260189.613098</v>
      </c>
      <c r="H170">
        <v>78261260189.613098</v>
      </c>
      <c r="I170">
        <v>78261260189.613098</v>
      </c>
      <c r="J170">
        <v>56383861369.637703</v>
      </c>
      <c r="K170" t="s">
        <v>219</v>
      </c>
      <c r="L170">
        <v>71221189632.340698</v>
      </c>
      <c r="M170" t="s">
        <v>219</v>
      </c>
      <c r="N170">
        <v>99178.277286977303</v>
      </c>
      <c r="O170" t="s">
        <v>219</v>
      </c>
      <c r="P170">
        <v>3724177260.5104599</v>
      </c>
      <c r="Q170">
        <v>1191447663.81181</v>
      </c>
      <c r="R170">
        <v>3999454.9143392402</v>
      </c>
      <c r="S170">
        <v>272849023.50982797</v>
      </c>
      <c r="T170">
        <v>276848478.42416799</v>
      </c>
      <c r="U170">
        <v>2237092416.99582</v>
      </c>
      <c r="V170">
        <v>-50107259.642269596</v>
      </c>
      <c r="W170">
        <v>41975064199.5214</v>
      </c>
      <c r="X170">
        <v>41975064199.5214</v>
      </c>
      <c r="Y170" t="s">
        <v>219</v>
      </c>
      <c r="Z170">
        <v>7040070557.2724199</v>
      </c>
      <c r="AA170">
        <v>0.91004399187777496</v>
      </c>
      <c r="AB170">
        <v>789096.789442715</v>
      </c>
    </row>
    <row r="171" spans="1:28" x14ac:dyDescent="0.25">
      <c r="A171">
        <v>2018</v>
      </c>
      <c r="B171" t="s">
        <v>229</v>
      </c>
      <c r="C171">
        <v>5</v>
      </c>
      <c r="D171" t="s">
        <v>228</v>
      </c>
      <c r="E171">
        <v>41272749571.568703</v>
      </c>
      <c r="F171">
        <v>41272749571.568703</v>
      </c>
      <c r="G171">
        <v>18262514623.5779</v>
      </c>
      <c r="H171">
        <v>18262514623.5779</v>
      </c>
      <c r="I171">
        <v>18262514623.5779</v>
      </c>
      <c r="J171">
        <v>23010234947.990898</v>
      </c>
      <c r="K171" t="s">
        <v>219</v>
      </c>
      <c r="L171">
        <v>14269424366.2955</v>
      </c>
      <c r="M171" t="s">
        <v>219</v>
      </c>
      <c r="N171">
        <v>28259.169844747401</v>
      </c>
      <c r="O171" t="s">
        <v>219</v>
      </c>
      <c r="P171">
        <v>1915840614.7507999</v>
      </c>
      <c r="Q171">
        <v>630024357.14988697</v>
      </c>
      <c r="R171">
        <v>152830105</v>
      </c>
      <c r="S171">
        <v>68689886.960095897</v>
      </c>
      <c r="T171">
        <v>221519991.960096</v>
      </c>
      <c r="U171">
        <v>1445208280.0147099</v>
      </c>
      <c r="V171">
        <v>78633908.1009316</v>
      </c>
      <c r="W171">
        <v>26948041407.096401</v>
      </c>
      <c r="X171">
        <v>26948041407.096401</v>
      </c>
      <c r="Y171" t="s">
        <v>219</v>
      </c>
      <c r="Z171">
        <v>3993090257.28232</v>
      </c>
      <c r="AA171">
        <v>0.78135046900238803</v>
      </c>
      <c r="AB171">
        <v>646250.92399776797</v>
      </c>
    </row>
    <row r="172" spans="1:28" x14ac:dyDescent="0.25">
      <c r="A172">
        <v>2019</v>
      </c>
      <c r="B172" t="s">
        <v>227</v>
      </c>
      <c r="C172">
        <v>5</v>
      </c>
      <c r="D172" t="s">
        <v>228</v>
      </c>
      <c r="E172">
        <v>2792513855</v>
      </c>
      <c r="F172">
        <v>2792513855</v>
      </c>
      <c r="G172">
        <v>1359500699</v>
      </c>
      <c r="H172">
        <v>1359500699</v>
      </c>
      <c r="I172">
        <v>1359500699</v>
      </c>
      <c r="J172">
        <v>1433013156</v>
      </c>
      <c r="K172" t="s">
        <v>219</v>
      </c>
      <c r="L172">
        <v>782388178</v>
      </c>
      <c r="M172" t="s">
        <v>219</v>
      </c>
      <c r="N172">
        <v>1077</v>
      </c>
      <c r="O172" t="s">
        <v>219</v>
      </c>
      <c r="P172">
        <v>224751516</v>
      </c>
      <c r="Q172">
        <v>150003248</v>
      </c>
      <c r="R172">
        <v>0</v>
      </c>
      <c r="S172">
        <v>51663270</v>
      </c>
      <c r="T172">
        <v>51663270</v>
      </c>
      <c r="U172">
        <v>183268821.09498399</v>
      </c>
      <c r="V172">
        <v>4066452.6203238401</v>
      </c>
      <c r="W172">
        <v>1123260808</v>
      </c>
      <c r="X172">
        <v>1123260808</v>
      </c>
      <c r="Y172" t="s">
        <v>219</v>
      </c>
      <c r="Z172">
        <v>577112521</v>
      </c>
      <c r="AA172">
        <v>0.57549670888400195</v>
      </c>
      <c r="AB172">
        <v>1262303.34168988</v>
      </c>
    </row>
    <row r="173" spans="1:28" x14ac:dyDescent="0.25">
      <c r="A173">
        <v>2019</v>
      </c>
      <c r="B173" t="s">
        <v>217</v>
      </c>
      <c r="C173">
        <v>5</v>
      </c>
      <c r="D173" t="s">
        <v>228</v>
      </c>
      <c r="E173">
        <v>601651424497</v>
      </c>
      <c r="F173">
        <v>569209962569</v>
      </c>
      <c r="G173">
        <v>190772526038</v>
      </c>
      <c r="H173">
        <v>158331064110</v>
      </c>
      <c r="I173">
        <v>158331064110</v>
      </c>
      <c r="J173">
        <v>443320360387</v>
      </c>
      <c r="K173">
        <v>67169751573.787903</v>
      </c>
      <c r="L173">
        <v>80999471228</v>
      </c>
      <c r="M173">
        <v>12272647155.757601</v>
      </c>
      <c r="N173">
        <v>90481</v>
      </c>
      <c r="O173" t="s">
        <v>219</v>
      </c>
      <c r="P173">
        <v>30759048024</v>
      </c>
      <c r="Q173">
        <v>10582877554</v>
      </c>
      <c r="R173">
        <v>10715087960</v>
      </c>
      <c r="S173">
        <v>3917218825</v>
      </c>
      <c r="T173">
        <v>14632306785</v>
      </c>
      <c r="U173">
        <v>18470370583.307598</v>
      </c>
      <c r="V173">
        <v>1701376372.9667399</v>
      </c>
      <c r="W173">
        <v>259048160897</v>
      </c>
      <c r="X173">
        <v>259048160897</v>
      </c>
      <c r="Y173">
        <v>338490559626.54498</v>
      </c>
      <c r="Z173">
        <v>109773054810</v>
      </c>
      <c r="AA173">
        <v>0.42458666827038699</v>
      </c>
      <c r="AB173">
        <v>2108426.3661763198</v>
      </c>
    </row>
    <row r="174" spans="1:28" x14ac:dyDescent="0.25">
      <c r="A174">
        <v>2019</v>
      </c>
      <c r="B174" t="s">
        <v>220</v>
      </c>
      <c r="C174">
        <v>5</v>
      </c>
      <c r="D174" t="s">
        <v>228</v>
      </c>
      <c r="E174">
        <v>76653362346</v>
      </c>
      <c r="F174">
        <v>76653362346</v>
      </c>
      <c r="G174">
        <v>42338287037</v>
      </c>
      <c r="H174">
        <v>42338287037</v>
      </c>
      <c r="I174">
        <v>42338287037</v>
      </c>
      <c r="J174">
        <v>34315075309</v>
      </c>
      <c r="K174" t="s">
        <v>219</v>
      </c>
      <c r="L174">
        <v>18736098379</v>
      </c>
      <c r="M174" t="s">
        <v>219</v>
      </c>
      <c r="N174">
        <v>15007</v>
      </c>
      <c r="O174" t="s">
        <v>219</v>
      </c>
      <c r="P174">
        <v>17257694356</v>
      </c>
      <c r="Q174">
        <v>6320744166</v>
      </c>
      <c r="R174">
        <v>9176791</v>
      </c>
      <c r="S174">
        <v>135345644</v>
      </c>
      <c r="T174">
        <v>144522435</v>
      </c>
      <c r="U174">
        <v>9676260471.2673492</v>
      </c>
      <c r="V174">
        <v>276644574.35524601</v>
      </c>
      <c r="W174">
        <v>196509232840</v>
      </c>
      <c r="X174">
        <v>196509232840</v>
      </c>
      <c r="Y174" t="s">
        <v>219</v>
      </c>
      <c r="Z174">
        <v>23602188658</v>
      </c>
      <c r="AA174">
        <v>0.44253321733650403</v>
      </c>
      <c r="AB174">
        <v>2821235.8923835498</v>
      </c>
    </row>
    <row r="175" spans="1:28" x14ac:dyDescent="0.25">
      <c r="A175">
        <v>2019</v>
      </c>
      <c r="B175" t="s">
        <v>221</v>
      </c>
      <c r="C175">
        <v>5</v>
      </c>
      <c r="D175" t="s">
        <v>228</v>
      </c>
      <c r="E175">
        <v>346259338919</v>
      </c>
      <c r="F175">
        <v>330599411827</v>
      </c>
      <c r="G175">
        <v>214960191664</v>
      </c>
      <c r="H175">
        <v>199300264572</v>
      </c>
      <c r="I175">
        <v>199300264572</v>
      </c>
      <c r="J175">
        <v>146959074347</v>
      </c>
      <c r="K175" t="s">
        <v>219</v>
      </c>
      <c r="L175">
        <v>97673851447</v>
      </c>
      <c r="M175" t="s">
        <v>219</v>
      </c>
      <c r="N175">
        <v>132248</v>
      </c>
      <c r="O175" t="s">
        <v>219</v>
      </c>
      <c r="P175">
        <v>24036495992</v>
      </c>
      <c r="Q175">
        <v>6816516852</v>
      </c>
      <c r="R175">
        <v>1324832708</v>
      </c>
      <c r="S175">
        <v>3621252262</v>
      </c>
      <c r="T175">
        <v>4946084970</v>
      </c>
      <c r="U175">
        <v>11154001795.509501</v>
      </c>
      <c r="V175">
        <v>795857917.05745995</v>
      </c>
      <c r="W175">
        <v>123726596357</v>
      </c>
      <c r="X175">
        <v>123726596357</v>
      </c>
      <c r="Y175" t="s">
        <v>219</v>
      </c>
      <c r="Z175">
        <v>117286340217</v>
      </c>
      <c r="AA175">
        <v>0.45438111443290902</v>
      </c>
      <c r="AB175">
        <v>1625432.45768556</v>
      </c>
    </row>
    <row r="176" spans="1:28" x14ac:dyDescent="0.25">
      <c r="A176">
        <v>2019</v>
      </c>
      <c r="B176" t="s">
        <v>222</v>
      </c>
      <c r="C176">
        <v>5</v>
      </c>
      <c r="D176" t="s">
        <v>228</v>
      </c>
      <c r="E176">
        <v>324769107961</v>
      </c>
      <c r="F176">
        <v>324743839418</v>
      </c>
      <c r="G176">
        <v>144346141417</v>
      </c>
      <c r="H176">
        <v>144320872874</v>
      </c>
      <c r="I176">
        <v>144320872874</v>
      </c>
      <c r="J176">
        <v>180448235087</v>
      </c>
      <c r="K176" t="s">
        <v>219</v>
      </c>
      <c r="L176">
        <v>77600162963</v>
      </c>
      <c r="M176" t="s">
        <v>219</v>
      </c>
      <c r="N176">
        <v>77894</v>
      </c>
      <c r="O176" t="s">
        <v>219</v>
      </c>
      <c r="P176">
        <v>39379420189</v>
      </c>
      <c r="Q176">
        <v>14405333534</v>
      </c>
      <c r="R176">
        <v>3599248726</v>
      </c>
      <c r="S176">
        <v>5187789399</v>
      </c>
      <c r="T176">
        <v>8787038125</v>
      </c>
      <c r="U176">
        <v>19032830791.281399</v>
      </c>
      <c r="V176">
        <v>909895567.43731904</v>
      </c>
      <c r="W176">
        <v>275409325857</v>
      </c>
      <c r="X176">
        <v>275409325857</v>
      </c>
      <c r="Y176" t="s">
        <v>219</v>
      </c>
      <c r="Z176">
        <v>66745978454</v>
      </c>
      <c r="AA176">
        <v>0.53759776465947695</v>
      </c>
      <c r="AB176">
        <v>1853109.88544689</v>
      </c>
    </row>
    <row r="177" spans="1:28" x14ac:dyDescent="0.25">
      <c r="A177">
        <v>2019</v>
      </c>
      <c r="B177" t="s">
        <v>223</v>
      </c>
      <c r="C177">
        <v>5</v>
      </c>
      <c r="D177" t="s">
        <v>228</v>
      </c>
      <c r="E177">
        <v>31198217196</v>
      </c>
      <c r="F177">
        <v>31151163727</v>
      </c>
      <c r="G177">
        <v>13307352085</v>
      </c>
      <c r="H177">
        <v>13260298617</v>
      </c>
      <c r="I177">
        <v>13260298617</v>
      </c>
      <c r="J177">
        <v>17937918579</v>
      </c>
      <c r="K177" t="s">
        <v>219</v>
      </c>
      <c r="L177">
        <v>10466313095</v>
      </c>
      <c r="M177" t="s">
        <v>219</v>
      </c>
      <c r="N177">
        <v>24942</v>
      </c>
      <c r="O177" t="s">
        <v>219</v>
      </c>
      <c r="P177">
        <v>1103182994</v>
      </c>
      <c r="Q177">
        <v>484735323</v>
      </c>
      <c r="R177">
        <v>1042892</v>
      </c>
      <c r="S177">
        <v>24276971</v>
      </c>
      <c r="T177">
        <v>25319863</v>
      </c>
      <c r="U177">
        <v>1083759113.7968199</v>
      </c>
      <c r="V177">
        <v>144013298.30387199</v>
      </c>
      <c r="W177">
        <v>19227753627</v>
      </c>
      <c r="X177">
        <v>19227753627</v>
      </c>
      <c r="Y177" t="s">
        <v>219</v>
      </c>
      <c r="Z177">
        <v>2841038990</v>
      </c>
      <c r="AA177">
        <v>0.78650606282504498</v>
      </c>
      <c r="AB177">
        <v>533531.87735546497</v>
      </c>
    </row>
    <row r="178" spans="1:28" x14ac:dyDescent="0.25">
      <c r="A178">
        <v>2019</v>
      </c>
      <c r="B178" t="s">
        <v>230</v>
      </c>
      <c r="C178">
        <v>5</v>
      </c>
      <c r="D178" t="s">
        <v>228</v>
      </c>
      <c r="E178">
        <v>51155893920</v>
      </c>
      <c r="F178">
        <v>51155893920</v>
      </c>
      <c r="G178">
        <v>23487643650</v>
      </c>
      <c r="H178">
        <v>23487643650</v>
      </c>
      <c r="I178">
        <v>23487643650</v>
      </c>
      <c r="J178">
        <v>27668250270</v>
      </c>
      <c r="K178" t="s">
        <v>219</v>
      </c>
      <c r="L178">
        <v>12433823271</v>
      </c>
      <c r="M178" t="s">
        <v>219</v>
      </c>
      <c r="N178">
        <v>7797</v>
      </c>
      <c r="O178" t="s">
        <v>219</v>
      </c>
      <c r="P178">
        <v>1177543463</v>
      </c>
      <c r="Q178">
        <v>223804876</v>
      </c>
      <c r="R178">
        <v>6620242</v>
      </c>
      <c r="S178">
        <v>18330417</v>
      </c>
      <c r="T178">
        <v>24950659</v>
      </c>
      <c r="U178">
        <v>548868229.11234999</v>
      </c>
      <c r="V178">
        <v>80359890.277480096</v>
      </c>
      <c r="W178">
        <v>3891154127</v>
      </c>
      <c r="X178">
        <v>3891154127</v>
      </c>
      <c r="Y178" t="s">
        <v>219</v>
      </c>
      <c r="Z178">
        <v>11053820379</v>
      </c>
      <c r="AA178">
        <v>0.52937721025923301</v>
      </c>
      <c r="AB178">
        <v>3012394.9788380102</v>
      </c>
    </row>
    <row r="179" spans="1:28" x14ac:dyDescent="0.25">
      <c r="A179">
        <v>2019</v>
      </c>
      <c r="B179" t="s">
        <v>224</v>
      </c>
      <c r="C179">
        <v>5</v>
      </c>
      <c r="D179" t="s">
        <v>228</v>
      </c>
      <c r="E179">
        <v>133974118242</v>
      </c>
      <c r="F179">
        <v>133973395711</v>
      </c>
      <c r="G179">
        <v>67148857099</v>
      </c>
      <c r="H179">
        <v>67148134567</v>
      </c>
      <c r="I179">
        <v>67148134567</v>
      </c>
      <c r="J179">
        <v>66825983675</v>
      </c>
      <c r="K179" t="s">
        <v>219</v>
      </c>
      <c r="L179">
        <v>44810823556</v>
      </c>
      <c r="M179" t="s">
        <v>219</v>
      </c>
      <c r="N179">
        <v>84479</v>
      </c>
      <c r="O179" t="s">
        <v>219</v>
      </c>
      <c r="P179">
        <v>4382756704</v>
      </c>
      <c r="Q179">
        <v>2826325593</v>
      </c>
      <c r="R179">
        <v>603235166</v>
      </c>
      <c r="S179">
        <v>1441453798</v>
      </c>
      <c r="T179">
        <v>2044688964</v>
      </c>
      <c r="U179">
        <v>4022301892.8920498</v>
      </c>
      <c r="V179">
        <v>-448265315.47743601</v>
      </c>
      <c r="W179">
        <v>23901896485</v>
      </c>
      <c r="X179">
        <v>23901896485</v>
      </c>
      <c r="Y179" t="s">
        <v>219</v>
      </c>
      <c r="Z179">
        <v>22338033543</v>
      </c>
      <c r="AA179">
        <v>0.66733561064090496</v>
      </c>
      <c r="AB179">
        <v>794858.56957350299</v>
      </c>
    </row>
    <row r="180" spans="1:28" x14ac:dyDescent="0.25">
      <c r="A180">
        <v>2019</v>
      </c>
      <c r="B180" t="s">
        <v>225</v>
      </c>
      <c r="C180">
        <v>5</v>
      </c>
      <c r="D180" t="s">
        <v>228</v>
      </c>
      <c r="E180">
        <v>28739114260</v>
      </c>
      <c r="F180">
        <v>28739114260</v>
      </c>
      <c r="G180">
        <v>21925923533</v>
      </c>
      <c r="H180">
        <v>21925923533</v>
      </c>
      <c r="I180">
        <v>21925923533</v>
      </c>
      <c r="J180">
        <v>6813190727</v>
      </c>
      <c r="K180" t="s">
        <v>219</v>
      </c>
      <c r="L180">
        <v>19553982242</v>
      </c>
      <c r="M180" t="s">
        <v>219</v>
      </c>
      <c r="N180">
        <v>49187</v>
      </c>
      <c r="O180" t="s">
        <v>219</v>
      </c>
      <c r="P180">
        <v>1742923683</v>
      </c>
      <c r="Q180">
        <v>346898609</v>
      </c>
      <c r="R180">
        <v>18176692</v>
      </c>
      <c r="S180">
        <v>46476947</v>
      </c>
      <c r="T180">
        <v>64653639</v>
      </c>
      <c r="U180">
        <v>569481256.85768294</v>
      </c>
      <c r="V180">
        <v>4519372.9407248497</v>
      </c>
      <c r="W180">
        <v>15743202441</v>
      </c>
      <c r="X180">
        <v>15743202441</v>
      </c>
      <c r="Y180" t="s">
        <v>219</v>
      </c>
      <c r="Z180">
        <v>2371941291</v>
      </c>
      <c r="AA180">
        <v>0.89182023336758998</v>
      </c>
      <c r="AB180">
        <v>445766.63616402698</v>
      </c>
    </row>
    <row r="181" spans="1:28" x14ac:dyDescent="0.25">
      <c r="A181">
        <v>2019</v>
      </c>
      <c r="B181" t="s">
        <v>226</v>
      </c>
      <c r="C181">
        <v>5</v>
      </c>
      <c r="D181" t="s">
        <v>228</v>
      </c>
      <c r="E181">
        <v>146262233060</v>
      </c>
      <c r="F181">
        <v>146262233060</v>
      </c>
      <c r="G181">
        <v>83663722467</v>
      </c>
      <c r="H181">
        <v>83663722467</v>
      </c>
      <c r="I181">
        <v>83663722467</v>
      </c>
      <c r="J181">
        <v>62598510593</v>
      </c>
      <c r="K181" t="s">
        <v>219</v>
      </c>
      <c r="L181">
        <v>77184397450</v>
      </c>
      <c r="M181" t="s">
        <v>219</v>
      </c>
      <c r="N181">
        <v>99040</v>
      </c>
      <c r="O181" t="s">
        <v>219</v>
      </c>
      <c r="P181">
        <v>6335960827</v>
      </c>
      <c r="Q181">
        <v>1627365716</v>
      </c>
      <c r="R181">
        <v>15151499</v>
      </c>
      <c r="S181">
        <v>310580050</v>
      </c>
      <c r="T181">
        <v>325731549</v>
      </c>
      <c r="U181">
        <v>2362532698.0666699</v>
      </c>
      <c r="V181">
        <v>-58370739.098807</v>
      </c>
      <c r="W181">
        <v>46540068019</v>
      </c>
      <c r="X181">
        <v>46540068019</v>
      </c>
      <c r="Y181" t="s">
        <v>219</v>
      </c>
      <c r="Z181">
        <v>6479325017</v>
      </c>
      <c r="AA181">
        <v>0.92255514306627096</v>
      </c>
      <c r="AB181">
        <v>844746.79389135703</v>
      </c>
    </row>
    <row r="182" spans="1:28" x14ac:dyDescent="0.25">
      <c r="A182">
        <v>2019</v>
      </c>
      <c r="B182" t="s">
        <v>229</v>
      </c>
      <c r="C182">
        <v>5</v>
      </c>
      <c r="D182" t="s">
        <v>228</v>
      </c>
      <c r="E182">
        <v>47047831670</v>
      </c>
      <c r="F182">
        <v>47047831668</v>
      </c>
      <c r="G182">
        <v>21005138755</v>
      </c>
      <c r="H182">
        <v>21005138753</v>
      </c>
      <c r="I182">
        <v>21005138753</v>
      </c>
      <c r="J182">
        <v>26042692917</v>
      </c>
      <c r="K182" t="s">
        <v>219</v>
      </c>
      <c r="L182">
        <v>16023388043</v>
      </c>
      <c r="M182" t="s">
        <v>219</v>
      </c>
      <c r="N182">
        <v>29785</v>
      </c>
      <c r="O182" t="s">
        <v>219</v>
      </c>
      <c r="P182">
        <v>2486729876</v>
      </c>
      <c r="Q182">
        <v>1123280162</v>
      </c>
      <c r="R182">
        <v>205229005</v>
      </c>
      <c r="S182">
        <v>83423437</v>
      </c>
      <c r="T182">
        <v>288652442</v>
      </c>
      <c r="U182">
        <v>1620779051.7648799</v>
      </c>
      <c r="V182">
        <v>102694811.637061</v>
      </c>
      <c r="W182">
        <v>30876514661</v>
      </c>
      <c r="X182">
        <v>30876514661</v>
      </c>
      <c r="Y182" t="s">
        <v>219</v>
      </c>
      <c r="Z182">
        <v>4981750712</v>
      </c>
      <c r="AA182">
        <v>0.76283181129597799</v>
      </c>
      <c r="AB182">
        <v>705225.40725197201</v>
      </c>
    </row>
    <row r="183" spans="1:28" x14ac:dyDescent="0.25">
      <c r="A183">
        <v>2020</v>
      </c>
      <c r="B183" t="s">
        <v>227</v>
      </c>
      <c r="C183">
        <v>5</v>
      </c>
      <c r="D183" t="s">
        <v>228</v>
      </c>
      <c r="E183">
        <v>2476076698.9632301</v>
      </c>
      <c r="F183">
        <v>2476076698.9632301</v>
      </c>
      <c r="G183">
        <v>1178572424.4089401</v>
      </c>
      <c r="H183">
        <v>1178572424.4089401</v>
      </c>
      <c r="I183">
        <v>1178572424.4089401</v>
      </c>
      <c r="J183">
        <v>1297504274.5542901</v>
      </c>
      <c r="K183" t="s">
        <v>219</v>
      </c>
      <c r="L183">
        <v>740604801.38792598</v>
      </c>
      <c r="M183" t="s">
        <v>219</v>
      </c>
      <c r="N183">
        <v>886.03589042291401</v>
      </c>
      <c r="O183">
        <v>40</v>
      </c>
      <c r="P183">
        <v>387600431.25253397</v>
      </c>
      <c r="Q183">
        <v>295889409.71460497</v>
      </c>
      <c r="R183">
        <v>0</v>
      </c>
      <c r="S183">
        <v>144884710.894851</v>
      </c>
      <c r="T183">
        <v>144884710.894851</v>
      </c>
      <c r="U183">
        <v>210850943.068589</v>
      </c>
      <c r="V183">
        <v>13781662.1496065</v>
      </c>
      <c r="W183">
        <v>1331679908.53198</v>
      </c>
      <c r="X183">
        <v>1331679908.53198</v>
      </c>
      <c r="Y183" t="s">
        <v>219</v>
      </c>
      <c r="Z183">
        <v>437967623.02101499</v>
      </c>
      <c r="AA183">
        <v>0.62839142173154305</v>
      </c>
      <c r="AB183">
        <v>1330163.30054801</v>
      </c>
    </row>
    <row r="184" spans="1:28" x14ac:dyDescent="0.25">
      <c r="A184">
        <v>2020</v>
      </c>
      <c r="B184" t="s">
        <v>217</v>
      </c>
      <c r="C184">
        <v>5</v>
      </c>
      <c r="D184" t="s">
        <v>228</v>
      </c>
      <c r="E184">
        <v>600817528391.49805</v>
      </c>
      <c r="F184">
        <v>569255108499.03101</v>
      </c>
      <c r="G184">
        <v>182963110731.009</v>
      </c>
      <c r="H184">
        <v>151400690838.54199</v>
      </c>
      <c r="I184">
        <v>151400690838.54199</v>
      </c>
      <c r="J184">
        <v>449416837552.95599</v>
      </c>
      <c r="K184">
        <v>68093460235.296402</v>
      </c>
      <c r="L184">
        <v>78278216489.303406</v>
      </c>
      <c r="M184">
        <v>11860335831.712601</v>
      </c>
      <c r="N184">
        <v>84764.464740720796</v>
      </c>
      <c r="O184">
        <v>1759</v>
      </c>
      <c r="P184">
        <v>40941559983.906898</v>
      </c>
      <c r="Q184">
        <v>9808505040.4488697</v>
      </c>
      <c r="R184">
        <v>3275448937.7523799</v>
      </c>
      <c r="S184">
        <v>2709351603.15066</v>
      </c>
      <c r="T184">
        <v>5984800540.9030504</v>
      </c>
      <c r="U184">
        <v>19749525803.3465</v>
      </c>
      <c r="V184">
        <v>-1827346818.60041</v>
      </c>
      <c r="W184">
        <v>296322600807.052</v>
      </c>
      <c r="X184">
        <v>296322600807.052</v>
      </c>
      <c r="Y184">
        <v>376276396874.06097</v>
      </c>
      <c r="Z184">
        <v>104684894241.705</v>
      </c>
      <c r="AA184">
        <v>0.42783606037605898</v>
      </c>
      <c r="AB184">
        <v>2158488.3629084402</v>
      </c>
    </row>
    <row r="185" spans="1:28" x14ac:dyDescent="0.25">
      <c r="A185">
        <v>2020</v>
      </c>
      <c r="B185" t="s">
        <v>220</v>
      </c>
      <c r="C185">
        <v>5</v>
      </c>
      <c r="D185" t="s">
        <v>228</v>
      </c>
      <c r="E185">
        <v>85982814000.805206</v>
      </c>
      <c r="F185">
        <v>85982814000.805206</v>
      </c>
      <c r="G185">
        <v>38001825069.015099</v>
      </c>
      <c r="H185">
        <v>38001825069.015099</v>
      </c>
      <c r="I185">
        <v>38001825069.015099</v>
      </c>
      <c r="J185">
        <v>47980988931.790199</v>
      </c>
      <c r="K185" t="s">
        <v>219</v>
      </c>
      <c r="L185">
        <v>19244127478.669102</v>
      </c>
      <c r="M185" t="s">
        <v>219</v>
      </c>
      <c r="N185">
        <v>14595.190706808</v>
      </c>
      <c r="O185">
        <v>95</v>
      </c>
      <c r="P185">
        <v>14080786427.6507</v>
      </c>
      <c r="Q185">
        <v>7539948676.2131796</v>
      </c>
      <c r="R185">
        <v>39713971.036851101</v>
      </c>
      <c r="S185">
        <v>44137641.791405603</v>
      </c>
      <c r="T185">
        <v>83851612.828256696</v>
      </c>
      <c r="U185">
        <v>9899160327.0946903</v>
      </c>
      <c r="V185">
        <v>337259179.57768202</v>
      </c>
      <c r="W185">
        <v>199240174545.10999</v>
      </c>
      <c r="X185">
        <v>199240174545.10999</v>
      </c>
      <c r="Y185" t="s">
        <v>219</v>
      </c>
      <c r="Z185">
        <v>18757697590.346001</v>
      </c>
      <c r="AA185">
        <v>0.50640008588323904</v>
      </c>
      <c r="AB185">
        <v>2603722.4064012398</v>
      </c>
    </row>
    <row r="186" spans="1:28" x14ac:dyDescent="0.25">
      <c r="A186">
        <v>2020</v>
      </c>
      <c r="B186" t="s">
        <v>221</v>
      </c>
      <c r="C186">
        <v>5</v>
      </c>
      <c r="D186" t="s">
        <v>228</v>
      </c>
      <c r="E186">
        <v>386701941780.263</v>
      </c>
      <c r="F186">
        <v>365338224750.05499</v>
      </c>
      <c r="G186">
        <v>241118967544.54901</v>
      </c>
      <c r="H186">
        <v>219755250514.34201</v>
      </c>
      <c r="I186">
        <v>219755250514.34201</v>
      </c>
      <c r="J186">
        <v>166946691265.92099</v>
      </c>
      <c r="K186" t="s">
        <v>219</v>
      </c>
      <c r="L186">
        <v>95988303066.6241</v>
      </c>
      <c r="M186" t="s">
        <v>219</v>
      </c>
      <c r="N186">
        <v>127799.594136732</v>
      </c>
      <c r="O186">
        <v>3552</v>
      </c>
      <c r="P186">
        <v>18619182864.6824</v>
      </c>
      <c r="Q186">
        <v>6890549764.1347704</v>
      </c>
      <c r="R186">
        <v>1717856318.35151</v>
      </c>
      <c r="S186">
        <v>2851629979.83815</v>
      </c>
      <c r="T186">
        <v>4569486298.1896601</v>
      </c>
      <c r="U186">
        <v>13164447858.7215</v>
      </c>
      <c r="V186">
        <v>928328653.72195899</v>
      </c>
      <c r="W186">
        <v>142030804680.42899</v>
      </c>
      <c r="X186">
        <v>142030804680.42899</v>
      </c>
      <c r="Y186" t="s">
        <v>219</v>
      </c>
      <c r="Z186">
        <v>145130664477.92499</v>
      </c>
      <c r="AA186">
        <v>0.39809519775290703</v>
      </c>
      <c r="AB186">
        <v>1886695.8786001899</v>
      </c>
    </row>
    <row r="187" spans="1:28" x14ac:dyDescent="0.25">
      <c r="A187">
        <v>2020</v>
      </c>
      <c r="B187" t="s">
        <v>222</v>
      </c>
      <c r="C187">
        <v>5</v>
      </c>
      <c r="D187" t="s">
        <v>228</v>
      </c>
      <c r="E187">
        <v>283275552258.85101</v>
      </c>
      <c r="F187">
        <v>283250577948.763</v>
      </c>
      <c r="G187">
        <v>127047837676.55901</v>
      </c>
      <c r="H187">
        <v>127022863366.47099</v>
      </c>
      <c r="I187">
        <v>127022863366.47099</v>
      </c>
      <c r="J187">
        <v>156252688892.379</v>
      </c>
      <c r="K187" t="s">
        <v>219</v>
      </c>
      <c r="L187">
        <v>69614073776.486801</v>
      </c>
      <c r="M187" t="s">
        <v>219</v>
      </c>
      <c r="N187">
        <v>65989.552143263907</v>
      </c>
      <c r="O187">
        <v>1381</v>
      </c>
      <c r="P187">
        <v>22737288177.438999</v>
      </c>
      <c r="Q187">
        <v>14052263558.894699</v>
      </c>
      <c r="R187">
        <v>4520085265.5369902</v>
      </c>
      <c r="S187">
        <v>4860042551.7875795</v>
      </c>
      <c r="T187">
        <v>9380127817.3245697</v>
      </c>
      <c r="U187">
        <v>16388964939.3302</v>
      </c>
      <c r="V187">
        <v>567702124.94070005</v>
      </c>
      <c r="W187">
        <v>177682816944.077</v>
      </c>
      <c r="X187">
        <v>177682816944.077</v>
      </c>
      <c r="Y187" t="s">
        <v>219</v>
      </c>
      <c r="Z187">
        <v>57433763900.072098</v>
      </c>
      <c r="AA187">
        <v>0.54793591964714705</v>
      </c>
      <c r="AB187">
        <v>1925272.0097378001</v>
      </c>
    </row>
    <row r="188" spans="1:28" x14ac:dyDescent="0.25">
      <c r="A188">
        <v>2020</v>
      </c>
      <c r="B188" t="s">
        <v>223</v>
      </c>
      <c r="C188">
        <v>5</v>
      </c>
      <c r="D188" t="s">
        <v>228</v>
      </c>
      <c r="E188">
        <v>23342830997.015301</v>
      </c>
      <c r="F188">
        <v>23334490449.015301</v>
      </c>
      <c r="G188">
        <v>7454330321.0908298</v>
      </c>
      <c r="H188">
        <v>7445989773.0908298</v>
      </c>
      <c r="I188">
        <v>7445989773.0908298</v>
      </c>
      <c r="J188">
        <v>15896841223.9245</v>
      </c>
      <c r="K188" t="s">
        <v>219</v>
      </c>
      <c r="L188">
        <v>6232911619.3096304</v>
      </c>
      <c r="M188" t="s">
        <v>219</v>
      </c>
      <c r="N188">
        <v>16992.0677827898</v>
      </c>
      <c r="O188">
        <v>912</v>
      </c>
      <c r="P188">
        <v>1236378090.29549</v>
      </c>
      <c r="Q188">
        <v>509413113.49670899</v>
      </c>
      <c r="R188">
        <v>2953026.1599670998</v>
      </c>
      <c r="S188">
        <v>63681232.431231201</v>
      </c>
      <c r="T188">
        <v>66634258.591198303</v>
      </c>
      <c r="U188">
        <v>1069312160.69069</v>
      </c>
      <c r="V188">
        <v>68514281.997187495</v>
      </c>
      <c r="W188">
        <v>20682358936.2645</v>
      </c>
      <c r="X188">
        <v>20682358936.2645</v>
      </c>
      <c r="Y188" t="s">
        <v>219</v>
      </c>
      <c r="Z188">
        <v>1221418701.7811999</v>
      </c>
      <c r="AA188">
        <v>0.83614642105067505</v>
      </c>
      <c r="AB188">
        <v>438694.71428550099</v>
      </c>
    </row>
    <row r="189" spans="1:28" x14ac:dyDescent="0.25">
      <c r="A189">
        <v>2020</v>
      </c>
      <c r="B189" t="s">
        <v>230</v>
      </c>
      <c r="C189">
        <v>5</v>
      </c>
      <c r="D189" t="s">
        <v>228</v>
      </c>
      <c r="E189">
        <v>48722164626.395103</v>
      </c>
      <c r="F189">
        <v>48722164626.395103</v>
      </c>
      <c r="G189">
        <v>22850012236.734299</v>
      </c>
      <c r="H189">
        <v>22850012236.734299</v>
      </c>
      <c r="I189">
        <v>22850012236.734299</v>
      </c>
      <c r="J189">
        <v>25872152389.660801</v>
      </c>
      <c r="K189" t="s">
        <v>219</v>
      </c>
      <c r="L189">
        <v>12512124636.372101</v>
      </c>
      <c r="M189" t="s">
        <v>219</v>
      </c>
      <c r="N189">
        <v>7516.4355771541304</v>
      </c>
      <c r="O189">
        <v>139</v>
      </c>
      <c r="P189">
        <v>760413938.92212605</v>
      </c>
      <c r="Q189">
        <v>345589598.737571</v>
      </c>
      <c r="R189">
        <v>10590529.978241701</v>
      </c>
      <c r="S189">
        <v>50293511.937618598</v>
      </c>
      <c r="T189">
        <v>60884041.915860303</v>
      </c>
      <c r="U189">
        <v>623330776.13919306</v>
      </c>
      <c r="V189">
        <v>67940045.950035095</v>
      </c>
      <c r="W189">
        <v>3168037311.33676</v>
      </c>
      <c r="X189">
        <v>3168037311.33676</v>
      </c>
      <c r="Y189" t="s">
        <v>219</v>
      </c>
      <c r="Z189">
        <v>10337887600.3622</v>
      </c>
      <c r="AA189">
        <v>0.54757627727906599</v>
      </c>
      <c r="AB189">
        <v>3040006.3969397801</v>
      </c>
    </row>
    <row r="190" spans="1:28" x14ac:dyDescent="0.25">
      <c r="A190">
        <v>2020</v>
      </c>
      <c r="B190" t="s">
        <v>224</v>
      </c>
      <c r="C190">
        <v>5</v>
      </c>
      <c r="D190" t="s">
        <v>228</v>
      </c>
      <c r="E190">
        <v>138467176788.38</v>
      </c>
      <c r="F190">
        <v>138467176786.38</v>
      </c>
      <c r="G190">
        <v>85676769160.426895</v>
      </c>
      <c r="H190">
        <v>85676769158.426895</v>
      </c>
      <c r="I190">
        <v>85676769158.426895</v>
      </c>
      <c r="J190">
        <v>52790407629.952698</v>
      </c>
      <c r="K190" t="s">
        <v>219</v>
      </c>
      <c r="L190">
        <v>48979845822.5439</v>
      </c>
      <c r="M190" t="s">
        <v>219</v>
      </c>
      <c r="N190">
        <v>84506.339010769807</v>
      </c>
      <c r="O190">
        <v>1488</v>
      </c>
      <c r="P190">
        <v>10182011019.153601</v>
      </c>
      <c r="Q190">
        <v>3356580295.7007699</v>
      </c>
      <c r="R190">
        <v>1432993363.35373</v>
      </c>
      <c r="S190">
        <v>1711970623.1912501</v>
      </c>
      <c r="T190">
        <v>3144963986.54498</v>
      </c>
      <c r="U190">
        <v>5010334295.1124697</v>
      </c>
      <c r="V190">
        <v>-99710834.204611003</v>
      </c>
      <c r="W190">
        <v>90500547758.288498</v>
      </c>
      <c r="X190">
        <v>90500547758.288498</v>
      </c>
      <c r="Y190" t="s">
        <v>219</v>
      </c>
      <c r="Z190">
        <v>36696923337.883003</v>
      </c>
      <c r="AA190">
        <v>0.57168175577245195</v>
      </c>
      <c r="AB190">
        <v>1013850.20536161</v>
      </c>
    </row>
    <row r="191" spans="1:28" x14ac:dyDescent="0.25">
      <c r="A191">
        <v>2020</v>
      </c>
      <c r="B191" t="s">
        <v>225</v>
      </c>
      <c r="C191">
        <v>5</v>
      </c>
      <c r="D191" t="s">
        <v>228</v>
      </c>
      <c r="E191">
        <v>28138082962.438099</v>
      </c>
      <c r="F191">
        <v>28138082962.438099</v>
      </c>
      <c r="G191">
        <v>20636882968.641201</v>
      </c>
      <c r="H191">
        <v>20636882968.641201</v>
      </c>
      <c r="I191">
        <v>20636882968.641201</v>
      </c>
      <c r="J191">
        <v>7501199993.7969103</v>
      </c>
      <c r="K191" t="s">
        <v>219</v>
      </c>
      <c r="L191">
        <v>18145753020.7882</v>
      </c>
      <c r="M191" t="s">
        <v>219</v>
      </c>
      <c r="N191">
        <v>43648.616063617599</v>
      </c>
      <c r="O191">
        <v>871</v>
      </c>
      <c r="P191">
        <v>1291629563.0037899</v>
      </c>
      <c r="Q191">
        <v>183741538.46448001</v>
      </c>
      <c r="R191">
        <v>28158317.412257399</v>
      </c>
      <c r="S191">
        <v>30361081.5627423</v>
      </c>
      <c r="T191">
        <v>58519398.974999703</v>
      </c>
      <c r="U191">
        <v>494762127.532462</v>
      </c>
      <c r="V191">
        <v>12762314.638120599</v>
      </c>
      <c r="W191">
        <v>16252545403.187901</v>
      </c>
      <c r="X191">
        <v>16252545403.187901</v>
      </c>
      <c r="Y191" t="s">
        <v>219</v>
      </c>
      <c r="Z191">
        <v>2491129947.8529902</v>
      </c>
      <c r="AA191">
        <v>0.87928748970285897</v>
      </c>
      <c r="AB191">
        <v>472795.81415738398</v>
      </c>
    </row>
    <row r="192" spans="1:28" x14ac:dyDescent="0.25">
      <c r="A192">
        <v>2020</v>
      </c>
      <c r="B192" t="s">
        <v>226</v>
      </c>
      <c r="C192">
        <v>5</v>
      </c>
      <c r="D192" t="s">
        <v>228</v>
      </c>
      <c r="E192">
        <v>156709782250.521</v>
      </c>
      <c r="F192">
        <v>156709782250.521</v>
      </c>
      <c r="G192">
        <v>90735237410.499802</v>
      </c>
      <c r="H192">
        <v>90735237410.499802</v>
      </c>
      <c r="I192">
        <v>90735237410.499802</v>
      </c>
      <c r="J192">
        <v>65974544840.021202</v>
      </c>
      <c r="K192" t="s">
        <v>219</v>
      </c>
      <c r="L192">
        <v>81808060721.763</v>
      </c>
      <c r="M192" t="s">
        <v>219</v>
      </c>
      <c r="N192">
        <v>98293.213101692803</v>
      </c>
      <c r="O192">
        <v>848</v>
      </c>
      <c r="P192">
        <v>4583337908.5378904</v>
      </c>
      <c r="Q192">
        <v>1497325516.1022</v>
      </c>
      <c r="R192">
        <v>0</v>
      </c>
      <c r="S192">
        <v>377771432.98959899</v>
      </c>
      <c r="T192">
        <v>377771432.98959899</v>
      </c>
      <c r="U192">
        <v>2724700469.3712902</v>
      </c>
      <c r="V192">
        <v>-114037582.700978</v>
      </c>
      <c r="W192">
        <v>50878303475.154602</v>
      </c>
      <c r="X192">
        <v>50878303475.154602</v>
      </c>
      <c r="Y192" t="s">
        <v>219</v>
      </c>
      <c r="Z192">
        <v>8927176688.7367401</v>
      </c>
      <c r="AA192">
        <v>0.90161290207079203</v>
      </c>
      <c r="AB192">
        <v>923107.85808401997</v>
      </c>
    </row>
    <row r="193" spans="1:28" x14ac:dyDescent="0.25">
      <c r="A193">
        <v>2020</v>
      </c>
      <c r="B193" t="s">
        <v>229</v>
      </c>
      <c r="C193">
        <v>5</v>
      </c>
      <c r="D193" t="s">
        <v>228</v>
      </c>
      <c r="E193">
        <v>50460177099.772903</v>
      </c>
      <c r="F193">
        <v>50460177099.772903</v>
      </c>
      <c r="G193">
        <v>20662544342.372898</v>
      </c>
      <c r="H193">
        <v>20662544342.372898</v>
      </c>
      <c r="I193">
        <v>20662544342.372898</v>
      </c>
      <c r="J193">
        <v>29797632757.400002</v>
      </c>
      <c r="K193" t="s">
        <v>219</v>
      </c>
      <c r="L193">
        <v>14224516464.748199</v>
      </c>
      <c r="M193" t="s">
        <v>219</v>
      </c>
      <c r="N193">
        <v>25255.6460799333</v>
      </c>
      <c r="O193">
        <v>691</v>
      </c>
      <c r="P193">
        <v>2148406210.2918901</v>
      </c>
      <c r="Q193">
        <v>781685429.17523503</v>
      </c>
      <c r="R193">
        <v>79921455.222237393</v>
      </c>
      <c r="S193">
        <v>211662487.82854599</v>
      </c>
      <c r="T193">
        <v>291583943.05078399</v>
      </c>
      <c r="U193">
        <v>3134673841.9814501</v>
      </c>
      <c r="V193">
        <v>68333198.584000006</v>
      </c>
      <c r="W193">
        <v>44868449095.282204</v>
      </c>
      <c r="X193">
        <v>44868449095.282204</v>
      </c>
      <c r="Y193" t="s">
        <v>219</v>
      </c>
      <c r="Z193">
        <v>6438027877.62465</v>
      </c>
      <c r="AA193">
        <v>0.688420372101894</v>
      </c>
      <c r="AB193">
        <v>818135.64685601799</v>
      </c>
    </row>
    <row r="194" spans="1:28" x14ac:dyDescent="0.25">
      <c r="A194">
        <v>2021</v>
      </c>
      <c r="B194" t="s">
        <v>227</v>
      </c>
      <c r="C194">
        <v>5</v>
      </c>
      <c r="D194" t="s">
        <v>228</v>
      </c>
      <c r="E194">
        <v>4823132108.89713</v>
      </c>
      <c r="F194">
        <v>4823132108.89713</v>
      </c>
      <c r="G194">
        <v>1706507846.0049801</v>
      </c>
      <c r="H194">
        <v>1706507846.0049801</v>
      </c>
      <c r="I194">
        <v>1706507846.0049801</v>
      </c>
      <c r="J194">
        <v>3116624262.8921499</v>
      </c>
      <c r="K194" t="s">
        <v>219</v>
      </c>
      <c r="L194">
        <v>942639331.34187496</v>
      </c>
      <c r="M194" t="s">
        <v>219</v>
      </c>
      <c r="N194">
        <v>1221.27703280326</v>
      </c>
      <c r="O194" t="s">
        <v>219</v>
      </c>
      <c r="P194">
        <v>535413296.06692302</v>
      </c>
      <c r="Q194">
        <v>429873670.22270799</v>
      </c>
      <c r="R194">
        <v>0</v>
      </c>
      <c r="S194">
        <v>259297293.79654101</v>
      </c>
      <c r="T194">
        <v>259297293.79654101</v>
      </c>
      <c r="U194">
        <v>222318921.824747</v>
      </c>
      <c r="V194">
        <v>6927240.4331940804</v>
      </c>
      <c r="W194">
        <v>2015071775.4268401</v>
      </c>
      <c r="X194">
        <v>2015071775.4268401</v>
      </c>
      <c r="Y194" t="s">
        <v>219</v>
      </c>
      <c r="Z194">
        <v>763868514.66310203</v>
      </c>
      <c r="AA194">
        <v>0.55237913704800301</v>
      </c>
      <c r="AB194">
        <v>1397314.28674126</v>
      </c>
    </row>
    <row r="195" spans="1:28" x14ac:dyDescent="0.25">
      <c r="A195">
        <v>2021</v>
      </c>
      <c r="B195" t="s">
        <v>217</v>
      </c>
      <c r="C195">
        <v>5</v>
      </c>
      <c r="D195" t="s">
        <v>228</v>
      </c>
      <c r="E195">
        <v>740451400483.521</v>
      </c>
      <c r="F195">
        <v>729519030143.12903</v>
      </c>
      <c r="G195">
        <v>224974680121.47299</v>
      </c>
      <c r="H195">
        <v>214042309781.07999</v>
      </c>
      <c r="I195">
        <v>214042309781.07999</v>
      </c>
      <c r="J195">
        <v>526409090702.44098</v>
      </c>
      <c r="K195">
        <v>79758953136.733398</v>
      </c>
      <c r="L195">
        <v>84122098877.865601</v>
      </c>
      <c r="M195">
        <v>12745772557.252399</v>
      </c>
      <c r="N195">
        <v>86333.094378265305</v>
      </c>
      <c r="O195" t="s">
        <v>219</v>
      </c>
      <c r="P195">
        <v>83942983585.564697</v>
      </c>
      <c r="Q195">
        <v>18626904296.7775</v>
      </c>
      <c r="R195">
        <v>3312365312.6912799</v>
      </c>
      <c r="S195">
        <v>6003788394.3875504</v>
      </c>
      <c r="T195">
        <v>9316153707.0788193</v>
      </c>
      <c r="U195">
        <v>21739333748.875999</v>
      </c>
      <c r="V195">
        <v>-1158610716.3440599</v>
      </c>
      <c r="W195">
        <v>377193985828.289</v>
      </c>
      <c r="X195">
        <v>377193985828.289</v>
      </c>
      <c r="Y195">
        <v>469698711522.27502</v>
      </c>
      <c r="Z195">
        <v>140852581243.60699</v>
      </c>
      <c r="AA195">
        <v>0.37391807305802</v>
      </c>
      <c r="AB195">
        <v>2605891.5383683001</v>
      </c>
    </row>
    <row r="196" spans="1:28" x14ac:dyDescent="0.25">
      <c r="A196">
        <v>2021</v>
      </c>
      <c r="B196" t="s">
        <v>220</v>
      </c>
      <c r="C196">
        <v>5</v>
      </c>
      <c r="D196" t="s">
        <v>228</v>
      </c>
      <c r="E196">
        <v>112613563636.55299</v>
      </c>
      <c r="F196">
        <v>112613563636.55299</v>
      </c>
      <c r="G196">
        <v>62648975567.003197</v>
      </c>
      <c r="H196">
        <v>62648975567.003197</v>
      </c>
      <c r="I196">
        <v>62648975567.003197</v>
      </c>
      <c r="J196">
        <v>49964588069.549698</v>
      </c>
      <c r="K196" t="s">
        <v>219</v>
      </c>
      <c r="L196">
        <v>20221632008.440899</v>
      </c>
      <c r="M196" t="s">
        <v>219</v>
      </c>
      <c r="N196">
        <v>14128.963720145901</v>
      </c>
      <c r="O196" t="s">
        <v>219</v>
      </c>
      <c r="P196">
        <v>15097593386.138</v>
      </c>
      <c r="Q196">
        <v>9794265486.6176395</v>
      </c>
      <c r="R196">
        <v>190502501.53361601</v>
      </c>
      <c r="S196">
        <v>76093191.915973797</v>
      </c>
      <c r="T196">
        <v>266595693.44959</v>
      </c>
      <c r="U196">
        <v>10673310755.3946</v>
      </c>
      <c r="V196">
        <v>305856559.61989403</v>
      </c>
      <c r="W196">
        <v>212390515973.68701</v>
      </c>
      <c r="X196">
        <v>212390515973.68701</v>
      </c>
      <c r="Y196" t="s">
        <v>219</v>
      </c>
      <c r="Z196">
        <v>42427343558.562302</v>
      </c>
      <c r="AA196">
        <v>0.32277673857274503</v>
      </c>
      <c r="AB196">
        <v>4434081.4236556301</v>
      </c>
    </row>
    <row r="197" spans="1:28" x14ac:dyDescent="0.25">
      <c r="A197">
        <v>2021</v>
      </c>
      <c r="B197" t="s">
        <v>221</v>
      </c>
      <c r="C197">
        <v>5</v>
      </c>
      <c r="D197" t="s">
        <v>228</v>
      </c>
      <c r="E197">
        <v>455971215637.71698</v>
      </c>
      <c r="F197">
        <v>449686060658.50897</v>
      </c>
      <c r="G197">
        <v>279674715226.32599</v>
      </c>
      <c r="H197">
        <v>273389560247.11899</v>
      </c>
      <c r="I197">
        <v>273389560247.11899</v>
      </c>
      <c r="J197">
        <v>182581655390.59799</v>
      </c>
      <c r="K197" t="s">
        <v>219</v>
      </c>
      <c r="L197">
        <v>95155129416.331894</v>
      </c>
      <c r="M197" t="s">
        <v>219</v>
      </c>
      <c r="N197">
        <v>131187.678965903</v>
      </c>
      <c r="O197" t="s">
        <v>219</v>
      </c>
      <c r="P197">
        <v>32633273093.591999</v>
      </c>
      <c r="Q197">
        <v>11026129203.2682</v>
      </c>
      <c r="R197">
        <v>9233014270.2084198</v>
      </c>
      <c r="S197">
        <v>4023040503.1677899</v>
      </c>
      <c r="T197">
        <v>13256054773.3762</v>
      </c>
      <c r="U197">
        <v>13465417406.6015</v>
      </c>
      <c r="V197">
        <v>533315553.51775402</v>
      </c>
      <c r="W197">
        <v>141842961057.492</v>
      </c>
      <c r="X197">
        <v>141842961057.492</v>
      </c>
      <c r="Y197" t="s">
        <v>219</v>
      </c>
      <c r="Z197">
        <v>184519585809.995</v>
      </c>
      <c r="AA197">
        <v>0.34023500958721897</v>
      </c>
      <c r="AB197">
        <v>2131867.2411226798</v>
      </c>
    </row>
    <row r="198" spans="1:28" x14ac:dyDescent="0.25">
      <c r="A198">
        <v>2021</v>
      </c>
      <c r="B198" t="s">
        <v>222</v>
      </c>
      <c r="C198">
        <v>5</v>
      </c>
      <c r="D198" t="s">
        <v>228</v>
      </c>
      <c r="E198">
        <v>334250951545.32898</v>
      </c>
      <c r="F198">
        <v>334226671736.17603</v>
      </c>
      <c r="G198">
        <v>154484895191.30301</v>
      </c>
      <c r="H198">
        <v>154460615382.14999</v>
      </c>
      <c r="I198">
        <v>154460615382.14999</v>
      </c>
      <c r="J198">
        <v>179790336163.17801</v>
      </c>
      <c r="K198" t="s">
        <v>219</v>
      </c>
      <c r="L198">
        <v>68176469340.481499</v>
      </c>
      <c r="M198" t="s">
        <v>219</v>
      </c>
      <c r="N198">
        <v>66121.048240395903</v>
      </c>
      <c r="O198" t="s">
        <v>219</v>
      </c>
      <c r="P198">
        <v>31816613640.5214</v>
      </c>
      <c r="Q198">
        <v>15780645084.125</v>
      </c>
      <c r="R198">
        <v>4501916301.4725103</v>
      </c>
      <c r="S198">
        <v>6274977433.9064903</v>
      </c>
      <c r="T198">
        <v>10776893735.379</v>
      </c>
      <c r="U198">
        <v>15576660220.8678</v>
      </c>
      <c r="V198">
        <v>135195319.72652501</v>
      </c>
      <c r="W198">
        <v>202553159469.55701</v>
      </c>
      <c r="X198">
        <v>202553159469.55701</v>
      </c>
      <c r="Y198" t="s">
        <v>219</v>
      </c>
      <c r="Z198">
        <v>86308425850.821793</v>
      </c>
      <c r="AA198">
        <v>0.441314791689223</v>
      </c>
      <c r="AB198">
        <v>2336395.1313905902</v>
      </c>
    </row>
    <row r="199" spans="1:28" x14ac:dyDescent="0.25">
      <c r="A199">
        <v>2021</v>
      </c>
      <c r="B199" t="s">
        <v>223</v>
      </c>
      <c r="C199">
        <v>5</v>
      </c>
      <c r="D199" t="s">
        <v>228</v>
      </c>
      <c r="E199">
        <v>29356804884.757099</v>
      </c>
      <c r="F199">
        <v>29346005451.400398</v>
      </c>
      <c r="G199">
        <v>9651209202.5048809</v>
      </c>
      <c r="H199">
        <v>9640409769.14818</v>
      </c>
      <c r="I199">
        <v>9640409769.14818</v>
      </c>
      <c r="J199">
        <v>19716395115.608898</v>
      </c>
      <c r="K199" t="s">
        <v>219</v>
      </c>
      <c r="L199">
        <v>7079050388.1422396</v>
      </c>
      <c r="M199" t="s">
        <v>219</v>
      </c>
      <c r="N199">
        <v>22527.136849777798</v>
      </c>
      <c r="O199" t="s">
        <v>219</v>
      </c>
      <c r="P199">
        <v>3177150585.3729701</v>
      </c>
      <c r="Q199">
        <v>681498143.28095603</v>
      </c>
      <c r="R199">
        <v>93009618.664888993</v>
      </c>
      <c r="S199">
        <v>24478584.380366798</v>
      </c>
      <c r="T199">
        <v>117488203.045256</v>
      </c>
      <c r="U199">
        <v>1130759711.68029</v>
      </c>
      <c r="V199">
        <v>51324275.449414603</v>
      </c>
      <c r="W199">
        <v>25167284733.830799</v>
      </c>
      <c r="X199">
        <v>25167284733.830799</v>
      </c>
      <c r="Y199" t="s">
        <v>219</v>
      </c>
      <c r="Z199">
        <v>2572158814.3626399</v>
      </c>
      <c r="AA199">
        <v>0.73348844063031404</v>
      </c>
      <c r="AB199">
        <v>428425.914347835</v>
      </c>
    </row>
    <row r="200" spans="1:28" x14ac:dyDescent="0.25">
      <c r="A200">
        <v>2021</v>
      </c>
      <c r="B200" t="s">
        <v>230</v>
      </c>
      <c r="C200">
        <v>5</v>
      </c>
      <c r="D200" t="s">
        <v>228</v>
      </c>
      <c r="E200">
        <v>62645858578.481598</v>
      </c>
      <c r="F200">
        <v>62645858578.481598</v>
      </c>
      <c r="G200">
        <v>31442158854.149799</v>
      </c>
      <c r="H200">
        <v>31442158854.149799</v>
      </c>
      <c r="I200">
        <v>31442158854.149799</v>
      </c>
      <c r="J200">
        <v>31203699724.331799</v>
      </c>
      <c r="K200" t="s">
        <v>219</v>
      </c>
      <c r="L200">
        <v>15423416558.2085</v>
      </c>
      <c r="M200" t="s">
        <v>219</v>
      </c>
      <c r="N200">
        <v>9729.0306619728799</v>
      </c>
      <c r="O200" t="s">
        <v>219</v>
      </c>
      <c r="P200">
        <v>1098288138.06267</v>
      </c>
      <c r="Q200">
        <v>357058939.86834103</v>
      </c>
      <c r="R200">
        <v>18436277.3440939</v>
      </c>
      <c r="S200">
        <v>49810648.632928401</v>
      </c>
      <c r="T200">
        <v>68246925.977022305</v>
      </c>
      <c r="U200">
        <v>819585753.37211001</v>
      </c>
      <c r="V200">
        <v>89933110.801488295</v>
      </c>
      <c r="W200">
        <v>5345299731.7636099</v>
      </c>
      <c r="X200">
        <v>5345299731.7636099</v>
      </c>
      <c r="Y200" t="s">
        <v>219</v>
      </c>
      <c r="Z200">
        <v>16018742295.941299</v>
      </c>
      <c r="AA200">
        <v>0.49053300155860402</v>
      </c>
      <c r="AB200">
        <v>3231787.4150654501</v>
      </c>
    </row>
    <row r="201" spans="1:28" x14ac:dyDescent="0.25">
      <c r="A201">
        <v>2021</v>
      </c>
      <c r="B201" t="s">
        <v>224</v>
      </c>
      <c r="C201">
        <v>5</v>
      </c>
      <c r="D201" t="s">
        <v>228</v>
      </c>
      <c r="E201">
        <v>180668167137.95401</v>
      </c>
      <c r="F201">
        <v>180667933238.08701</v>
      </c>
      <c r="G201">
        <v>111251826255.289</v>
      </c>
      <c r="H201">
        <v>111251592355.422</v>
      </c>
      <c r="I201">
        <v>111251592355.422</v>
      </c>
      <c r="J201">
        <v>69416574782.532104</v>
      </c>
      <c r="K201" t="s">
        <v>219</v>
      </c>
      <c r="L201">
        <v>59414119118.073601</v>
      </c>
      <c r="M201" t="s">
        <v>219</v>
      </c>
      <c r="N201">
        <v>98975.6115960444</v>
      </c>
      <c r="O201" t="s">
        <v>219</v>
      </c>
      <c r="P201">
        <v>10121111282.672199</v>
      </c>
      <c r="Q201">
        <v>6560780642.68328</v>
      </c>
      <c r="R201">
        <v>2164286868.1129799</v>
      </c>
      <c r="S201">
        <v>4473351167.2324305</v>
      </c>
      <c r="T201">
        <v>6637638035.3454103</v>
      </c>
      <c r="U201">
        <v>5219807380.6682701</v>
      </c>
      <c r="V201">
        <v>-328474930.76629299</v>
      </c>
      <c r="W201">
        <v>97851140567.922806</v>
      </c>
      <c r="X201">
        <v>97851140567.922806</v>
      </c>
      <c r="Y201" t="s">
        <v>219</v>
      </c>
      <c r="Z201">
        <v>51837707137.215797</v>
      </c>
      <c r="AA201">
        <v>0.53405073083237398</v>
      </c>
      <c r="AB201">
        <v>1124032.72342836</v>
      </c>
    </row>
    <row r="202" spans="1:28" x14ac:dyDescent="0.25">
      <c r="A202">
        <v>2021</v>
      </c>
      <c r="B202" t="s">
        <v>225</v>
      </c>
      <c r="C202">
        <v>5</v>
      </c>
      <c r="D202" t="s">
        <v>228</v>
      </c>
      <c r="E202">
        <v>31961352310.5816</v>
      </c>
      <c r="F202">
        <v>31961352310.5816</v>
      </c>
      <c r="G202">
        <v>24152464418.461399</v>
      </c>
      <c r="H202">
        <v>24152464418.461399</v>
      </c>
      <c r="I202">
        <v>24152464418.461399</v>
      </c>
      <c r="J202">
        <v>7808887892.1201696</v>
      </c>
      <c r="K202" t="s">
        <v>219</v>
      </c>
      <c r="L202">
        <v>20472823337.485298</v>
      </c>
      <c r="M202" t="s">
        <v>219</v>
      </c>
      <c r="N202">
        <v>46075.389252788402</v>
      </c>
      <c r="O202" t="s">
        <v>219</v>
      </c>
      <c r="P202">
        <v>1462932383.7337999</v>
      </c>
      <c r="Q202">
        <v>288400176.46985102</v>
      </c>
      <c r="R202">
        <v>14317319.141117999</v>
      </c>
      <c r="S202">
        <v>39798785.880113199</v>
      </c>
      <c r="T202">
        <v>54116105.021231197</v>
      </c>
      <c r="U202">
        <v>567010035.754228</v>
      </c>
      <c r="V202">
        <v>5739644.9772284003</v>
      </c>
      <c r="W202">
        <v>19556739104.604401</v>
      </c>
      <c r="X202">
        <v>19556739104.604401</v>
      </c>
      <c r="Y202" t="s">
        <v>219</v>
      </c>
      <c r="Z202">
        <v>3679641080.9760599</v>
      </c>
      <c r="AA202">
        <v>0.84764945650169499</v>
      </c>
      <c r="AB202">
        <v>524194.473669036</v>
      </c>
    </row>
    <row r="203" spans="1:28" x14ac:dyDescent="0.25">
      <c r="A203">
        <v>2021</v>
      </c>
      <c r="B203" t="s">
        <v>226</v>
      </c>
      <c r="C203">
        <v>5</v>
      </c>
      <c r="D203" t="s">
        <v>228</v>
      </c>
      <c r="E203">
        <v>173852468568.13199</v>
      </c>
      <c r="F203">
        <v>173851776438.53799</v>
      </c>
      <c r="G203">
        <v>98115193734.031296</v>
      </c>
      <c r="H203">
        <v>98114501604.436493</v>
      </c>
      <c r="I203">
        <v>98114501604.436493</v>
      </c>
      <c r="J203">
        <v>75737966963.695694</v>
      </c>
      <c r="K203" t="s">
        <v>219</v>
      </c>
      <c r="L203">
        <v>84893592451.322601</v>
      </c>
      <c r="M203" t="s">
        <v>219</v>
      </c>
      <c r="N203">
        <v>101572.118517785</v>
      </c>
      <c r="O203" t="s">
        <v>219</v>
      </c>
      <c r="P203">
        <v>5379104877.8542805</v>
      </c>
      <c r="Q203">
        <v>1870669257.88972</v>
      </c>
      <c r="R203">
        <v>0</v>
      </c>
      <c r="S203">
        <v>508846991.391415</v>
      </c>
      <c r="T203">
        <v>508846991.391415</v>
      </c>
      <c r="U203">
        <v>2714182635.9639001</v>
      </c>
      <c r="V203">
        <v>-112700466.234797</v>
      </c>
      <c r="W203">
        <v>53225255782.755501</v>
      </c>
      <c r="X203">
        <v>53225255782.755501</v>
      </c>
      <c r="Y203" t="s">
        <v>219</v>
      </c>
      <c r="Z203">
        <v>13221601282.708599</v>
      </c>
      <c r="AA203">
        <v>0.865244099516844</v>
      </c>
      <c r="AB203">
        <v>965965.80996636197</v>
      </c>
    </row>
    <row r="204" spans="1:28" x14ac:dyDescent="0.25">
      <c r="A204">
        <v>2021</v>
      </c>
      <c r="B204" t="s">
        <v>229</v>
      </c>
      <c r="C204">
        <v>5</v>
      </c>
      <c r="D204" t="s">
        <v>228</v>
      </c>
      <c r="E204">
        <v>47058088561.870201</v>
      </c>
      <c r="F204">
        <v>47058019613.112602</v>
      </c>
      <c r="G204">
        <v>18050149516.878502</v>
      </c>
      <c r="H204">
        <v>18050080568.1208</v>
      </c>
      <c r="I204">
        <v>18050080568.1208</v>
      </c>
      <c r="J204">
        <v>29008007993.749401</v>
      </c>
      <c r="K204" t="s">
        <v>219</v>
      </c>
      <c r="L204">
        <v>14298850361.413401</v>
      </c>
      <c r="M204" t="s">
        <v>219</v>
      </c>
      <c r="N204">
        <v>25103.5732873284</v>
      </c>
      <c r="O204" t="s">
        <v>219</v>
      </c>
      <c r="P204">
        <v>2057069656.38168</v>
      </c>
      <c r="Q204">
        <v>473485131.173361</v>
      </c>
      <c r="R204">
        <v>9155304.1028102506</v>
      </c>
      <c r="S204">
        <v>152651542.593025</v>
      </c>
      <c r="T204">
        <v>161806846.69583601</v>
      </c>
      <c r="U204">
        <v>1671170460.8378</v>
      </c>
      <c r="V204">
        <v>42305503.143536597</v>
      </c>
      <c r="W204">
        <v>36249404652.654099</v>
      </c>
      <c r="X204">
        <v>36249404652.654099</v>
      </c>
      <c r="Y204" t="s">
        <v>219</v>
      </c>
      <c r="Z204">
        <v>3751299155.4650502</v>
      </c>
      <c r="AA204">
        <v>0.79217351346828102</v>
      </c>
      <c r="AB204">
        <v>719027.10065541603</v>
      </c>
    </row>
    <row r="205" spans="1:28" x14ac:dyDescent="0.25">
      <c r="A205">
        <v>2022</v>
      </c>
      <c r="B205" t="s">
        <v>227</v>
      </c>
      <c r="C205">
        <v>5</v>
      </c>
      <c r="D205" t="s">
        <v>228</v>
      </c>
      <c r="E205">
        <v>6364669404.8745804</v>
      </c>
      <c r="F205">
        <v>6364669404.8745804</v>
      </c>
      <c r="G205">
        <v>2427269986.1540799</v>
      </c>
      <c r="H205">
        <v>2427269986.1540799</v>
      </c>
      <c r="I205">
        <v>2427269986.1540799</v>
      </c>
      <c r="J205">
        <v>3937399418.72049</v>
      </c>
      <c r="K205" t="s">
        <v>219</v>
      </c>
      <c r="L205">
        <v>1077136328.2788401</v>
      </c>
      <c r="M205" t="s">
        <v>219</v>
      </c>
      <c r="N205">
        <v>1379.5600082374799</v>
      </c>
      <c r="O205" t="s">
        <v>219</v>
      </c>
      <c r="P205">
        <v>347532015.953246</v>
      </c>
      <c r="Q205">
        <v>279496144.27706599</v>
      </c>
      <c r="R205">
        <v>0</v>
      </c>
      <c r="S205">
        <v>84485169.844292104</v>
      </c>
      <c r="T205">
        <v>84485169.844292104</v>
      </c>
      <c r="U205">
        <v>208679317.96358499</v>
      </c>
      <c r="V205">
        <v>10163033.9043293</v>
      </c>
      <c r="W205">
        <v>1894282413.4483299</v>
      </c>
      <c r="X205">
        <v>1894282413.4483299</v>
      </c>
      <c r="Y205" t="s">
        <v>219</v>
      </c>
      <c r="Z205">
        <v>1350133657.8752401</v>
      </c>
      <c r="AA205">
        <v>0.44376453152025402</v>
      </c>
      <c r="AB205">
        <v>1759452.2685933399</v>
      </c>
    </row>
    <row r="206" spans="1:28" x14ac:dyDescent="0.25">
      <c r="A206">
        <v>2022</v>
      </c>
      <c r="B206" t="s">
        <v>217</v>
      </c>
      <c r="C206">
        <v>5</v>
      </c>
      <c r="D206" t="s">
        <v>228</v>
      </c>
      <c r="E206">
        <v>887448109461.11902</v>
      </c>
      <c r="F206">
        <v>847221297274.51501</v>
      </c>
      <c r="G206">
        <v>265536050207.76501</v>
      </c>
      <c r="H206">
        <v>225309238021.16101</v>
      </c>
      <c r="I206">
        <v>225309238021.16101</v>
      </c>
      <c r="J206">
        <v>662138871439.95801</v>
      </c>
      <c r="K206">
        <v>100324071430.297</v>
      </c>
      <c r="L206">
        <v>95609914033.877808</v>
      </c>
      <c r="M206">
        <v>14486350611.1936</v>
      </c>
      <c r="N206">
        <v>89467.506088785594</v>
      </c>
      <c r="O206" t="s">
        <v>219</v>
      </c>
      <c r="P206">
        <v>69687013752.249298</v>
      </c>
      <c r="Q206">
        <v>17242949725.568802</v>
      </c>
      <c r="R206">
        <v>4140576932.6812201</v>
      </c>
      <c r="S206">
        <v>5180380048.5410299</v>
      </c>
      <c r="T206">
        <v>9320956981.22225</v>
      </c>
      <c r="U206">
        <v>21523441673.284</v>
      </c>
      <c r="V206">
        <v>-2700847763.2316799</v>
      </c>
      <c r="W206">
        <v>392603477898.92603</v>
      </c>
      <c r="X206">
        <v>392603477898.92603</v>
      </c>
      <c r="Y206">
        <v>507413899940.41602</v>
      </c>
      <c r="Z206">
        <v>169926136173.88699</v>
      </c>
      <c r="AA206">
        <v>0.36006378026286501</v>
      </c>
      <c r="AB206">
        <v>2967960.79175665</v>
      </c>
    </row>
    <row r="207" spans="1:28" x14ac:dyDescent="0.25">
      <c r="A207">
        <v>2022</v>
      </c>
      <c r="B207" t="s">
        <v>220</v>
      </c>
      <c r="C207">
        <v>5</v>
      </c>
      <c r="D207" t="s">
        <v>228</v>
      </c>
      <c r="E207">
        <v>104102493462.55099</v>
      </c>
      <c r="F207">
        <v>104102493462.55099</v>
      </c>
      <c r="G207">
        <v>44672546622.980202</v>
      </c>
      <c r="H207">
        <v>44672546622.980202</v>
      </c>
      <c r="I207">
        <v>44672546622.980202</v>
      </c>
      <c r="J207">
        <v>59429946839.5709</v>
      </c>
      <c r="K207" t="s">
        <v>219</v>
      </c>
      <c r="L207">
        <v>20626352086.312</v>
      </c>
      <c r="M207" t="s">
        <v>219</v>
      </c>
      <c r="N207">
        <v>13915.1952344857</v>
      </c>
      <c r="O207" t="s">
        <v>219</v>
      </c>
      <c r="P207">
        <v>17801987415.995602</v>
      </c>
      <c r="Q207">
        <v>10399633025.4119</v>
      </c>
      <c r="R207">
        <v>309743533.50518799</v>
      </c>
      <c r="S207">
        <v>99849063.605478793</v>
      </c>
      <c r="T207">
        <v>409592597.11066699</v>
      </c>
      <c r="U207">
        <v>10947366526.2325</v>
      </c>
      <c r="V207">
        <v>331952011.64205301</v>
      </c>
      <c r="W207">
        <v>212280128161.01501</v>
      </c>
      <c r="X207">
        <v>212280128161.01501</v>
      </c>
      <c r="Y207" t="s">
        <v>219</v>
      </c>
      <c r="Z207">
        <v>24046194536.668301</v>
      </c>
      <c r="AA207">
        <v>0.46172322031225899</v>
      </c>
      <c r="AB207">
        <v>3210342.7850059499</v>
      </c>
    </row>
    <row r="208" spans="1:28" x14ac:dyDescent="0.25">
      <c r="A208">
        <v>2022</v>
      </c>
      <c r="B208" t="s">
        <v>221</v>
      </c>
      <c r="C208">
        <v>5</v>
      </c>
      <c r="D208" t="s">
        <v>228</v>
      </c>
      <c r="E208">
        <v>451212071580.38501</v>
      </c>
      <c r="F208">
        <v>444685546891.82898</v>
      </c>
      <c r="G208">
        <v>285375632748.52301</v>
      </c>
      <c r="H208">
        <v>278849108059.96802</v>
      </c>
      <c r="I208">
        <v>278849108059.96802</v>
      </c>
      <c r="J208">
        <v>172362963520.41699</v>
      </c>
      <c r="K208" t="s">
        <v>219</v>
      </c>
      <c r="L208">
        <v>106441380612.16299</v>
      </c>
      <c r="M208" t="s">
        <v>219</v>
      </c>
      <c r="N208">
        <v>135877.300330261</v>
      </c>
      <c r="O208" t="s">
        <v>219</v>
      </c>
      <c r="P208">
        <v>25582362175.194401</v>
      </c>
      <c r="Q208">
        <v>8997882865.8159809</v>
      </c>
      <c r="R208">
        <v>3184590670.4432001</v>
      </c>
      <c r="S208">
        <v>4566101149.9586802</v>
      </c>
      <c r="T208">
        <v>7750691820.4018803</v>
      </c>
      <c r="U208">
        <v>12801615243.4825</v>
      </c>
      <c r="V208">
        <v>558185570.97560704</v>
      </c>
      <c r="W208">
        <v>137064760074.573</v>
      </c>
      <c r="X208">
        <v>137064760074.573</v>
      </c>
      <c r="Y208" t="s">
        <v>219</v>
      </c>
      <c r="Z208">
        <v>178934252136.35999</v>
      </c>
      <c r="AA208">
        <v>0.37298692809543599</v>
      </c>
      <c r="AB208">
        <v>2100245.08917158</v>
      </c>
    </row>
    <row r="209" spans="1:28" x14ac:dyDescent="0.25">
      <c r="A209">
        <v>2022</v>
      </c>
      <c r="B209" t="s">
        <v>222</v>
      </c>
      <c r="C209">
        <v>5</v>
      </c>
      <c r="D209" t="s">
        <v>228</v>
      </c>
      <c r="E209">
        <v>403206206892.99298</v>
      </c>
      <c r="F209">
        <v>403185795031.74103</v>
      </c>
      <c r="G209">
        <v>174652995351.86899</v>
      </c>
      <c r="H209">
        <v>174632583490.616</v>
      </c>
      <c r="I209">
        <v>174632583490.616</v>
      </c>
      <c r="J209">
        <v>228573623402.37701</v>
      </c>
      <c r="K209" t="s">
        <v>219</v>
      </c>
      <c r="L209">
        <v>87162885551.236694</v>
      </c>
      <c r="M209" t="s">
        <v>219</v>
      </c>
      <c r="N209">
        <v>74447.362079130005</v>
      </c>
      <c r="O209" t="s">
        <v>219</v>
      </c>
      <c r="P209">
        <v>41666501508.594002</v>
      </c>
      <c r="Q209">
        <v>31042639478.595901</v>
      </c>
      <c r="R209">
        <v>8832607514.9801006</v>
      </c>
      <c r="S209">
        <v>7754970952.1736403</v>
      </c>
      <c r="T209">
        <v>16587578467.1537</v>
      </c>
      <c r="U209">
        <v>15818403971.5009</v>
      </c>
      <c r="V209">
        <v>-615169062.56259894</v>
      </c>
      <c r="W209">
        <v>224980331258.34201</v>
      </c>
      <c r="X209">
        <v>224980331258.34201</v>
      </c>
      <c r="Y209" t="s">
        <v>219</v>
      </c>
      <c r="Z209">
        <v>87490109800.631897</v>
      </c>
      <c r="AA209">
        <v>0.49906321603950698</v>
      </c>
      <c r="AB209">
        <v>2345993.0677762702</v>
      </c>
    </row>
    <row r="210" spans="1:28" x14ac:dyDescent="0.25">
      <c r="A210">
        <v>2022</v>
      </c>
      <c r="B210" t="s">
        <v>223</v>
      </c>
      <c r="C210">
        <v>5</v>
      </c>
      <c r="D210" t="s">
        <v>228</v>
      </c>
      <c r="E210">
        <v>38873522858.116096</v>
      </c>
      <c r="F210">
        <v>38861504462.498596</v>
      </c>
      <c r="G210">
        <v>12352119509.857599</v>
      </c>
      <c r="H210">
        <v>12340101114.2402</v>
      </c>
      <c r="I210">
        <v>12340101114.2402</v>
      </c>
      <c r="J210">
        <v>26533421743.8759</v>
      </c>
      <c r="K210" t="s">
        <v>219</v>
      </c>
      <c r="L210">
        <v>9721139537.1868896</v>
      </c>
      <c r="M210" t="s">
        <v>219</v>
      </c>
      <c r="N210">
        <v>25190.665233851902</v>
      </c>
      <c r="O210" t="s">
        <v>219</v>
      </c>
      <c r="P210">
        <v>2442655156.0097399</v>
      </c>
      <c r="Q210">
        <v>790576279.31551898</v>
      </c>
      <c r="R210">
        <v>32438466.5883357</v>
      </c>
      <c r="S210">
        <v>21005852.049205299</v>
      </c>
      <c r="T210">
        <v>53444318.637541004</v>
      </c>
      <c r="U210">
        <v>1151944688.69312</v>
      </c>
      <c r="V210">
        <v>72239234.201257005</v>
      </c>
      <c r="W210">
        <v>19408417996.630798</v>
      </c>
      <c r="X210">
        <v>19408417996.630798</v>
      </c>
      <c r="Y210" t="s">
        <v>219</v>
      </c>
      <c r="Z210">
        <v>2630979972.6707201</v>
      </c>
      <c r="AA210">
        <v>0.78700173920993399</v>
      </c>
      <c r="AB210">
        <v>490345.10979322903</v>
      </c>
    </row>
    <row r="211" spans="1:28" x14ac:dyDescent="0.25">
      <c r="A211">
        <v>2022</v>
      </c>
      <c r="B211" t="s">
        <v>230</v>
      </c>
      <c r="C211">
        <v>5</v>
      </c>
      <c r="D211" t="s">
        <v>228</v>
      </c>
      <c r="E211">
        <v>69975189238.793503</v>
      </c>
      <c r="F211">
        <v>69975189238.793503</v>
      </c>
      <c r="G211">
        <v>28967722330.698002</v>
      </c>
      <c r="H211">
        <v>28967722330.698002</v>
      </c>
      <c r="I211">
        <v>28967722330.698002</v>
      </c>
      <c r="J211">
        <v>41007466908.095497</v>
      </c>
      <c r="K211" t="s">
        <v>219</v>
      </c>
      <c r="L211">
        <v>13563253468.858801</v>
      </c>
      <c r="M211" t="s">
        <v>219</v>
      </c>
      <c r="N211">
        <v>7781.1510144518597</v>
      </c>
      <c r="O211" t="s">
        <v>219</v>
      </c>
      <c r="P211">
        <v>1211488493.1071601</v>
      </c>
      <c r="Q211">
        <v>442444984.52471602</v>
      </c>
      <c r="R211">
        <v>31489113</v>
      </c>
      <c r="S211">
        <v>65948768.079325601</v>
      </c>
      <c r="T211">
        <v>97437881.079325601</v>
      </c>
      <c r="U211">
        <v>852993660.01183605</v>
      </c>
      <c r="V211">
        <v>60346435.178069897</v>
      </c>
      <c r="W211">
        <v>8590723977.3958397</v>
      </c>
      <c r="X211">
        <v>8590723977.3958397</v>
      </c>
      <c r="Y211" t="s">
        <v>219</v>
      </c>
      <c r="Z211">
        <v>15404468861.839199</v>
      </c>
      <c r="AA211">
        <v>0.46821953462614402</v>
      </c>
      <c r="AB211">
        <v>3722806.8542682799</v>
      </c>
    </row>
    <row r="212" spans="1:28" x14ac:dyDescent="0.25">
      <c r="A212">
        <v>2022</v>
      </c>
      <c r="B212" t="s">
        <v>224</v>
      </c>
      <c r="C212">
        <v>5</v>
      </c>
      <c r="D212" t="s">
        <v>228</v>
      </c>
      <c r="E212">
        <v>210906855035.11301</v>
      </c>
      <c r="F212">
        <v>210906455372.63599</v>
      </c>
      <c r="G212">
        <v>123052790870.571</v>
      </c>
      <c r="H212">
        <v>123052391208.095</v>
      </c>
      <c r="I212">
        <v>123052391208.095</v>
      </c>
      <c r="J212">
        <v>87854463827.018097</v>
      </c>
      <c r="K212" t="s">
        <v>219</v>
      </c>
      <c r="L212">
        <v>65915211622.237999</v>
      </c>
      <c r="M212" t="s">
        <v>219</v>
      </c>
      <c r="N212">
        <v>106629.01524402</v>
      </c>
      <c r="O212" t="s">
        <v>219</v>
      </c>
      <c r="P212">
        <v>9327884423.7149906</v>
      </c>
      <c r="Q212">
        <v>4896214550.5131998</v>
      </c>
      <c r="R212">
        <v>1181826752.5126801</v>
      </c>
      <c r="S212">
        <v>1726032404.3809199</v>
      </c>
      <c r="T212">
        <v>2907859156.89359</v>
      </c>
      <c r="U212">
        <v>6087868789.8809404</v>
      </c>
      <c r="V212">
        <v>-228425673.16288799</v>
      </c>
      <c r="W212">
        <v>94332770513.0159</v>
      </c>
      <c r="X212">
        <v>94332770513.0159</v>
      </c>
      <c r="Y212" t="s">
        <v>219</v>
      </c>
      <c r="Z212">
        <v>57137579248.333504</v>
      </c>
      <c r="AA212">
        <v>0.53566612472502495</v>
      </c>
      <c r="AB212">
        <v>1154027.2653645501</v>
      </c>
    </row>
    <row r="213" spans="1:28" x14ac:dyDescent="0.25">
      <c r="A213">
        <v>2022</v>
      </c>
      <c r="B213" t="s">
        <v>225</v>
      </c>
      <c r="C213">
        <v>5</v>
      </c>
      <c r="D213" t="s">
        <v>228</v>
      </c>
      <c r="E213">
        <v>36145152056.997704</v>
      </c>
      <c r="F213">
        <v>36145152056.997704</v>
      </c>
      <c r="G213">
        <v>26049675416.580502</v>
      </c>
      <c r="H213">
        <v>26049675416.580502</v>
      </c>
      <c r="I213">
        <v>26049675416.580502</v>
      </c>
      <c r="J213">
        <v>10095476640.4172</v>
      </c>
      <c r="K213" t="s">
        <v>219</v>
      </c>
      <c r="L213">
        <v>22170454088.5541</v>
      </c>
      <c r="M213" t="s">
        <v>219</v>
      </c>
      <c r="N213">
        <v>48186.012463817802</v>
      </c>
      <c r="O213" t="s">
        <v>219</v>
      </c>
      <c r="P213">
        <v>2031278865.74084</v>
      </c>
      <c r="Q213">
        <v>323539863.52590698</v>
      </c>
      <c r="R213">
        <v>54885983</v>
      </c>
      <c r="S213">
        <v>48973405.164737403</v>
      </c>
      <c r="T213">
        <v>103859388.164737</v>
      </c>
      <c r="U213">
        <v>581742668.87962198</v>
      </c>
      <c r="V213">
        <v>6052352.5815088795</v>
      </c>
      <c r="W213">
        <v>19414676016.8409</v>
      </c>
      <c r="X213">
        <v>19414676016.8409</v>
      </c>
      <c r="Y213" t="s">
        <v>219</v>
      </c>
      <c r="Z213">
        <v>3879221328.0264101</v>
      </c>
      <c r="AA213">
        <v>0.85108369812710605</v>
      </c>
      <c r="AB213">
        <v>540606.58030462498</v>
      </c>
    </row>
    <row r="214" spans="1:28" x14ac:dyDescent="0.25">
      <c r="A214">
        <v>2022</v>
      </c>
      <c r="B214" t="s">
        <v>226</v>
      </c>
      <c r="C214">
        <v>5</v>
      </c>
      <c r="D214" t="s">
        <v>228</v>
      </c>
      <c r="E214">
        <v>179245905170.26599</v>
      </c>
      <c r="F214">
        <v>179245905170.26599</v>
      </c>
      <c r="G214">
        <v>96853294261.074402</v>
      </c>
      <c r="H214">
        <v>96853294261.074402</v>
      </c>
      <c r="I214">
        <v>96853294261.074402</v>
      </c>
      <c r="J214">
        <v>82392610909.191803</v>
      </c>
      <c r="K214" t="s">
        <v>219</v>
      </c>
      <c r="L214">
        <v>84407646158.265793</v>
      </c>
      <c r="M214" t="s">
        <v>219</v>
      </c>
      <c r="N214">
        <v>97322.292832212901</v>
      </c>
      <c r="O214" t="s">
        <v>219</v>
      </c>
      <c r="P214">
        <v>5001096201.6526699</v>
      </c>
      <c r="Q214">
        <v>1753796496.59764</v>
      </c>
      <c r="R214">
        <v>2687078.39885215</v>
      </c>
      <c r="S214">
        <v>465997074.08210099</v>
      </c>
      <c r="T214">
        <v>468684152.48095399</v>
      </c>
      <c r="U214">
        <v>2769199025.7448101</v>
      </c>
      <c r="V214">
        <v>-120603946.587556</v>
      </c>
      <c r="W214">
        <v>54450878175.5158</v>
      </c>
      <c r="X214">
        <v>54450878175.5158</v>
      </c>
      <c r="Y214" t="s">
        <v>219</v>
      </c>
      <c r="Z214">
        <v>12445648102.808599</v>
      </c>
      <c r="AA214">
        <v>0.87150000216553802</v>
      </c>
      <c r="AB214">
        <v>995180.97490831802</v>
      </c>
    </row>
    <row r="215" spans="1:28" x14ac:dyDescent="0.25">
      <c r="A215">
        <v>2022</v>
      </c>
      <c r="B215" t="s">
        <v>229</v>
      </c>
      <c r="C215">
        <v>5</v>
      </c>
      <c r="D215" t="s">
        <v>228</v>
      </c>
      <c r="E215">
        <v>54416846457.586502</v>
      </c>
      <c r="F215">
        <v>54416846457.586502</v>
      </c>
      <c r="G215">
        <v>22639551315.749401</v>
      </c>
      <c r="H215">
        <v>22639551315.749401</v>
      </c>
      <c r="I215">
        <v>22639551315.749401</v>
      </c>
      <c r="J215">
        <v>31777295141.837101</v>
      </c>
      <c r="K215" t="s">
        <v>219</v>
      </c>
      <c r="L215">
        <v>15559291269.346201</v>
      </c>
      <c r="M215" t="s">
        <v>219</v>
      </c>
      <c r="N215">
        <v>26889.283055257001</v>
      </c>
      <c r="O215" t="s">
        <v>219</v>
      </c>
      <c r="P215">
        <v>7933531623.9729996</v>
      </c>
      <c r="Q215">
        <v>702108525.62481904</v>
      </c>
      <c r="R215">
        <v>26345507.301161598</v>
      </c>
      <c r="S215">
        <v>243686501.99027699</v>
      </c>
      <c r="T215">
        <v>270032009.291439</v>
      </c>
      <c r="U215">
        <v>1742865750.05124</v>
      </c>
      <c r="V215">
        <v>50404485.880029097</v>
      </c>
      <c r="W215">
        <v>40640599239.583702</v>
      </c>
      <c r="X215">
        <v>40640599239.583702</v>
      </c>
      <c r="Y215" t="s">
        <v>219</v>
      </c>
      <c r="Z215">
        <v>7080260046.4031496</v>
      </c>
      <c r="AA215">
        <v>0.687261467877337</v>
      </c>
      <c r="AB215">
        <v>841954.44219265599</v>
      </c>
    </row>
    <row r="216" spans="1:28" x14ac:dyDescent="0.25">
      <c r="A216">
        <v>2023</v>
      </c>
      <c r="B216" t="s">
        <v>227</v>
      </c>
      <c r="C216">
        <v>5</v>
      </c>
      <c r="D216" t="s">
        <v>228</v>
      </c>
      <c r="E216">
        <v>5572510281.0822001</v>
      </c>
      <c r="F216">
        <v>5572510281.0822001</v>
      </c>
      <c r="G216">
        <v>2659653279.1891098</v>
      </c>
      <c r="H216">
        <v>2659653279.1891098</v>
      </c>
      <c r="I216">
        <v>2659653279.1891098</v>
      </c>
      <c r="J216">
        <v>2912857001.8930898</v>
      </c>
      <c r="K216" t="s">
        <v>219</v>
      </c>
      <c r="L216">
        <v>1428627853.54214</v>
      </c>
      <c r="M216" t="s">
        <v>219</v>
      </c>
      <c r="N216">
        <v>1571.9485580666501</v>
      </c>
      <c r="O216" t="s">
        <v>219</v>
      </c>
      <c r="P216">
        <v>624591390.59058201</v>
      </c>
      <c r="Q216">
        <v>595806015.57290602</v>
      </c>
      <c r="R216">
        <v>41419081.163849302</v>
      </c>
      <c r="S216">
        <v>163293935.771566</v>
      </c>
      <c r="T216">
        <v>204713016.935415</v>
      </c>
      <c r="U216">
        <v>451322173.42907602</v>
      </c>
      <c r="V216">
        <v>-19633199.868788902</v>
      </c>
      <c r="W216">
        <v>3186728849.1571898</v>
      </c>
      <c r="X216">
        <v>3186728849.1571898</v>
      </c>
      <c r="Y216" t="s">
        <v>219</v>
      </c>
      <c r="Z216">
        <v>1231025425.64697</v>
      </c>
      <c r="AA216">
        <v>0.53714815563392004</v>
      </c>
      <c r="AB216">
        <v>1691946.76603173</v>
      </c>
    </row>
    <row r="217" spans="1:28" x14ac:dyDescent="0.25">
      <c r="A217">
        <v>2023</v>
      </c>
      <c r="B217" t="s">
        <v>217</v>
      </c>
      <c r="C217">
        <v>5</v>
      </c>
      <c r="D217" t="s">
        <v>228</v>
      </c>
      <c r="E217">
        <v>809592502649.11304</v>
      </c>
      <c r="F217">
        <v>767904015950.46802</v>
      </c>
      <c r="G217">
        <v>240127159755.69601</v>
      </c>
      <c r="H217">
        <v>198438673057.05099</v>
      </c>
      <c r="I217">
        <v>198438673057.05099</v>
      </c>
      <c r="J217">
        <v>611153829592.06201</v>
      </c>
      <c r="K217">
        <v>92599065089.706406</v>
      </c>
      <c r="L217">
        <v>104619799861.40601</v>
      </c>
      <c r="M217">
        <v>15851484827.4858</v>
      </c>
      <c r="N217">
        <v>89501.941393681205</v>
      </c>
      <c r="O217" t="s">
        <v>219</v>
      </c>
      <c r="P217">
        <v>56457788625.375702</v>
      </c>
      <c r="Q217">
        <v>38688155694.244598</v>
      </c>
      <c r="R217">
        <v>3048451859.309</v>
      </c>
      <c r="S217">
        <v>4990645244.9849796</v>
      </c>
      <c r="T217">
        <v>8039097104.2939796</v>
      </c>
      <c r="U217">
        <v>24684323791.2756</v>
      </c>
      <c r="V217">
        <v>-1909039042.8452401</v>
      </c>
      <c r="W217">
        <v>402462792005.25299</v>
      </c>
      <c r="X217">
        <v>402462792005.25299</v>
      </c>
      <c r="Y217">
        <v>510913341922.44598</v>
      </c>
      <c r="Z217">
        <v>135507359894.28999</v>
      </c>
      <c r="AA217">
        <v>0.435684992767357</v>
      </c>
      <c r="AB217">
        <v>2682926.8283631802</v>
      </c>
    </row>
    <row r="218" spans="1:28" x14ac:dyDescent="0.25">
      <c r="A218">
        <v>2023</v>
      </c>
      <c r="B218" t="s">
        <v>220</v>
      </c>
      <c r="C218">
        <v>5</v>
      </c>
      <c r="D218" t="s">
        <v>228</v>
      </c>
      <c r="E218">
        <v>105775760657.97501</v>
      </c>
      <c r="F218">
        <v>105775760657.97501</v>
      </c>
      <c r="G218">
        <v>45074521950.318703</v>
      </c>
      <c r="H218">
        <v>45074521950.318703</v>
      </c>
      <c r="I218">
        <v>45074521950.318703</v>
      </c>
      <c r="J218">
        <v>60701238707.656601</v>
      </c>
      <c r="K218" t="s">
        <v>219</v>
      </c>
      <c r="L218">
        <v>22587073934.021599</v>
      </c>
      <c r="M218" t="s">
        <v>219</v>
      </c>
      <c r="N218">
        <v>13369.797439419401</v>
      </c>
      <c r="O218" t="s">
        <v>219</v>
      </c>
      <c r="P218">
        <v>21322851842.724499</v>
      </c>
      <c r="Q218">
        <v>12142091020.558201</v>
      </c>
      <c r="R218">
        <v>106880229.119939</v>
      </c>
      <c r="S218">
        <v>92936781.746253207</v>
      </c>
      <c r="T218">
        <v>199817010.86619201</v>
      </c>
      <c r="U218">
        <v>10852394683.8351</v>
      </c>
      <c r="V218">
        <v>330362647.77451599</v>
      </c>
      <c r="W218">
        <v>222619354353.112</v>
      </c>
      <c r="X218">
        <v>222619354353.112</v>
      </c>
      <c r="Y218" t="s">
        <v>219</v>
      </c>
      <c r="Z218">
        <v>22487448016.2971</v>
      </c>
      <c r="AA218">
        <v>0.50110512450730205</v>
      </c>
      <c r="AB218">
        <v>3371369.0992371701</v>
      </c>
    </row>
    <row r="219" spans="1:28" x14ac:dyDescent="0.25">
      <c r="A219">
        <v>2023</v>
      </c>
      <c r="B219" t="s">
        <v>221</v>
      </c>
      <c r="C219">
        <v>5</v>
      </c>
      <c r="D219" t="s">
        <v>228</v>
      </c>
      <c r="E219">
        <v>465481359168.74597</v>
      </c>
      <c r="F219">
        <v>458163797879.83398</v>
      </c>
      <c r="G219">
        <v>297770375510.88898</v>
      </c>
      <c r="H219">
        <v>290452814221.97699</v>
      </c>
      <c r="I219">
        <v>290452814221.97699</v>
      </c>
      <c r="J219">
        <v>175028544946.76999</v>
      </c>
      <c r="K219" t="s">
        <v>219</v>
      </c>
      <c r="L219">
        <v>125797187783.416</v>
      </c>
      <c r="M219" t="s">
        <v>219</v>
      </c>
      <c r="N219">
        <v>143852.89833322199</v>
      </c>
      <c r="O219" t="s">
        <v>219</v>
      </c>
      <c r="P219">
        <v>26916554648.827499</v>
      </c>
      <c r="Q219">
        <v>11631439532.4443</v>
      </c>
      <c r="R219">
        <v>744254054.30169904</v>
      </c>
      <c r="S219">
        <v>5497699131.3063002</v>
      </c>
      <c r="T219">
        <v>6241953185.6079998</v>
      </c>
      <c r="U219">
        <v>14253546819.711</v>
      </c>
      <c r="V219">
        <v>1396294416.4107699</v>
      </c>
      <c r="W219">
        <v>147882710369.43201</v>
      </c>
      <c r="X219">
        <v>147882710369.43201</v>
      </c>
      <c r="Y219" t="s">
        <v>219</v>
      </c>
      <c r="Z219">
        <v>171973187727.47299</v>
      </c>
      <c r="AA219">
        <v>0.42246374431165001</v>
      </c>
      <c r="AB219">
        <v>2069964.38000944</v>
      </c>
    </row>
    <row r="220" spans="1:28" x14ac:dyDescent="0.25">
      <c r="A220">
        <v>2023</v>
      </c>
      <c r="B220" t="s">
        <v>222</v>
      </c>
      <c r="C220">
        <v>5</v>
      </c>
      <c r="D220" t="s">
        <v>228</v>
      </c>
      <c r="E220">
        <v>441101365496.66199</v>
      </c>
      <c r="F220">
        <v>441073245950.93903</v>
      </c>
      <c r="G220">
        <v>198647112664.86401</v>
      </c>
      <c r="H220">
        <v>198618993119.14099</v>
      </c>
      <c r="I220">
        <v>198618993119.14099</v>
      </c>
      <c r="J220">
        <v>242482372377.522</v>
      </c>
      <c r="K220" t="s">
        <v>219</v>
      </c>
      <c r="L220">
        <v>105014752604.483</v>
      </c>
      <c r="M220" t="s">
        <v>219</v>
      </c>
      <c r="N220">
        <v>78187.677540889505</v>
      </c>
      <c r="O220" t="s">
        <v>219</v>
      </c>
      <c r="P220">
        <v>43014491662.710999</v>
      </c>
      <c r="Q220">
        <v>24125889160.1688</v>
      </c>
      <c r="R220">
        <v>8953634002.4334602</v>
      </c>
      <c r="S220">
        <v>7706014935.53971</v>
      </c>
      <c r="T220">
        <v>16659648937.9732</v>
      </c>
      <c r="U220">
        <v>19362973835.2682</v>
      </c>
      <c r="V220">
        <v>-337121299.13939202</v>
      </c>
      <c r="W220">
        <v>229763814143.64999</v>
      </c>
      <c r="X220">
        <v>229763814143.64999</v>
      </c>
      <c r="Y220" t="s">
        <v>219</v>
      </c>
      <c r="Z220">
        <v>93632360060.380997</v>
      </c>
      <c r="AA220">
        <v>0.52864978098953197</v>
      </c>
      <c r="AB220">
        <v>2540644.75263354</v>
      </c>
    </row>
    <row r="221" spans="1:28" x14ac:dyDescent="0.25">
      <c r="A221">
        <v>2023</v>
      </c>
      <c r="B221" t="s">
        <v>223</v>
      </c>
      <c r="C221">
        <v>5</v>
      </c>
      <c r="D221" t="s">
        <v>228</v>
      </c>
      <c r="E221">
        <v>59922304469.258003</v>
      </c>
      <c r="F221">
        <v>59907493214.218102</v>
      </c>
      <c r="G221">
        <v>19247997420.042301</v>
      </c>
      <c r="H221">
        <v>19233186165.002499</v>
      </c>
      <c r="I221">
        <v>19233186165.002499</v>
      </c>
      <c r="J221">
        <v>40689118304.255501</v>
      </c>
      <c r="K221" t="s">
        <v>219</v>
      </c>
      <c r="L221">
        <v>14266708407.9769</v>
      </c>
      <c r="M221" t="s">
        <v>219</v>
      </c>
      <c r="N221">
        <v>31447.1256730981</v>
      </c>
      <c r="O221" t="s">
        <v>219</v>
      </c>
      <c r="P221">
        <v>1968138948.6366799</v>
      </c>
      <c r="Q221">
        <v>1185840298.7119</v>
      </c>
      <c r="R221">
        <v>17691540.3753778</v>
      </c>
      <c r="S221">
        <v>93040618.578341499</v>
      </c>
      <c r="T221">
        <v>110732158.953719</v>
      </c>
      <c r="U221">
        <v>1305868824.2388699</v>
      </c>
      <c r="V221">
        <v>122363320.206755</v>
      </c>
      <c r="W221">
        <v>25247656532.872799</v>
      </c>
      <c r="X221">
        <v>25247656532.872799</v>
      </c>
      <c r="Y221" t="s">
        <v>219</v>
      </c>
      <c r="Z221">
        <v>4981289012.0654001</v>
      </c>
      <c r="AA221">
        <v>0.741204817137053</v>
      </c>
      <c r="AB221">
        <v>612074.93556424801</v>
      </c>
    </row>
    <row r="222" spans="1:28" x14ac:dyDescent="0.25">
      <c r="A222">
        <v>2023</v>
      </c>
      <c r="B222" t="s">
        <v>230</v>
      </c>
      <c r="C222">
        <v>5</v>
      </c>
      <c r="D222" t="s">
        <v>228</v>
      </c>
      <c r="E222">
        <v>85972101755.251907</v>
      </c>
      <c r="F222">
        <v>85966400245.763702</v>
      </c>
      <c r="G222">
        <v>33123616382.111599</v>
      </c>
      <c r="H222">
        <v>33117914872.623402</v>
      </c>
      <c r="I222">
        <v>33117914872.623402</v>
      </c>
      <c r="J222">
        <v>52854186882.628403</v>
      </c>
      <c r="K222" t="s">
        <v>219</v>
      </c>
      <c r="L222">
        <v>16822284063.312599</v>
      </c>
      <c r="M222" t="s">
        <v>219</v>
      </c>
      <c r="N222">
        <v>9533.4820331200299</v>
      </c>
      <c r="O222" t="s">
        <v>219</v>
      </c>
      <c r="P222">
        <v>1670538017.57674</v>
      </c>
      <c r="Q222">
        <v>495025027.20189202</v>
      </c>
      <c r="R222">
        <v>34780389.566600397</v>
      </c>
      <c r="S222">
        <v>32132609.9910798</v>
      </c>
      <c r="T222">
        <v>66912999.5576801</v>
      </c>
      <c r="U222">
        <v>1157919374.7656</v>
      </c>
      <c r="V222">
        <v>164653649.27968401</v>
      </c>
      <c r="W222">
        <v>8518422814.8679504</v>
      </c>
      <c r="X222">
        <v>8518422814.8679504</v>
      </c>
      <c r="Y222" t="s">
        <v>219</v>
      </c>
      <c r="Z222">
        <v>16301332318.799</v>
      </c>
      <c r="AA222">
        <v>0.50786375102440495</v>
      </c>
      <c r="AB222">
        <v>3474451.02083768</v>
      </c>
    </row>
    <row r="223" spans="1:28" x14ac:dyDescent="0.25">
      <c r="A223">
        <v>2023</v>
      </c>
      <c r="B223" t="s">
        <v>224</v>
      </c>
      <c r="C223">
        <v>5</v>
      </c>
      <c r="D223" t="s">
        <v>228</v>
      </c>
      <c r="E223">
        <v>243398535079.659</v>
      </c>
      <c r="F223">
        <v>243398293216.52899</v>
      </c>
      <c r="G223">
        <v>137488156158.14801</v>
      </c>
      <c r="H223">
        <v>137487914295.01801</v>
      </c>
      <c r="I223">
        <v>137487914295.01801</v>
      </c>
      <c r="J223">
        <v>105910620784.64101</v>
      </c>
      <c r="K223" t="s">
        <v>219</v>
      </c>
      <c r="L223">
        <v>75521847167.586197</v>
      </c>
      <c r="M223" t="s">
        <v>219</v>
      </c>
      <c r="N223">
        <v>112495.51297695401</v>
      </c>
      <c r="O223" t="s">
        <v>219</v>
      </c>
      <c r="P223">
        <v>27363583780.91</v>
      </c>
      <c r="Q223">
        <v>8087542207.2262402</v>
      </c>
      <c r="R223">
        <v>2264887495.6382298</v>
      </c>
      <c r="S223">
        <v>7183841954.5062904</v>
      </c>
      <c r="T223">
        <v>9448729450.1445198</v>
      </c>
      <c r="U223">
        <v>7872044191.5325804</v>
      </c>
      <c r="V223">
        <v>18237629.070182901</v>
      </c>
      <c r="W223">
        <v>125490054307.653</v>
      </c>
      <c r="X223">
        <v>125490054307.653</v>
      </c>
      <c r="Y223" t="s">
        <v>219</v>
      </c>
      <c r="Z223">
        <v>61966308990.561798</v>
      </c>
      <c r="AA223">
        <v>0.54929711240520196</v>
      </c>
      <c r="AB223">
        <v>1222165.6892778799</v>
      </c>
    </row>
    <row r="224" spans="1:28" x14ac:dyDescent="0.25">
      <c r="A224">
        <v>2023</v>
      </c>
      <c r="B224" t="s">
        <v>225</v>
      </c>
      <c r="C224">
        <v>5</v>
      </c>
      <c r="D224" t="s">
        <v>228</v>
      </c>
      <c r="E224">
        <v>40111469429.702499</v>
      </c>
      <c r="F224">
        <v>40111469429.702499</v>
      </c>
      <c r="G224">
        <v>29429183518.972099</v>
      </c>
      <c r="H224">
        <v>29429183518.972099</v>
      </c>
      <c r="I224">
        <v>29429183518.972099</v>
      </c>
      <c r="J224">
        <v>10682285910.730301</v>
      </c>
      <c r="K224" t="s">
        <v>219</v>
      </c>
      <c r="L224">
        <v>25643311376.551601</v>
      </c>
      <c r="M224" t="s">
        <v>219</v>
      </c>
      <c r="N224">
        <v>50602.522374479799</v>
      </c>
      <c r="O224" t="s">
        <v>219</v>
      </c>
      <c r="P224">
        <v>2244788851.72259</v>
      </c>
      <c r="Q224">
        <v>307206761.30846298</v>
      </c>
      <c r="R224">
        <v>37852022</v>
      </c>
      <c r="S224">
        <v>42273798.881467797</v>
      </c>
      <c r="T224">
        <v>80125820.881467804</v>
      </c>
      <c r="U224">
        <v>686783644.57535005</v>
      </c>
      <c r="V224">
        <v>11542734.001359301</v>
      </c>
      <c r="W224">
        <v>20850772280.238701</v>
      </c>
      <c r="X224">
        <v>20850772280.238701</v>
      </c>
      <c r="Y224" t="s">
        <v>219</v>
      </c>
      <c r="Z224">
        <v>3785872142.4205098</v>
      </c>
      <c r="AA224">
        <v>0.87135653491780096</v>
      </c>
      <c r="AB224">
        <v>581575.42624424596</v>
      </c>
    </row>
    <row r="225" spans="1:28" x14ac:dyDescent="0.25">
      <c r="A225">
        <v>2023</v>
      </c>
      <c r="B225" t="s">
        <v>226</v>
      </c>
      <c r="C225">
        <v>5</v>
      </c>
      <c r="D225" t="s">
        <v>228</v>
      </c>
      <c r="E225">
        <v>204247088028.091</v>
      </c>
      <c r="F225">
        <v>204247088028.091</v>
      </c>
      <c r="G225">
        <v>115732676248.79401</v>
      </c>
      <c r="H225">
        <v>115732676248.79401</v>
      </c>
      <c r="I225">
        <v>115732676248.79401</v>
      </c>
      <c r="J225">
        <v>88514411779.296707</v>
      </c>
      <c r="K225" t="s">
        <v>219</v>
      </c>
      <c r="L225">
        <v>101597518322.63901</v>
      </c>
      <c r="M225" t="s">
        <v>219</v>
      </c>
      <c r="N225">
        <v>103987.217304682</v>
      </c>
      <c r="O225" t="s">
        <v>219</v>
      </c>
      <c r="P225">
        <v>5575119041.6299496</v>
      </c>
      <c r="Q225">
        <v>2053638773.5215199</v>
      </c>
      <c r="R225">
        <v>124299.610920381</v>
      </c>
      <c r="S225">
        <v>480011305.84508902</v>
      </c>
      <c r="T225">
        <v>480135605.45600897</v>
      </c>
      <c r="U225">
        <v>3362361886.0246401</v>
      </c>
      <c r="V225">
        <v>-78688646.664448097</v>
      </c>
      <c r="W225">
        <v>62219145269.081398</v>
      </c>
      <c r="X225">
        <v>62219145269.081398</v>
      </c>
      <c r="Y225" t="s">
        <v>219</v>
      </c>
      <c r="Z225">
        <v>14135157926.1558</v>
      </c>
      <c r="AA225">
        <v>0.87786372540310997</v>
      </c>
      <c r="AB225">
        <v>1112950.98809788</v>
      </c>
    </row>
    <row r="226" spans="1:28" x14ac:dyDescent="0.25">
      <c r="A226">
        <v>2023</v>
      </c>
      <c r="B226" t="s">
        <v>229</v>
      </c>
      <c r="C226">
        <v>5</v>
      </c>
      <c r="D226" t="s">
        <v>228</v>
      </c>
      <c r="E226">
        <v>57701761605.267303</v>
      </c>
      <c r="F226">
        <v>57701761605.267303</v>
      </c>
      <c r="G226">
        <v>24458335817.032501</v>
      </c>
      <c r="H226">
        <v>24458335817.032501</v>
      </c>
      <c r="I226">
        <v>24458335817.032501</v>
      </c>
      <c r="J226">
        <v>33243425788.234798</v>
      </c>
      <c r="K226" t="s">
        <v>219</v>
      </c>
      <c r="L226">
        <v>19027332503.6544</v>
      </c>
      <c r="M226" t="s">
        <v>219</v>
      </c>
      <c r="N226">
        <v>29574.573259943802</v>
      </c>
      <c r="O226" t="s">
        <v>219</v>
      </c>
      <c r="P226">
        <v>2683415915.2532802</v>
      </c>
      <c r="Q226">
        <v>784996264.21888304</v>
      </c>
      <c r="R226">
        <v>28836528.1267942</v>
      </c>
      <c r="S226">
        <v>269651313.79377002</v>
      </c>
      <c r="T226">
        <v>298487841.920564</v>
      </c>
      <c r="U226">
        <v>1772632227.7286899</v>
      </c>
      <c r="V226">
        <v>79678732.190212399</v>
      </c>
      <c r="W226">
        <v>36500970857.630402</v>
      </c>
      <c r="X226">
        <v>36500970857.630402</v>
      </c>
      <c r="Y226" t="s">
        <v>219</v>
      </c>
      <c r="Z226">
        <v>5431003313.3781605</v>
      </c>
      <c r="AA226">
        <v>0.77794877975319698</v>
      </c>
      <c r="AB226">
        <v>827005.53621036501</v>
      </c>
    </row>
    <row r="227" spans="1:28" x14ac:dyDescent="0.25">
      <c r="A227">
        <v>2024</v>
      </c>
      <c r="B227" t="s">
        <v>227</v>
      </c>
      <c r="C227">
        <v>5</v>
      </c>
      <c r="D227" t="s">
        <v>228</v>
      </c>
      <c r="E227">
        <v>6052099594.2692499</v>
      </c>
      <c r="F227">
        <v>6052099594.2692499</v>
      </c>
      <c r="G227">
        <v>3415150902.4305801</v>
      </c>
      <c r="H227">
        <v>3415150902.4305801</v>
      </c>
      <c r="I227">
        <v>3415150902.4305801</v>
      </c>
      <c r="J227">
        <v>2636948691.8386698</v>
      </c>
      <c r="K227" t="s">
        <v>219</v>
      </c>
      <c r="L227">
        <v>1650327892.1124899</v>
      </c>
      <c r="M227" t="s">
        <v>219</v>
      </c>
      <c r="N227">
        <v>1787.1349727398199</v>
      </c>
      <c r="O227" t="s">
        <v>219</v>
      </c>
      <c r="P227">
        <v>945749518.70174801</v>
      </c>
      <c r="Q227">
        <v>919803550.93389904</v>
      </c>
      <c r="R227">
        <v>300597914.66534001</v>
      </c>
      <c r="S227">
        <v>375062537.70034999</v>
      </c>
      <c r="T227">
        <v>675660452.36568999</v>
      </c>
      <c r="U227">
        <v>312315020.878313</v>
      </c>
      <c r="V227">
        <v>-51907247.587559298</v>
      </c>
      <c r="W227">
        <v>2724863790.2231498</v>
      </c>
      <c r="X227">
        <v>2724863790.2231498</v>
      </c>
      <c r="Y227" t="s">
        <v>219</v>
      </c>
      <c r="Z227">
        <v>1764823010.31809</v>
      </c>
      <c r="AA227">
        <v>0.48323718021887202</v>
      </c>
      <c r="AB227">
        <v>1910964.1714385301</v>
      </c>
    </row>
    <row r="228" spans="1:28" x14ac:dyDescent="0.25">
      <c r="A228">
        <v>2024</v>
      </c>
      <c r="B228" t="s">
        <v>217</v>
      </c>
      <c r="C228">
        <v>5</v>
      </c>
      <c r="D228" t="s">
        <v>228</v>
      </c>
      <c r="E228">
        <v>858071607633.11902</v>
      </c>
      <c r="F228">
        <v>812702000296.11499</v>
      </c>
      <c r="G228">
        <v>263970325327.66501</v>
      </c>
      <c r="H228">
        <v>218600717990.66101</v>
      </c>
      <c r="I228">
        <v>218600717990.66101</v>
      </c>
      <c r="J228">
        <v>639470889642.45801</v>
      </c>
      <c r="K228">
        <v>96889528733.705704</v>
      </c>
      <c r="L228">
        <v>112924265631.88699</v>
      </c>
      <c r="M228">
        <v>17109737216.9526</v>
      </c>
      <c r="N228">
        <v>90863.927158021295</v>
      </c>
      <c r="O228" t="s">
        <v>219</v>
      </c>
      <c r="P228">
        <v>43801057524.488998</v>
      </c>
      <c r="Q228">
        <v>22430814377.730701</v>
      </c>
      <c r="R228">
        <v>2213301432.9945798</v>
      </c>
      <c r="S228">
        <v>6190763386.0507202</v>
      </c>
      <c r="T228">
        <v>8404064819.0452995</v>
      </c>
      <c r="U228">
        <v>27515759179.244099</v>
      </c>
      <c r="V228">
        <v>-2002949331.6091499</v>
      </c>
      <c r="W228">
        <v>436965957591.82397</v>
      </c>
      <c r="X228">
        <v>436965957591.82397</v>
      </c>
      <c r="Y228">
        <v>550965223542.48206</v>
      </c>
      <c r="Z228">
        <v>151046059695.77802</v>
      </c>
      <c r="AA228">
        <v>0.42779151592784098</v>
      </c>
      <c r="AB228">
        <v>2905116.8443181501</v>
      </c>
    </row>
    <row r="229" spans="1:28" x14ac:dyDescent="0.25">
      <c r="A229">
        <v>2024</v>
      </c>
      <c r="B229" t="s">
        <v>220</v>
      </c>
      <c r="C229">
        <v>5</v>
      </c>
      <c r="D229" t="s">
        <v>228</v>
      </c>
      <c r="E229">
        <v>120355289540.894</v>
      </c>
      <c r="F229">
        <v>120355289540.894</v>
      </c>
      <c r="G229">
        <v>58929441696.245102</v>
      </c>
      <c r="H229">
        <v>58929441696.245102</v>
      </c>
      <c r="I229">
        <v>58929441696.245102</v>
      </c>
      <c r="J229">
        <v>61425847844.648903</v>
      </c>
      <c r="K229" t="s">
        <v>219</v>
      </c>
      <c r="L229">
        <v>24101159942.343201</v>
      </c>
      <c r="M229" t="s">
        <v>219</v>
      </c>
      <c r="N229">
        <v>13655.3577492478</v>
      </c>
      <c r="O229" t="s">
        <v>219</v>
      </c>
      <c r="P229">
        <v>20334589907.413399</v>
      </c>
      <c r="Q229">
        <v>13113297422.3699</v>
      </c>
      <c r="R229">
        <v>658742523.93358302</v>
      </c>
      <c r="S229">
        <v>79447928.313541099</v>
      </c>
      <c r="T229">
        <v>738190452.24712396</v>
      </c>
      <c r="U229">
        <v>10868908564.949499</v>
      </c>
      <c r="V229">
        <v>416919692.29379702</v>
      </c>
      <c r="W229">
        <v>233268564421.72699</v>
      </c>
      <c r="X229">
        <v>233268564421.72699</v>
      </c>
      <c r="Y229" t="s">
        <v>219</v>
      </c>
      <c r="Z229">
        <v>34828281753.902</v>
      </c>
      <c r="AA229">
        <v>0.40898334090069699</v>
      </c>
      <c r="AB229">
        <v>4315481.3501309697</v>
      </c>
    </row>
    <row r="230" spans="1:28" x14ac:dyDescent="0.25">
      <c r="A230">
        <v>2024</v>
      </c>
      <c r="B230" t="s">
        <v>221</v>
      </c>
      <c r="C230">
        <v>5</v>
      </c>
      <c r="D230" t="s">
        <v>228</v>
      </c>
      <c r="E230">
        <v>494700424143.47498</v>
      </c>
      <c r="F230">
        <v>487331416414.52301</v>
      </c>
      <c r="G230">
        <v>313166711089.76801</v>
      </c>
      <c r="H230">
        <v>305797703360.81702</v>
      </c>
      <c r="I230">
        <v>305797703360.81702</v>
      </c>
      <c r="J230">
        <v>188902720782.659</v>
      </c>
      <c r="K230" t="s">
        <v>219</v>
      </c>
      <c r="L230">
        <v>137831727239.181</v>
      </c>
      <c r="M230" t="s">
        <v>219</v>
      </c>
      <c r="N230">
        <v>147391.98266276799</v>
      </c>
      <c r="O230" t="s">
        <v>219</v>
      </c>
      <c r="P230">
        <v>28315611990.576302</v>
      </c>
      <c r="Q230">
        <v>13278813015.268499</v>
      </c>
      <c r="R230">
        <v>1885920901.15453</v>
      </c>
      <c r="S230">
        <v>4516163200.6872501</v>
      </c>
      <c r="T230">
        <v>6402084101.8417797</v>
      </c>
      <c r="U230">
        <v>14151768436.621</v>
      </c>
      <c r="V230">
        <v>1411076496.48581</v>
      </c>
      <c r="W230">
        <v>163135503266.91501</v>
      </c>
      <c r="X230">
        <v>163135503266.91501</v>
      </c>
      <c r="Y230" t="s">
        <v>219</v>
      </c>
      <c r="Z230">
        <v>175334983850.58701</v>
      </c>
      <c r="AA230">
        <v>0.44012253652231997</v>
      </c>
      <c r="AB230">
        <v>2124720.1199965701</v>
      </c>
    </row>
    <row r="231" spans="1:28" x14ac:dyDescent="0.25">
      <c r="A231">
        <v>2024</v>
      </c>
      <c r="B231" t="s">
        <v>222</v>
      </c>
      <c r="C231">
        <v>5</v>
      </c>
      <c r="D231" t="s">
        <v>228</v>
      </c>
      <c r="E231">
        <v>503282533556.92603</v>
      </c>
      <c r="F231">
        <v>503240912673.83197</v>
      </c>
      <c r="G231">
        <v>231206856285.10699</v>
      </c>
      <c r="H231">
        <v>231165235402.013</v>
      </c>
      <c r="I231">
        <v>231165235402.013</v>
      </c>
      <c r="J231">
        <v>272117298154.91299</v>
      </c>
      <c r="K231" t="s">
        <v>219</v>
      </c>
      <c r="L231">
        <v>118919170697.55901</v>
      </c>
      <c r="M231" t="s">
        <v>219</v>
      </c>
      <c r="N231">
        <v>80032.535796940894</v>
      </c>
      <c r="O231" t="s">
        <v>219</v>
      </c>
      <c r="P231">
        <v>41019033321.6838</v>
      </c>
      <c r="Q231">
        <v>25267243682.926998</v>
      </c>
      <c r="R231">
        <v>7050112596.8567801</v>
      </c>
      <c r="S231">
        <v>9397643850.8778191</v>
      </c>
      <c r="T231">
        <v>16447756447.7346</v>
      </c>
      <c r="U231">
        <v>22419915654.973099</v>
      </c>
      <c r="V231">
        <v>-26176556.743936699</v>
      </c>
      <c r="W231">
        <v>260644033831.392</v>
      </c>
      <c r="X231">
        <v>260644033831.392</v>
      </c>
      <c r="Y231" t="s">
        <v>219</v>
      </c>
      <c r="Z231">
        <v>112287685587.548</v>
      </c>
      <c r="AA231">
        <v>0.51434102175117402</v>
      </c>
      <c r="AB231">
        <v>2888910.7908779401</v>
      </c>
    </row>
    <row r="232" spans="1:28" x14ac:dyDescent="0.25">
      <c r="A232">
        <v>2024</v>
      </c>
      <c r="B232" t="s">
        <v>223</v>
      </c>
      <c r="C232">
        <v>5</v>
      </c>
      <c r="D232" t="s">
        <v>228</v>
      </c>
      <c r="E232">
        <v>55275140254.607101</v>
      </c>
      <c r="F232">
        <v>55260375750.607101</v>
      </c>
      <c r="G232">
        <v>23077573726.991199</v>
      </c>
      <c r="H232">
        <v>23062809222.991199</v>
      </c>
      <c r="I232">
        <v>23062809222.991199</v>
      </c>
      <c r="J232">
        <v>32212331031.615898</v>
      </c>
      <c r="K232" t="s">
        <v>219</v>
      </c>
      <c r="L232">
        <v>15449684492.3829</v>
      </c>
      <c r="M232" t="s">
        <v>219</v>
      </c>
      <c r="N232">
        <v>33707.185302711499</v>
      </c>
      <c r="O232" t="s">
        <v>219</v>
      </c>
      <c r="P232">
        <v>1816611590.66081</v>
      </c>
      <c r="Q232">
        <v>1172823280.7952399</v>
      </c>
      <c r="R232">
        <v>0</v>
      </c>
      <c r="S232">
        <v>146813094.752534</v>
      </c>
      <c r="T232">
        <v>146813094.752534</v>
      </c>
      <c r="U232">
        <v>1374275180.51089</v>
      </c>
      <c r="V232">
        <v>271887633.11178499</v>
      </c>
      <c r="W232">
        <v>23874161109.613499</v>
      </c>
      <c r="X232">
        <v>23874161109.613499</v>
      </c>
      <c r="Y232" t="s">
        <v>219</v>
      </c>
      <c r="Z232">
        <v>7627889234.6083202</v>
      </c>
      <c r="AA232">
        <v>0.66946745247803696</v>
      </c>
      <c r="AB232">
        <v>684648.49615119898</v>
      </c>
    </row>
    <row r="233" spans="1:28" x14ac:dyDescent="0.25">
      <c r="A233">
        <v>2024</v>
      </c>
      <c r="B233" t="s">
        <v>230</v>
      </c>
      <c r="C233">
        <v>5</v>
      </c>
      <c r="D233" t="s">
        <v>228</v>
      </c>
      <c r="E233">
        <v>98812830785.096893</v>
      </c>
      <c r="F233">
        <v>98812830785.096893</v>
      </c>
      <c r="G233">
        <v>41419776731.650803</v>
      </c>
      <c r="H233">
        <v>41419776731.650803</v>
      </c>
      <c r="I233">
        <v>41419776731.650803</v>
      </c>
      <c r="J233">
        <v>57393054053.446098</v>
      </c>
      <c r="K233" t="s">
        <v>219</v>
      </c>
      <c r="L233">
        <v>19118558566.134399</v>
      </c>
      <c r="M233" t="s">
        <v>219</v>
      </c>
      <c r="N233">
        <v>9483.2198856680097</v>
      </c>
      <c r="O233" t="s">
        <v>219</v>
      </c>
      <c r="P233">
        <v>2296312368.7687898</v>
      </c>
      <c r="Q233">
        <v>421274584.78448999</v>
      </c>
      <c r="R233">
        <v>7653310.5767482799</v>
      </c>
      <c r="S233">
        <v>150885602.37226599</v>
      </c>
      <c r="T233">
        <v>158538912.94901401</v>
      </c>
      <c r="U233">
        <v>1165073978.2946999</v>
      </c>
      <c r="V233">
        <v>145608774.58743399</v>
      </c>
      <c r="W233">
        <v>8679379866.2465706</v>
      </c>
      <c r="X233">
        <v>8679379866.2465706</v>
      </c>
      <c r="Y233" t="s">
        <v>219</v>
      </c>
      <c r="Z233">
        <v>22301218165.516399</v>
      </c>
      <c r="AA233">
        <v>0.46158043511434499</v>
      </c>
      <c r="AB233">
        <v>4367691.27269194</v>
      </c>
    </row>
    <row r="234" spans="1:28" x14ac:dyDescent="0.25">
      <c r="A234">
        <v>2024</v>
      </c>
      <c r="B234" t="s">
        <v>224</v>
      </c>
      <c r="C234">
        <v>5</v>
      </c>
      <c r="D234" t="s">
        <v>228</v>
      </c>
      <c r="E234">
        <v>263856645439.50201</v>
      </c>
      <c r="F234">
        <v>263856645439.50201</v>
      </c>
      <c r="G234">
        <v>137403501990.821</v>
      </c>
      <c r="H234">
        <v>137403501990.821</v>
      </c>
      <c r="I234">
        <v>137403501990.821</v>
      </c>
      <c r="J234">
        <v>126453143448.681</v>
      </c>
      <c r="K234" t="s">
        <v>219</v>
      </c>
      <c r="L234">
        <v>83137177739.931702</v>
      </c>
      <c r="M234" t="s">
        <v>219</v>
      </c>
      <c r="N234">
        <v>115158.636778068</v>
      </c>
      <c r="O234" t="s">
        <v>219</v>
      </c>
      <c r="P234">
        <v>17163517802.4198</v>
      </c>
      <c r="Q234">
        <v>8149900842.2934599</v>
      </c>
      <c r="R234">
        <v>3114795733.0174499</v>
      </c>
      <c r="S234">
        <v>2089473456.9119401</v>
      </c>
      <c r="T234">
        <v>5204269189.9293804</v>
      </c>
      <c r="U234">
        <v>8693560735.47999</v>
      </c>
      <c r="V234">
        <v>-52449959.350602999</v>
      </c>
      <c r="W234">
        <v>132533231361.302</v>
      </c>
      <c r="X234">
        <v>132533231361.302</v>
      </c>
      <c r="Y234" t="s">
        <v>219</v>
      </c>
      <c r="Z234">
        <v>54266324250.889503</v>
      </c>
      <c r="AA234">
        <v>0.605058652329585</v>
      </c>
      <c r="AB234">
        <v>1193167.1460788699</v>
      </c>
    </row>
    <row r="235" spans="1:28" x14ac:dyDescent="0.25">
      <c r="A235">
        <v>2024</v>
      </c>
      <c r="B235" t="s">
        <v>225</v>
      </c>
      <c r="C235">
        <v>5</v>
      </c>
      <c r="D235" t="s">
        <v>228</v>
      </c>
      <c r="E235">
        <v>45873678425.358597</v>
      </c>
      <c r="F235">
        <v>45873678425.358597</v>
      </c>
      <c r="G235">
        <v>35112162199.287498</v>
      </c>
      <c r="H235">
        <v>35112162199.287498</v>
      </c>
      <c r="I235">
        <v>35112162199.287498</v>
      </c>
      <c r="J235">
        <v>10761516226.070999</v>
      </c>
      <c r="K235" t="s">
        <v>219</v>
      </c>
      <c r="L235">
        <v>30681074010.406601</v>
      </c>
      <c r="M235" t="s">
        <v>219</v>
      </c>
      <c r="N235">
        <v>53909.7554524851</v>
      </c>
      <c r="O235" t="s">
        <v>219</v>
      </c>
      <c r="P235">
        <v>2524298179.9495401</v>
      </c>
      <c r="Q235">
        <v>401370672.94285202</v>
      </c>
      <c r="R235">
        <v>83081392.562868297</v>
      </c>
      <c r="S235">
        <v>43151264.580492899</v>
      </c>
      <c r="T235">
        <v>126232657.143361</v>
      </c>
      <c r="U235">
        <v>762182713.86643302</v>
      </c>
      <c r="V235">
        <v>21595754.354859799</v>
      </c>
      <c r="W235">
        <v>23661308342.734001</v>
      </c>
      <c r="X235">
        <v>23661308342.734001</v>
      </c>
      <c r="Y235" t="s">
        <v>219</v>
      </c>
      <c r="Z235">
        <v>4431088188.8808804</v>
      </c>
      <c r="AA235">
        <v>0.87380189907613304</v>
      </c>
      <c r="AB235">
        <v>651313.69832004898</v>
      </c>
    </row>
    <row r="236" spans="1:28" x14ac:dyDescent="0.25">
      <c r="A236">
        <v>2024</v>
      </c>
      <c r="B236" t="s">
        <v>226</v>
      </c>
      <c r="C236">
        <v>5</v>
      </c>
      <c r="D236" t="s">
        <v>228</v>
      </c>
      <c r="E236">
        <v>214364441268.28</v>
      </c>
      <c r="F236">
        <v>214364441268.28</v>
      </c>
      <c r="G236">
        <v>122024687179.114</v>
      </c>
      <c r="H236">
        <v>122024687179.114</v>
      </c>
      <c r="I236">
        <v>122024687179.114</v>
      </c>
      <c r="J236">
        <v>92339754089.166595</v>
      </c>
      <c r="K236" t="s">
        <v>219</v>
      </c>
      <c r="L236">
        <v>107092843816.16299</v>
      </c>
      <c r="M236" t="s">
        <v>219</v>
      </c>
      <c r="N236">
        <v>102694.31714738499</v>
      </c>
      <c r="O236" t="s">
        <v>219</v>
      </c>
      <c r="P236">
        <v>6341537017.6742296</v>
      </c>
      <c r="Q236">
        <v>2307312326.2747502</v>
      </c>
      <c r="R236">
        <v>0</v>
      </c>
      <c r="S236">
        <v>784041663.65973794</v>
      </c>
      <c r="T236">
        <v>784041663.65973794</v>
      </c>
      <c r="U236">
        <v>3466413489.79741</v>
      </c>
      <c r="V236">
        <v>24128006.5640149</v>
      </c>
      <c r="W236">
        <v>68296774509.4114</v>
      </c>
      <c r="X236">
        <v>68296774509.4114</v>
      </c>
      <c r="Y236" t="s">
        <v>219</v>
      </c>
      <c r="Z236">
        <v>14931843362.951099</v>
      </c>
      <c r="AA236">
        <v>0.87763260281066402</v>
      </c>
      <c r="AB236">
        <v>1188232.1297680601</v>
      </c>
    </row>
    <row r="237" spans="1:28" x14ac:dyDescent="0.25">
      <c r="A237">
        <v>2024</v>
      </c>
      <c r="B237" t="s">
        <v>229</v>
      </c>
      <c r="C237">
        <v>5</v>
      </c>
      <c r="D237" t="s">
        <v>228</v>
      </c>
      <c r="E237">
        <v>62927456438.375801</v>
      </c>
      <c r="F237">
        <v>62927456438.375801</v>
      </c>
      <c r="G237">
        <v>27316767720.905899</v>
      </c>
      <c r="H237">
        <v>27316767720.905899</v>
      </c>
      <c r="I237">
        <v>27316767720.905899</v>
      </c>
      <c r="J237">
        <v>35610688717.470001</v>
      </c>
      <c r="K237" t="s">
        <v>219</v>
      </c>
      <c r="L237">
        <v>21440304276.030201</v>
      </c>
      <c r="M237" t="s">
        <v>219</v>
      </c>
      <c r="N237">
        <v>31926.3471830054</v>
      </c>
      <c r="O237" t="s">
        <v>219</v>
      </c>
      <c r="P237">
        <v>2879343254.1680002</v>
      </c>
      <c r="Q237">
        <v>746906236.07609403</v>
      </c>
      <c r="R237">
        <v>261178264.121099</v>
      </c>
      <c r="S237">
        <v>310331413.59528899</v>
      </c>
      <c r="T237">
        <v>571509677.71638799</v>
      </c>
      <c r="U237">
        <v>1988515169.9630899</v>
      </c>
      <c r="V237">
        <v>116984928.213227</v>
      </c>
      <c r="W237">
        <v>41654917948.3396</v>
      </c>
      <c r="X237">
        <v>41654917948.3396</v>
      </c>
      <c r="Y237" t="s">
        <v>219</v>
      </c>
      <c r="Z237">
        <v>5876463444.8756704</v>
      </c>
      <c r="AA237">
        <v>0.784877057750199</v>
      </c>
      <c r="AB237">
        <v>855618.32565194904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25"/>
  <sheetViews>
    <sheetView topLeftCell="U1" workbookViewId="0">
      <pane ySplit="1" topLeftCell="A2" activePane="bottomLeft" state="frozen"/>
      <selection pane="bottomLeft" activeCell="AD25" sqref="AD2:AD25"/>
    </sheetView>
  </sheetViews>
  <sheetFormatPr baseColWidth="10" defaultRowHeight="15" x14ac:dyDescent="0.25"/>
  <cols>
    <col min="11" max="11" width="13.42578125" customWidth="1"/>
    <col min="25" max="25" width="24.28515625" customWidth="1"/>
    <col min="29" max="29" width="17.85546875" bestFit="1" customWidth="1"/>
  </cols>
  <sheetData>
    <row r="1" spans="1:30" s="1" customFormat="1" ht="60" x14ac:dyDescent="0.25">
      <c r="A1" s="1" t="s">
        <v>52</v>
      </c>
      <c r="B1" s="1" t="s">
        <v>57</v>
      </c>
      <c r="C1" s="1" t="s">
        <v>65</v>
      </c>
      <c r="D1" s="1" t="s">
        <v>69</v>
      </c>
      <c r="E1" s="1" t="s">
        <v>75</v>
      </c>
      <c r="F1" s="1" t="s">
        <v>79</v>
      </c>
      <c r="G1" s="1" t="s">
        <v>82</v>
      </c>
      <c r="H1" s="1" t="s">
        <v>84</v>
      </c>
      <c r="I1" s="1" t="s">
        <v>123</v>
      </c>
      <c r="J1" s="1" t="s">
        <v>135</v>
      </c>
      <c r="K1" s="1" t="s">
        <v>141</v>
      </c>
      <c r="L1" s="1" t="s">
        <v>86</v>
      </c>
      <c r="M1" s="1" t="s">
        <v>138</v>
      </c>
      <c r="N1" s="1" t="s">
        <v>89</v>
      </c>
      <c r="O1" s="1" t="s">
        <v>92</v>
      </c>
      <c r="P1" s="1" t="s">
        <v>96</v>
      </c>
      <c r="Q1" s="1" t="s">
        <v>99</v>
      </c>
      <c r="R1" s="1" t="s">
        <v>102</v>
      </c>
      <c r="S1" s="1" t="s">
        <v>104</v>
      </c>
      <c r="T1" s="1" t="s">
        <v>107</v>
      </c>
      <c r="U1" s="1" t="s">
        <v>111</v>
      </c>
      <c r="V1" s="1" t="s">
        <v>114</v>
      </c>
      <c r="W1" s="1" t="s">
        <v>117</v>
      </c>
      <c r="X1" s="1" t="s">
        <v>120</v>
      </c>
      <c r="Y1" s="1" t="s">
        <v>144</v>
      </c>
      <c r="Z1" s="1" t="s">
        <v>147</v>
      </c>
      <c r="AA1" s="1" t="s">
        <v>150</v>
      </c>
      <c r="AB1" s="1" t="s">
        <v>153</v>
      </c>
      <c r="AC1" s="1" t="s">
        <v>297</v>
      </c>
    </row>
    <row r="2" spans="1:30" x14ac:dyDescent="0.25">
      <c r="A2">
        <v>2001</v>
      </c>
      <c r="B2" t="s">
        <v>217</v>
      </c>
      <c r="C2">
        <v>1</v>
      </c>
      <c r="D2" t="s">
        <v>218</v>
      </c>
      <c r="E2">
        <v>89240215000</v>
      </c>
      <c r="F2" t="s">
        <v>219</v>
      </c>
      <c r="G2">
        <v>32030854000</v>
      </c>
      <c r="H2" t="s">
        <v>219</v>
      </c>
      <c r="I2">
        <v>26506272680.6166</v>
      </c>
      <c r="J2">
        <v>62733942319.383301</v>
      </c>
      <c r="K2">
        <v>9505142775.6641407</v>
      </c>
      <c r="L2">
        <v>11462459000</v>
      </c>
      <c r="M2">
        <v>1736736212.1212101</v>
      </c>
      <c r="N2">
        <v>113817</v>
      </c>
      <c r="O2">
        <v>12367</v>
      </c>
      <c r="P2">
        <v>3539644000</v>
      </c>
      <c r="Q2">
        <v>2057120000</v>
      </c>
      <c r="R2">
        <v>1075519000</v>
      </c>
      <c r="S2" t="s">
        <v>219</v>
      </c>
      <c r="T2" t="s">
        <v>219</v>
      </c>
      <c r="U2">
        <v>3127411000</v>
      </c>
      <c r="V2">
        <v>6829485000</v>
      </c>
      <c r="W2">
        <v>28622363000</v>
      </c>
      <c r="X2">
        <v>28622363000</v>
      </c>
      <c r="Y2" s="2">
        <v>39864241987.7854</v>
      </c>
      <c r="Z2">
        <v>20568395000</v>
      </c>
      <c r="AA2">
        <v>0.35785680269405201</v>
      </c>
      <c r="AB2">
        <v>281424.16334993899</v>
      </c>
      <c r="AC2" s="2">
        <f>I2-L2-U2-V2</f>
        <v>5086917680.6166</v>
      </c>
      <c r="AD2">
        <f>AC2/Y2</f>
        <v>0.12760603054173855</v>
      </c>
    </row>
    <row r="3" spans="1:30" x14ac:dyDescent="0.25">
      <c r="A3">
        <v>2002</v>
      </c>
      <c r="B3" t="s">
        <v>217</v>
      </c>
      <c r="C3">
        <v>2</v>
      </c>
      <c r="D3" t="s">
        <v>218</v>
      </c>
      <c r="E3">
        <v>104934883446</v>
      </c>
      <c r="F3" t="s">
        <v>219</v>
      </c>
      <c r="G3">
        <v>39381506784</v>
      </c>
      <c r="H3" t="s">
        <v>219</v>
      </c>
      <c r="I3">
        <v>32589107907.9646</v>
      </c>
      <c r="J3">
        <v>72345775538.0354</v>
      </c>
      <c r="K3">
        <v>10961481142.1266</v>
      </c>
      <c r="L3">
        <v>9421078355</v>
      </c>
      <c r="M3">
        <v>1427436114.39394</v>
      </c>
      <c r="N3">
        <v>76575</v>
      </c>
      <c r="O3">
        <v>2884</v>
      </c>
      <c r="P3" t="s">
        <v>219</v>
      </c>
      <c r="Q3" t="s">
        <v>219</v>
      </c>
      <c r="R3" t="s">
        <v>219</v>
      </c>
      <c r="S3" t="s">
        <v>219</v>
      </c>
      <c r="T3" t="s">
        <v>219</v>
      </c>
      <c r="U3">
        <v>3758469943</v>
      </c>
      <c r="V3">
        <v>5924169665</v>
      </c>
      <c r="W3" t="s">
        <v>219</v>
      </c>
      <c r="X3">
        <v>38087990148.780998</v>
      </c>
      <c r="Y3" s="2">
        <v>50476907405.301498</v>
      </c>
      <c r="Z3">
        <v>29960428429</v>
      </c>
      <c r="AA3">
        <v>0.23922594954715201</v>
      </c>
      <c r="AB3">
        <v>514286.73567091097</v>
      </c>
      <c r="AC3" s="2">
        <f t="shared" ref="AC3:AC25" si="0">I3-L3-U3-V3</f>
        <v>13485389944.9646</v>
      </c>
      <c r="AD3">
        <f t="shared" ref="AD3:AD25" si="1">AC3/Y3</f>
        <v>0.26715959115094784</v>
      </c>
    </row>
    <row r="4" spans="1:30" x14ac:dyDescent="0.25">
      <c r="A4">
        <v>2003</v>
      </c>
      <c r="B4" t="s">
        <v>217</v>
      </c>
      <c r="C4">
        <v>2</v>
      </c>
      <c r="D4" t="s">
        <v>218</v>
      </c>
      <c r="E4">
        <v>139349946300</v>
      </c>
      <c r="F4" t="s">
        <v>219</v>
      </c>
      <c r="G4">
        <v>41497361974</v>
      </c>
      <c r="H4" t="s">
        <v>219</v>
      </c>
      <c r="I4">
        <v>34340027025.476601</v>
      </c>
      <c r="J4">
        <v>105009919274.52299</v>
      </c>
      <c r="K4">
        <v>15910593829.4732</v>
      </c>
      <c r="L4">
        <v>10878789626</v>
      </c>
      <c r="M4">
        <v>1648301458.4848499</v>
      </c>
      <c r="N4">
        <v>83356</v>
      </c>
      <c r="O4">
        <v>2884</v>
      </c>
      <c r="P4">
        <v>6899547696</v>
      </c>
      <c r="Q4">
        <v>5558448986</v>
      </c>
      <c r="R4">
        <v>5256351292</v>
      </c>
      <c r="S4" t="s">
        <v>219</v>
      </c>
      <c r="T4" t="s">
        <v>219</v>
      </c>
      <c r="U4">
        <v>4714590576</v>
      </c>
      <c r="V4">
        <v>6090823735</v>
      </c>
      <c r="W4">
        <v>48103564060</v>
      </c>
      <c r="X4">
        <v>48103564060</v>
      </c>
      <c r="Y4" s="2">
        <v>65662459347.958099</v>
      </c>
      <c r="Z4">
        <v>30618572348</v>
      </c>
      <c r="AA4">
        <v>0.26215617351329601</v>
      </c>
      <c r="AB4">
        <v>497832.93313018902</v>
      </c>
      <c r="AC4" s="2">
        <f t="shared" si="0"/>
        <v>12655823088.476601</v>
      </c>
      <c r="AD4">
        <f t="shared" si="1"/>
        <v>0.19274061943691359</v>
      </c>
    </row>
    <row r="5" spans="1:30" x14ac:dyDescent="0.25">
      <c r="A5">
        <v>2004</v>
      </c>
      <c r="B5" t="s">
        <v>217</v>
      </c>
      <c r="C5">
        <v>2</v>
      </c>
      <c r="D5" t="s">
        <v>218</v>
      </c>
      <c r="E5">
        <v>179010449525</v>
      </c>
      <c r="F5" t="s">
        <v>219</v>
      </c>
      <c r="G5">
        <v>52621053735</v>
      </c>
      <c r="H5" t="s">
        <v>219</v>
      </c>
      <c r="I5">
        <v>43545139291.050201</v>
      </c>
      <c r="J5">
        <v>135465310233.95</v>
      </c>
      <c r="K5">
        <v>20525047005.143902</v>
      </c>
      <c r="L5">
        <v>12139435357</v>
      </c>
      <c r="M5">
        <v>1839308387.4242401</v>
      </c>
      <c r="N5">
        <v>88653</v>
      </c>
      <c r="O5">
        <v>3252</v>
      </c>
      <c r="P5">
        <v>6396127195</v>
      </c>
      <c r="Q5">
        <v>3154522472</v>
      </c>
      <c r="R5">
        <v>1599697016</v>
      </c>
      <c r="S5">
        <v>1743085329</v>
      </c>
      <c r="T5">
        <v>3342782345</v>
      </c>
      <c r="U5">
        <v>5136920717</v>
      </c>
      <c r="V5">
        <v>7039185004</v>
      </c>
      <c r="W5">
        <v>50525577181</v>
      </c>
      <c r="X5">
        <v>50525577181</v>
      </c>
      <c r="Y5" s="2">
        <v>72889932573.568207</v>
      </c>
      <c r="Z5">
        <v>40481618378</v>
      </c>
      <c r="AA5">
        <v>0.23069540602767599</v>
      </c>
      <c r="AB5">
        <v>593562.01972860505</v>
      </c>
      <c r="AC5" s="2">
        <f t="shared" si="0"/>
        <v>19229598213.050201</v>
      </c>
      <c r="AD5">
        <f t="shared" si="1"/>
        <v>0.26381692963759656</v>
      </c>
    </row>
    <row r="6" spans="1:30" x14ac:dyDescent="0.25">
      <c r="A6">
        <v>2005</v>
      </c>
      <c r="B6" t="s">
        <v>217</v>
      </c>
      <c r="C6">
        <v>2</v>
      </c>
      <c r="D6" t="s">
        <v>218</v>
      </c>
      <c r="E6">
        <v>184862461743</v>
      </c>
      <c r="F6" t="s">
        <v>219</v>
      </c>
      <c r="G6">
        <v>53991760706</v>
      </c>
      <c r="H6" t="s">
        <v>219</v>
      </c>
      <c r="I6">
        <v>44679431019.224098</v>
      </c>
      <c r="J6">
        <v>140183030723.776</v>
      </c>
      <c r="K6">
        <v>21239853139.966</v>
      </c>
      <c r="L6">
        <v>14615233399</v>
      </c>
      <c r="M6">
        <v>2214429302.8787899</v>
      </c>
      <c r="N6">
        <v>102414</v>
      </c>
      <c r="O6">
        <v>3445</v>
      </c>
      <c r="P6">
        <v>6464007473</v>
      </c>
      <c r="Q6">
        <v>2747259075</v>
      </c>
      <c r="R6">
        <v>2116008436</v>
      </c>
      <c r="S6">
        <v>2111494326</v>
      </c>
      <c r="T6">
        <v>4227502762</v>
      </c>
      <c r="U6">
        <v>5058292667</v>
      </c>
      <c r="V6">
        <v>7651885206</v>
      </c>
      <c r="W6">
        <v>52418214093</v>
      </c>
      <c r="X6">
        <v>52418214093</v>
      </c>
      <c r="Y6" s="2">
        <v>75872496535.844803</v>
      </c>
      <c r="Z6">
        <v>39376527307</v>
      </c>
      <c r="AA6">
        <v>0.27069377267735301</v>
      </c>
      <c r="AB6">
        <v>527191.21122112195</v>
      </c>
      <c r="AC6" s="2">
        <f t="shared" si="0"/>
        <v>17354019747.224098</v>
      </c>
      <c r="AD6">
        <f t="shared" si="1"/>
        <v>0.22872609363823235</v>
      </c>
    </row>
    <row r="7" spans="1:30" x14ac:dyDescent="0.25">
      <c r="A7">
        <v>2006</v>
      </c>
      <c r="B7" t="s">
        <v>217</v>
      </c>
      <c r="C7">
        <v>3</v>
      </c>
      <c r="D7" t="s">
        <v>218</v>
      </c>
      <c r="E7">
        <v>185039597745.125</v>
      </c>
      <c r="F7" t="s">
        <v>219</v>
      </c>
      <c r="G7">
        <v>54017527699.072403</v>
      </c>
      <c r="H7" t="s">
        <v>219</v>
      </c>
      <c r="I7">
        <v>44700753802.0802</v>
      </c>
      <c r="J7">
        <v>140338843943.04501</v>
      </c>
      <c r="K7">
        <v>21263461203.4916</v>
      </c>
      <c r="L7">
        <v>13982311018.7924</v>
      </c>
      <c r="M7">
        <v>2118531972.5443101</v>
      </c>
      <c r="N7">
        <v>63928.852765380201</v>
      </c>
      <c r="O7" t="s">
        <v>219</v>
      </c>
      <c r="P7">
        <v>6516136919.5927401</v>
      </c>
      <c r="Q7">
        <v>4227827579.7876601</v>
      </c>
      <c r="R7">
        <v>2182756205.9103298</v>
      </c>
      <c r="S7">
        <v>1425871108.60551</v>
      </c>
      <c r="T7">
        <v>3608627314.5158401</v>
      </c>
      <c r="U7">
        <v>4256913615.71668</v>
      </c>
      <c r="V7">
        <v>8466464545.5518198</v>
      </c>
      <c r="W7">
        <v>57185676835.0951</v>
      </c>
      <c r="X7">
        <v>57185676835.0951</v>
      </c>
      <c r="Y7" s="2">
        <v>80567670011.130997</v>
      </c>
      <c r="Z7">
        <v>40035216680.279999</v>
      </c>
      <c r="AA7">
        <v>0.25884766694038402</v>
      </c>
      <c r="AB7">
        <v>844963.195215118</v>
      </c>
      <c r="AC7" s="2">
        <f t="shared" si="0"/>
        <v>17995064622.019302</v>
      </c>
      <c r="AD7">
        <f t="shared" si="1"/>
        <v>0.2233534197964662</v>
      </c>
    </row>
    <row r="8" spans="1:30" x14ac:dyDescent="0.25">
      <c r="A8">
        <v>2007</v>
      </c>
      <c r="B8" t="s">
        <v>217</v>
      </c>
      <c r="C8">
        <v>3</v>
      </c>
      <c r="D8" t="s">
        <v>218</v>
      </c>
      <c r="E8">
        <v>235394001073.246</v>
      </c>
      <c r="F8" t="s">
        <v>219</v>
      </c>
      <c r="G8">
        <v>70661648001.255997</v>
      </c>
      <c r="H8" t="s">
        <v>219</v>
      </c>
      <c r="I8">
        <v>58474148394.015404</v>
      </c>
      <c r="J8">
        <v>176919852679.23001</v>
      </c>
      <c r="K8">
        <v>26806038284.731899</v>
      </c>
      <c r="L8">
        <v>19975832217.423302</v>
      </c>
      <c r="M8">
        <v>3026641245.0641398</v>
      </c>
      <c r="N8">
        <v>100576.012248596</v>
      </c>
      <c r="O8" t="s">
        <v>219</v>
      </c>
      <c r="P8">
        <v>17359289524.518902</v>
      </c>
      <c r="Q8">
        <v>5954778083.05058</v>
      </c>
      <c r="R8">
        <v>2050142695.5597501</v>
      </c>
      <c r="S8">
        <v>2560331482.5603499</v>
      </c>
      <c r="T8">
        <v>4610474178.1201</v>
      </c>
      <c r="U8">
        <v>5934830945.5998602</v>
      </c>
      <c r="V8">
        <v>8452985175.97896</v>
      </c>
      <c r="W8">
        <v>88288212567.623398</v>
      </c>
      <c r="X8">
        <v>88288212567.623398</v>
      </c>
      <c r="Y8" s="2">
        <v>118120892097.41901</v>
      </c>
      <c r="Z8">
        <v>50685815783.832703</v>
      </c>
      <c r="AA8">
        <v>0.28269694781344801</v>
      </c>
      <c r="AB8">
        <v>702569.59310138097</v>
      </c>
      <c r="AC8" s="2">
        <f t="shared" si="0"/>
        <v>24110500055.013283</v>
      </c>
      <c r="AD8">
        <f t="shared" si="1"/>
        <v>0.20411715173238273</v>
      </c>
    </row>
    <row r="9" spans="1:30" x14ac:dyDescent="0.25">
      <c r="A9">
        <v>2008</v>
      </c>
      <c r="B9" t="s">
        <v>217</v>
      </c>
      <c r="C9">
        <v>4</v>
      </c>
      <c r="D9" t="s">
        <v>228</v>
      </c>
      <c r="E9">
        <v>284995693319.88397</v>
      </c>
      <c r="F9" t="s">
        <v>219</v>
      </c>
      <c r="G9">
        <v>80292211343.235596</v>
      </c>
      <c r="H9" t="s">
        <v>219</v>
      </c>
      <c r="I9">
        <v>66443662351.103897</v>
      </c>
      <c r="J9">
        <v>218552030968.78</v>
      </c>
      <c r="K9">
        <v>33113944086.178799</v>
      </c>
      <c r="L9">
        <v>24291156273.874199</v>
      </c>
      <c r="M9">
        <v>3680478223.31427</v>
      </c>
      <c r="N9">
        <v>103902.68580704</v>
      </c>
      <c r="O9" t="s">
        <v>219</v>
      </c>
      <c r="P9">
        <v>17442926160.214401</v>
      </c>
      <c r="Q9">
        <v>10194336167.014299</v>
      </c>
      <c r="R9">
        <v>3655133361.7691598</v>
      </c>
      <c r="S9">
        <v>3746090502.26123</v>
      </c>
      <c r="T9">
        <v>7401223864.0304003</v>
      </c>
      <c r="U9">
        <v>8098413006.6877804</v>
      </c>
      <c r="V9">
        <v>7355810016.8563604</v>
      </c>
      <c r="W9">
        <v>107971212345.29601</v>
      </c>
      <c r="X9">
        <v>107971212345.29601</v>
      </c>
      <c r="Y9" s="2">
        <v>144765634654.789</v>
      </c>
      <c r="Z9">
        <v>56001055069.361504</v>
      </c>
      <c r="AA9">
        <v>0.30253440361772599</v>
      </c>
      <c r="AB9">
        <v>772763.578916025</v>
      </c>
      <c r="AC9" s="2">
        <f t="shared" si="0"/>
        <v>26698283053.685555</v>
      </c>
      <c r="AD9">
        <f t="shared" si="1"/>
        <v>0.18442417716988432</v>
      </c>
    </row>
    <row r="10" spans="1:30" x14ac:dyDescent="0.25">
      <c r="A10">
        <v>2009</v>
      </c>
      <c r="B10" t="s">
        <v>217</v>
      </c>
      <c r="C10">
        <v>4</v>
      </c>
      <c r="D10" t="s">
        <v>228</v>
      </c>
      <c r="E10">
        <v>262347159926.776</v>
      </c>
      <c r="F10" t="s">
        <v>219</v>
      </c>
      <c r="G10">
        <v>78234883877.820404</v>
      </c>
      <c r="H10" t="s">
        <v>219</v>
      </c>
      <c r="I10">
        <v>64741176279.6548</v>
      </c>
      <c r="J10">
        <v>197605983647.12201</v>
      </c>
      <c r="K10">
        <v>29940300552.5942</v>
      </c>
      <c r="L10">
        <v>29743370612.9925</v>
      </c>
      <c r="M10">
        <v>4506571304.9988604</v>
      </c>
      <c r="N10">
        <v>104036.64779083501</v>
      </c>
      <c r="O10" t="s">
        <v>219</v>
      </c>
      <c r="P10">
        <v>7961085386.4242697</v>
      </c>
      <c r="Q10">
        <v>5801409600.9794102</v>
      </c>
      <c r="R10">
        <v>2415847160.2104001</v>
      </c>
      <c r="S10">
        <v>1477856506.79828</v>
      </c>
      <c r="T10">
        <v>3893703667.0086799</v>
      </c>
      <c r="U10">
        <v>7803216717.6423397</v>
      </c>
      <c r="V10">
        <v>9175908840.9832592</v>
      </c>
      <c r="W10">
        <v>93192117548.195999</v>
      </c>
      <c r="X10">
        <v>93192117548.195999</v>
      </c>
      <c r="Y10" s="2">
        <v>127638989405.789</v>
      </c>
      <c r="Z10">
        <v>48491513264.827904</v>
      </c>
      <c r="AA10">
        <v>0.38018041490855597</v>
      </c>
      <c r="AB10">
        <v>751993.50939402403</v>
      </c>
      <c r="AC10" s="2">
        <f t="shared" si="0"/>
        <v>18018680108.036697</v>
      </c>
      <c r="AD10">
        <f t="shared" si="1"/>
        <v>0.14116909098012231</v>
      </c>
    </row>
    <row r="11" spans="1:30" x14ac:dyDescent="0.25">
      <c r="A11">
        <v>2010</v>
      </c>
      <c r="B11" t="s">
        <v>217</v>
      </c>
      <c r="C11">
        <v>4</v>
      </c>
      <c r="D11" t="s">
        <v>228</v>
      </c>
      <c r="E11">
        <v>298614685114.745</v>
      </c>
      <c r="F11" t="s">
        <v>219</v>
      </c>
      <c r="G11">
        <v>95564090931.252304</v>
      </c>
      <c r="H11" t="s">
        <v>219</v>
      </c>
      <c r="I11">
        <v>79081496006.913193</v>
      </c>
      <c r="J11">
        <v>219533189107.83099</v>
      </c>
      <c r="K11">
        <v>33262604410.2775</v>
      </c>
      <c r="L11">
        <v>34131850283.349602</v>
      </c>
      <c r="M11">
        <v>5171492467.1741896</v>
      </c>
      <c r="N11">
        <v>112274.193929867</v>
      </c>
      <c r="O11" t="s">
        <v>219</v>
      </c>
      <c r="P11">
        <v>10581328732.3151</v>
      </c>
      <c r="Q11">
        <v>6527266606.3431396</v>
      </c>
      <c r="R11">
        <v>2632960238.7007899</v>
      </c>
      <c r="S11">
        <v>1822989811.2412601</v>
      </c>
      <c r="T11">
        <v>4455950049.94205</v>
      </c>
      <c r="U11">
        <v>8154845648.1199398</v>
      </c>
      <c r="V11">
        <v>12317165605.5467</v>
      </c>
      <c r="W11">
        <v>99737810059.451508</v>
      </c>
      <c r="X11">
        <v>99737810059.451508</v>
      </c>
      <c r="Y11" s="2">
        <v>138171906936.90302</v>
      </c>
      <c r="Z11">
        <v>61432240647.902702</v>
      </c>
      <c r="AA11">
        <v>0.35716187901482399</v>
      </c>
      <c r="AB11">
        <v>851167.01876254403</v>
      </c>
      <c r="AC11" s="2">
        <f t="shared" si="0"/>
        <v>24477634469.89695</v>
      </c>
      <c r="AD11">
        <f t="shared" si="1"/>
        <v>0.17715348229994973</v>
      </c>
    </row>
    <row r="12" spans="1:30" x14ac:dyDescent="0.25">
      <c r="A12">
        <v>2011</v>
      </c>
      <c r="B12" t="s">
        <v>217</v>
      </c>
      <c r="C12">
        <v>4</v>
      </c>
      <c r="D12" t="s">
        <v>228</v>
      </c>
      <c r="E12">
        <v>322720110758.961</v>
      </c>
      <c r="F12" t="s">
        <v>219</v>
      </c>
      <c r="G12">
        <v>97706590220.234604</v>
      </c>
      <c r="H12" t="s">
        <v>219</v>
      </c>
      <c r="I12">
        <v>80854463732.712601</v>
      </c>
      <c r="J12">
        <v>241865647026.24899</v>
      </c>
      <c r="K12">
        <v>36646310155.492203</v>
      </c>
      <c r="L12">
        <v>38240756792.585899</v>
      </c>
      <c r="M12">
        <v>5794054059.4827099</v>
      </c>
      <c r="N12">
        <v>109399.623065035</v>
      </c>
      <c r="O12">
        <v>2202</v>
      </c>
      <c r="P12" t="s">
        <v>219</v>
      </c>
      <c r="Q12" t="s">
        <v>219</v>
      </c>
      <c r="R12" t="s">
        <v>219</v>
      </c>
      <c r="S12" t="s">
        <v>219</v>
      </c>
      <c r="T12" t="s">
        <v>219</v>
      </c>
      <c r="U12">
        <v>8184811603.9800196</v>
      </c>
      <c r="V12">
        <v>18825379389.486599</v>
      </c>
      <c r="W12" t="s">
        <v>219</v>
      </c>
      <c r="X12">
        <v>122150149877.437</v>
      </c>
      <c r="Y12" s="2">
        <v>164590514092.41199</v>
      </c>
      <c r="Z12">
        <v>59465833427.648804</v>
      </c>
      <c r="AA12">
        <v>0.39138359763031</v>
      </c>
      <c r="AB12">
        <v>893116.333336454</v>
      </c>
      <c r="AC12" s="2">
        <f t="shared" si="0"/>
        <v>15603515946.660084</v>
      </c>
      <c r="AD12">
        <f t="shared" si="1"/>
        <v>9.480203663437882E-2</v>
      </c>
    </row>
    <row r="13" spans="1:30" x14ac:dyDescent="0.25">
      <c r="A13">
        <v>2012</v>
      </c>
      <c r="B13" t="s">
        <v>217</v>
      </c>
      <c r="C13">
        <v>4</v>
      </c>
      <c r="D13" t="s">
        <v>228</v>
      </c>
      <c r="E13">
        <v>366495477250.28802</v>
      </c>
      <c r="F13" t="s">
        <v>219</v>
      </c>
      <c r="G13">
        <v>99292174533.573807</v>
      </c>
      <c r="H13" t="s">
        <v>219</v>
      </c>
      <c r="I13">
        <v>82166571432.603302</v>
      </c>
      <c r="J13">
        <v>284328905817.68402</v>
      </c>
      <c r="K13">
        <v>43080137245.103699</v>
      </c>
      <c r="L13">
        <v>43787874689.425102</v>
      </c>
      <c r="M13">
        <v>6634526468.0947199</v>
      </c>
      <c r="N13">
        <v>110138.749533575</v>
      </c>
      <c r="O13" t="s">
        <v>219</v>
      </c>
      <c r="P13">
        <v>17144628448.139</v>
      </c>
      <c r="Q13">
        <v>11867620456.3477</v>
      </c>
      <c r="R13">
        <v>5974186587.4051304</v>
      </c>
      <c r="S13">
        <v>3152613515.84694</v>
      </c>
      <c r="T13">
        <v>9126800103.2520695</v>
      </c>
      <c r="U13">
        <v>9200641100.6563606</v>
      </c>
      <c r="V13">
        <v>16525006971.0191</v>
      </c>
      <c r="W13">
        <v>118070224347.511</v>
      </c>
      <c r="X13">
        <v>118070224347.511</v>
      </c>
      <c r="Y13" s="2">
        <v>167784888060.70901</v>
      </c>
      <c r="Z13">
        <v>55504299844.148697</v>
      </c>
      <c r="AA13">
        <v>0.44100025903470402</v>
      </c>
      <c r="AB13">
        <v>901518.99267119495</v>
      </c>
      <c r="AC13" s="2">
        <f t="shared" si="0"/>
        <v>12653048671.502739</v>
      </c>
      <c r="AD13">
        <f>AC13/Y13</f>
        <v>7.5412325971362396E-2</v>
      </c>
    </row>
    <row r="14" spans="1:30" x14ac:dyDescent="0.25">
      <c r="A14">
        <v>2013</v>
      </c>
      <c r="B14" t="s">
        <v>217</v>
      </c>
      <c r="C14">
        <v>4</v>
      </c>
      <c r="D14" t="s">
        <v>228</v>
      </c>
      <c r="E14">
        <v>393495580200.29303</v>
      </c>
      <c r="F14" t="s">
        <v>219</v>
      </c>
      <c r="G14">
        <v>111896035273.73399</v>
      </c>
      <c r="H14" t="s">
        <v>219</v>
      </c>
      <c r="I14">
        <v>92596557770.376694</v>
      </c>
      <c r="J14">
        <v>300899022429.91602</v>
      </c>
      <c r="K14">
        <v>45590760974.229698</v>
      </c>
      <c r="L14">
        <v>50186679222.508797</v>
      </c>
      <c r="M14">
        <v>7604042306.4407301</v>
      </c>
      <c r="N14">
        <v>109797.749814658</v>
      </c>
      <c r="O14" t="s">
        <v>219</v>
      </c>
      <c r="P14">
        <v>28790672811.2985</v>
      </c>
      <c r="Q14">
        <v>18295653366.858398</v>
      </c>
      <c r="R14">
        <v>2479792576.5747099</v>
      </c>
      <c r="S14">
        <v>16298811702.858601</v>
      </c>
      <c r="T14">
        <v>18778604279.4333</v>
      </c>
      <c r="U14">
        <v>9634456614.2834396</v>
      </c>
      <c r="V14">
        <v>20496674468.1147</v>
      </c>
      <c r="W14">
        <v>130303268121.312</v>
      </c>
      <c r="X14">
        <v>130303268121.312</v>
      </c>
      <c r="Y14" s="2">
        <v>183498071401.983</v>
      </c>
      <c r="Z14">
        <v>61709356051.225502</v>
      </c>
      <c r="AA14">
        <v>0.4485116840801</v>
      </c>
      <c r="AB14">
        <v>1019110.45957334</v>
      </c>
      <c r="AC14" s="2">
        <f t="shared" si="0"/>
        <v>12278747465.469757</v>
      </c>
      <c r="AD14">
        <f t="shared" si="1"/>
        <v>6.691485840508439E-2</v>
      </c>
    </row>
    <row r="15" spans="1:30" x14ac:dyDescent="0.25">
      <c r="A15">
        <v>2014</v>
      </c>
      <c r="B15" t="s">
        <v>217</v>
      </c>
      <c r="C15">
        <v>4</v>
      </c>
      <c r="D15" t="s">
        <v>228</v>
      </c>
      <c r="E15">
        <v>453640919223.41602</v>
      </c>
      <c r="F15" t="s">
        <v>219</v>
      </c>
      <c r="G15">
        <v>130780131947.159</v>
      </c>
      <c r="H15" t="s">
        <v>219</v>
      </c>
      <c r="I15">
        <v>108223584628.696</v>
      </c>
      <c r="J15">
        <v>345417334594.71899</v>
      </c>
      <c r="K15">
        <v>52335959787.078697</v>
      </c>
      <c r="L15">
        <v>56837646365.692398</v>
      </c>
      <c r="M15">
        <v>8611764600.8624802</v>
      </c>
      <c r="N15">
        <v>107700.426949954</v>
      </c>
      <c r="O15" t="s">
        <v>219</v>
      </c>
      <c r="P15">
        <v>78176629453.823105</v>
      </c>
      <c r="Q15">
        <v>52611954747.577003</v>
      </c>
      <c r="R15">
        <v>2217119087.20402</v>
      </c>
      <c r="S15">
        <v>48143911013.675201</v>
      </c>
      <c r="T15">
        <v>50361030100.879204</v>
      </c>
      <c r="U15">
        <v>12235321829.4487</v>
      </c>
      <c r="V15">
        <v>22082788548.337002</v>
      </c>
      <c r="W15">
        <v>198429417562.73401</v>
      </c>
      <c r="X15">
        <v>198429417562.73401</v>
      </c>
      <c r="Y15" s="2">
        <v>259377141950.67499</v>
      </c>
      <c r="Z15">
        <v>73942485581.466507</v>
      </c>
      <c r="AA15">
        <v>0.43460459566333298</v>
      </c>
      <c r="AB15">
        <v>1214295.39000741</v>
      </c>
      <c r="AC15" s="2">
        <f t="shared" si="0"/>
        <v>17067827885.217899</v>
      </c>
      <c r="AD15">
        <f t="shared" si="1"/>
        <v>6.5803130363984191E-2</v>
      </c>
    </row>
    <row r="16" spans="1:30" x14ac:dyDescent="0.25">
      <c r="A16">
        <v>2015</v>
      </c>
      <c r="B16" t="s">
        <v>217</v>
      </c>
      <c r="C16">
        <v>4</v>
      </c>
      <c r="D16" t="s">
        <v>228</v>
      </c>
      <c r="E16">
        <v>478094966223.237</v>
      </c>
      <c r="F16" t="s">
        <v>219</v>
      </c>
      <c r="G16">
        <v>151939673902.59201</v>
      </c>
      <c r="H16" t="s">
        <v>219</v>
      </c>
      <c r="I16">
        <v>125733595097.592</v>
      </c>
      <c r="J16">
        <v>352361371125.64502</v>
      </c>
      <c r="K16">
        <v>53388086534.188698</v>
      </c>
      <c r="L16">
        <v>61103872632.969101</v>
      </c>
      <c r="M16">
        <v>9258162520.1468391</v>
      </c>
      <c r="N16">
        <v>103791.208900956</v>
      </c>
      <c r="O16" t="s">
        <v>219</v>
      </c>
      <c r="P16">
        <v>26806672376.5168</v>
      </c>
      <c r="Q16">
        <v>16410900596.9536</v>
      </c>
      <c r="R16">
        <v>1393260740.63695</v>
      </c>
      <c r="S16">
        <v>6282740266.2847996</v>
      </c>
      <c r="T16">
        <v>7676001006.9217501</v>
      </c>
      <c r="U16">
        <v>14988600854.6759</v>
      </c>
      <c r="V16">
        <v>24800676496.6772</v>
      </c>
      <c r="W16">
        <v>207813793849.16599</v>
      </c>
      <c r="X16">
        <v>207813793849.16599</v>
      </c>
      <c r="Y16" s="2">
        <v>270460042903.50201</v>
      </c>
      <c r="Z16">
        <v>90835801269.622894</v>
      </c>
      <c r="AA16">
        <v>0.402158771725037</v>
      </c>
      <c r="AB16">
        <v>1463897.3330350299</v>
      </c>
      <c r="AC16" s="2">
        <f t="shared" si="0"/>
        <v>24840445113.269791</v>
      </c>
      <c r="AD16">
        <f t="shared" si="1"/>
        <v>9.1845157039084926E-2</v>
      </c>
    </row>
    <row r="17" spans="1:30" x14ac:dyDescent="0.25">
      <c r="A17">
        <v>2016</v>
      </c>
      <c r="B17" t="s">
        <v>217</v>
      </c>
      <c r="C17">
        <v>4</v>
      </c>
      <c r="D17" t="s">
        <v>228</v>
      </c>
      <c r="E17">
        <v>488282856955.12799</v>
      </c>
      <c r="F17" t="s">
        <v>219</v>
      </c>
      <c r="G17">
        <v>155382839152.64899</v>
      </c>
      <c r="H17" t="s">
        <v>219</v>
      </c>
      <c r="I17">
        <v>128582893995.537</v>
      </c>
      <c r="J17">
        <v>359699962959.59198</v>
      </c>
      <c r="K17">
        <v>54499994387.816902</v>
      </c>
      <c r="L17">
        <v>65854041864.740097</v>
      </c>
      <c r="M17">
        <v>9977885131.0212307</v>
      </c>
      <c r="N17">
        <v>100240.446716766</v>
      </c>
      <c r="O17" t="s">
        <v>219</v>
      </c>
      <c r="P17">
        <v>17409371770.145</v>
      </c>
      <c r="Q17">
        <v>7957401871.3004799</v>
      </c>
      <c r="R17">
        <v>1694713789.3844199</v>
      </c>
      <c r="S17">
        <v>4309905878.0705795</v>
      </c>
      <c r="T17">
        <v>6004619667.4550104</v>
      </c>
      <c r="U17">
        <v>16145911799.0432</v>
      </c>
      <c r="V17">
        <v>26902000893.9114</v>
      </c>
      <c r="W17">
        <v>218824498043.51999</v>
      </c>
      <c r="X17">
        <v>218824498043.51999</v>
      </c>
      <c r="Y17" s="2">
        <v>283302377562.35797</v>
      </c>
      <c r="Z17">
        <v>89528797287.908905</v>
      </c>
      <c r="AA17">
        <v>0.423817985460059</v>
      </c>
      <c r="AB17">
        <v>1550101.2240267801</v>
      </c>
      <c r="AC17" s="2">
        <f t="shared" si="0"/>
        <v>19680939437.842308</v>
      </c>
      <c r="AD17">
        <f t="shared" si="1"/>
        <v>6.9469729153650739E-2</v>
      </c>
    </row>
    <row r="18" spans="1:30" x14ac:dyDescent="0.25">
      <c r="A18">
        <v>2017</v>
      </c>
      <c r="B18" t="s">
        <v>217</v>
      </c>
      <c r="C18">
        <v>5</v>
      </c>
      <c r="D18" t="s">
        <v>228</v>
      </c>
      <c r="E18">
        <v>484141525416.43597</v>
      </c>
      <c r="F18">
        <v>455782090534.62</v>
      </c>
      <c r="G18">
        <v>164424571873.86099</v>
      </c>
      <c r="H18">
        <v>136065136992.04601</v>
      </c>
      <c r="I18">
        <v>136065136992.04601</v>
      </c>
      <c r="J18">
        <v>348076388424.39001</v>
      </c>
      <c r="K18">
        <v>52738846730.968102</v>
      </c>
      <c r="L18">
        <v>70584977309.771698</v>
      </c>
      <c r="M18">
        <v>10694693531.7836</v>
      </c>
      <c r="N18">
        <v>97466.997226108302</v>
      </c>
      <c r="O18" t="s">
        <v>219</v>
      </c>
      <c r="P18">
        <v>17036239960.98</v>
      </c>
      <c r="Q18">
        <v>8481037478.9200001</v>
      </c>
      <c r="R18">
        <v>1726303402.3</v>
      </c>
      <c r="S18">
        <v>2897152608.0599999</v>
      </c>
      <c r="T18">
        <v>4623456010.3599997</v>
      </c>
      <c r="U18">
        <v>15918676560.870001</v>
      </c>
      <c r="V18">
        <v>1963308432.45</v>
      </c>
      <c r="W18">
        <v>209773097223.23999</v>
      </c>
      <c r="X18">
        <v>209773097223.23999</v>
      </c>
      <c r="Y18" s="2">
        <v>273206637485.992</v>
      </c>
      <c r="Z18">
        <v>93839594564.0896</v>
      </c>
      <c r="AA18">
        <v>0.42928484778978898</v>
      </c>
      <c r="AB18">
        <v>1686976.8901613101</v>
      </c>
      <c r="AC18" s="2">
        <f t="shared" si="0"/>
        <v>47598174688.954308</v>
      </c>
      <c r="AD18">
        <f t="shared" si="1"/>
        <v>0.174220418387144</v>
      </c>
    </row>
    <row r="19" spans="1:30" x14ac:dyDescent="0.25">
      <c r="A19">
        <v>2018</v>
      </c>
      <c r="B19" t="s">
        <v>217</v>
      </c>
      <c r="C19">
        <v>5</v>
      </c>
      <c r="D19" t="s">
        <v>228</v>
      </c>
      <c r="E19">
        <v>570036849535.36304</v>
      </c>
      <c r="F19">
        <v>539642243987.48297</v>
      </c>
      <c r="G19">
        <v>197885329971.67599</v>
      </c>
      <c r="H19">
        <v>167490724423.79599</v>
      </c>
      <c r="I19">
        <v>167490724423.79599</v>
      </c>
      <c r="J19">
        <v>402546125111.56702</v>
      </c>
      <c r="K19">
        <v>60991837138.116203</v>
      </c>
      <c r="L19">
        <v>76120684622.310806</v>
      </c>
      <c r="M19">
        <v>11533437063.9865</v>
      </c>
      <c r="N19">
        <v>94566.085657075993</v>
      </c>
      <c r="O19" t="s">
        <v>219</v>
      </c>
      <c r="P19">
        <v>21403883661.212399</v>
      </c>
      <c r="Q19">
        <v>9398761236.7636108</v>
      </c>
      <c r="R19">
        <v>2344301120.1145501</v>
      </c>
      <c r="S19">
        <v>3875594513.7322798</v>
      </c>
      <c r="T19">
        <v>6219895633.8468304</v>
      </c>
      <c r="U19">
        <v>16454135974.9035</v>
      </c>
      <c r="V19">
        <v>1215222874.5782199</v>
      </c>
      <c r="W19">
        <v>230944653073.897</v>
      </c>
      <c r="X19">
        <v>230944653073.897</v>
      </c>
      <c r="Y19" s="2">
        <v>303469927276</v>
      </c>
      <c r="Z19">
        <v>121764645349.366</v>
      </c>
      <c r="AA19">
        <v>0.38467068091002998</v>
      </c>
      <c r="AB19">
        <v>2092561.28766148</v>
      </c>
      <c r="AC19" s="2">
        <f t="shared" si="0"/>
        <v>73700680952.003464</v>
      </c>
      <c r="AD19">
        <f t="shared" si="1"/>
        <v>0.24285991568770546</v>
      </c>
    </row>
    <row r="20" spans="1:30" x14ac:dyDescent="0.25">
      <c r="A20">
        <v>2019</v>
      </c>
      <c r="B20" t="s">
        <v>217</v>
      </c>
      <c r="C20">
        <v>5</v>
      </c>
      <c r="D20" t="s">
        <v>228</v>
      </c>
      <c r="E20">
        <v>601651424497</v>
      </c>
      <c r="F20">
        <v>569209962569</v>
      </c>
      <c r="G20">
        <v>190772526038</v>
      </c>
      <c r="H20">
        <v>158331064110</v>
      </c>
      <c r="I20">
        <v>158331064110</v>
      </c>
      <c r="J20">
        <v>443320360387</v>
      </c>
      <c r="K20">
        <v>67169751573.787903</v>
      </c>
      <c r="L20">
        <v>80999471228</v>
      </c>
      <c r="M20">
        <v>12272647155.757601</v>
      </c>
      <c r="N20">
        <v>90481</v>
      </c>
      <c r="O20" t="s">
        <v>219</v>
      </c>
      <c r="P20">
        <v>30759048024</v>
      </c>
      <c r="Q20">
        <v>10582877554</v>
      </c>
      <c r="R20">
        <v>10715087960</v>
      </c>
      <c r="S20">
        <v>3917218825</v>
      </c>
      <c r="T20">
        <v>14632306785</v>
      </c>
      <c r="U20">
        <v>18470370583.307598</v>
      </c>
      <c r="V20">
        <v>1701376372.9667399</v>
      </c>
      <c r="W20">
        <v>259048160897</v>
      </c>
      <c r="X20">
        <v>259048160897</v>
      </c>
      <c r="Y20" s="2">
        <v>338490559626.54498</v>
      </c>
      <c r="Z20">
        <v>109773054810</v>
      </c>
      <c r="AA20">
        <v>0.42458666827038699</v>
      </c>
      <c r="AB20">
        <v>2108426.3661763198</v>
      </c>
      <c r="AC20" s="2">
        <f t="shared" si="0"/>
        <v>57159845925.725655</v>
      </c>
      <c r="AD20">
        <f t="shared" si="1"/>
        <v>0.16886688358100693</v>
      </c>
    </row>
    <row r="21" spans="1:30" x14ac:dyDescent="0.25">
      <c r="A21">
        <v>2020</v>
      </c>
      <c r="B21" t="s">
        <v>217</v>
      </c>
      <c r="C21">
        <v>5</v>
      </c>
      <c r="D21" t="s">
        <v>228</v>
      </c>
      <c r="E21">
        <v>600817528391.49805</v>
      </c>
      <c r="F21">
        <v>569255108499.03101</v>
      </c>
      <c r="G21">
        <v>182963110731.009</v>
      </c>
      <c r="H21">
        <v>151400690838.54199</v>
      </c>
      <c r="I21">
        <v>151400690838.54199</v>
      </c>
      <c r="J21">
        <v>449416837552.95599</v>
      </c>
      <c r="K21">
        <v>68093460235.296402</v>
      </c>
      <c r="L21">
        <v>78278216489.303406</v>
      </c>
      <c r="M21">
        <v>11860335831.712601</v>
      </c>
      <c r="N21">
        <v>84764.464740720796</v>
      </c>
      <c r="O21">
        <v>1759</v>
      </c>
      <c r="P21">
        <v>40941559983.906898</v>
      </c>
      <c r="Q21">
        <v>9808505040.4488697</v>
      </c>
      <c r="R21">
        <v>3275448937.7523799</v>
      </c>
      <c r="S21">
        <v>2709351603.15066</v>
      </c>
      <c r="T21">
        <v>5984800540.9030504</v>
      </c>
      <c r="U21">
        <v>19749525803.3465</v>
      </c>
      <c r="V21">
        <v>-1827346818.60041</v>
      </c>
      <c r="W21">
        <v>296322600807.052</v>
      </c>
      <c r="X21">
        <v>296322600807.052</v>
      </c>
      <c r="Y21" s="2">
        <v>376276396874.06097</v>
      </c>
      <c r="Z21">
        <v>104684894241.705</v>
      </c>
      <c r="AA21">
        <v>0.42783606037605898</v>
      </c>
      <c r="AB21">
        <v>2158488.3629084402</v>
      </c>
      <c r="AC21" s="2">
        <f t="shared" si="0"/>
        <v>55200295364.4925</v>
      </c>
      <c r="AD21">
        <f t="shared" si="1"/>
        <v>0.14670145622492484</v>
      </c>
    </row>
    <row r="22" spans="1:30" x14ac:dyDescent="0.25">
      <c r="A22">
        <v>2021</v>
      </c>
      <c r="B22" t="s">
        <v>217</v>
      </c>
      <c r="C22">
        <v>5</v>
      </c>
      <c r="D22" t="s">
        <v>228</v>
      </c>
      <c r="E22">
        <v>740451400483.521</v>
      </c>
      <c r="F22">
        <v>729519030143.12903</v>
      </c>
      <c r="G22">
        <v>224974680121.47299</v>
      </c>
      <c r="H22">
        <v>214042309781.07999</v>
      </c>
      <c r="I22">
        <v>214042309781.07999</v>
      </c>
      <c r="J22">
        <v>526409090702.44098</v>
      </c>
      <c r="K22">
        <v>79758953136.733398</v>
      </c>
      <c r="L22">
        <v>84122098877.865601</v>
      </c>
      <c r="M22">
        <v>12745772557.252399</v>
      </c>
      <c r="N22">
        <v>86333.094378265305</v>
      </c>
      <c r="O22" t="s">
        <v>219</v>
      </c>
      <c r="P22">
        <v>83942983585.564697</v>
      </c>
      <c r="Q22">
        <v>18626904296.7775</v>
      </c>
      <c r="R22">
        <v>3312365312.6912799</v>
      </c>
      <c r="S22">
        <v>6003788394.3875504</v>
      </c>
      <c r="T22">
        <v>9316153707.0788193</v>
      </c>
      <c r="U22">
        <v>21739333748.875999</v>
      </c>
      <c r="V22">
        <v>-1158610716.3440599</v>
      </c>
      <c r="W22">
        <v>377193985828.289</v>
      </c>
      <c r="X22">
        <v>377193985828.289</v>
      </c>
      <c r="Y22" s="2">
        <v>469698711522.27502</v>
      </c>
      <c r="Z22">
        <v>140852581243.60699</v>
      </c>
      <c r="AA22">
        <v>0.37391807305802</v>
      </c>
      <c r="AB22">
        <v>2605891.5383683001</v>
      </c>
      <c r="AC22" s="2">
        <f t="shared" si="0"/>
        <v>109339487870.68243</v>
      </c>
      <c r="AD22">
        <f t="shared" si="1"/>
        <v>0.23278643349120004</v>
      </c>
    </row>
    <row r="23" spans="1:30" x14ac:dyDescent="0.25">
      <c r="A23">
        <v>2022</v>
      </c>
      <c r="B23" t="s">
        <v>217</v>
      </c>
      <c r="C23">
        <v>5</v>
      </c>
      <c r="D23" t="s">
        <v>228</v>
      </c>
      <c r="E23">
        <v>887448109461.11902</v>
      </c>
      <c r="F23">
        <v>847221297274.51501</v>
      </c>
      <c r="G23">
        <v>265536050207.76501</v>
      </c>
      <c r="H23">
        <v>225309238021.16101</v>
      </c>
      <c r="I23">
        <v>225309238021.16101</v>
      </c>
      <c r="J23">
        <v>662138871439.95801</v>
      </c>
      <c r="K23">
        <v>100324071430.297</v>
      </c>
      <c r="L23">
        <v>95609914033.877808</v>
      </c>
      <c r="M23">
        <v>14486350611.1936</v>
      </c>
      <c r="N23">
        <v>89467.506088785594</v>
      </c>
      <c r="O23" t="s">
        <v>219</v>
      </c>
      <c r="P23">
        <v>69687013752.249298</v>
      </c>
      <c r="Q23">
        <v>17242949725.568802</v>
      </c>
      <c r="R23">
        <v>4140576932.6812201</v>
      </c>
      <c r="S23">
        <v>5180380048.5410299</v>
      </c>
      <c r="T23">
        <v>9320956981.22225</v>
      </c>
      <c r="U23">
        <v>21523441673.284</v>
      </c>
      <c r="V23">
        <v>-2700847763.2316799</v>
      </c>
      <c r="W23">
        <v>392603477898.92603</v>
      </c>
      <c r="X23">
        <v>392603477898.92603</v>
      </c>
      <c r="Y23" s="2">
        <v>507413899940.41602</v>
      </c>
      <c r="Z23">
        <v>169926136173.88699</v>
      </c>
      <c r="AA23">
        <v>0.36006378026286501</v>
      </c>
      <c r="AB23">
        <v>2967960.79175665</v>
      </c>
      <c r="AC23" s="2">
        <f t="shared" si="0"/>
        <v>110876730077.23088</v>
      </c>
      <c r="AD23">
        <f t="shared" si="1"/>
        <v>0.21851338737517986</v>
      </c>
    </row>
    <row r="24" spans="1:30" x14ac:dyDescent="0.25">
      <c r="A24">
        <v>2023</v>
      </c>
      <c r="B24" t="s">
        <v>217</v>
      </c>
      <c r="C24">
        <v>5</v>
      </c>
      <c r="D24" t="s">
        <v>228</v>
      </c>
      <c r="E24">
        <v>809592502649.11304</v>
      </c>
      <c r="F24">
        <v>767904015950.46802</v>
      </c>
      <c r="G24">
        <v>240127159755.69601</v>
      </c>
      <c r="H24">
        <v>198438673057.05099</v>
      </c>
      <c r="I24">
        <v>198438673057.05099</v>
      </c>
      <c r="J24">
        <v>611153829592.06201</v>
      </c>
      <c r="K24">
        <v>92599065089.706406</v>
      </c>
      <c r="L24">
        <v>104619799861.40601</v>
      </c>
      <c r="M24">
        <v>15851484827.4858</v>
      </c>
      <c r="N24">
        <v>89501.941393681205</v>
      </c>
      <c r="O24" t="s">
        <v>219</v>
      </c>
      <c r="P24">
        <v>56457788625.375702</v>
      </c>
      <c r="Q24">
        <v>38688155694.244598</v>
      </c>
      <c r="R24">
        <v>3048451859.309</v>
      </c>
      <c r="S24">
        <v>4990645244.9849796</v>
      </c>
      <c r="T24">
        <v>8039097104.2939796</v>
      </c>
      <c r="U24">
        <v>24684323791.2756</v>
      </c>
      <c r="V24">
        <v>-1909039042.8452401</v>
      </c>
      <c r="W24">
        <v>402462792005.25299</v>
      </c>
      <c r="X24">
        <v>402462792005.25299</v>
      </c>
      <c r="Y24" s="2">
        <v>510913341922.44598</v>
      </c>
      <c r="Z24">
        <v>135507359894.28999</v>
      </c>
      <c r="AA24">
        <v>0.435684992767357</v>
      </c>
      <c r="AB24">
        <v>2682926.8283631802</v>
      </c>
      <c r="AC24" s="2">
        <f t="shared" si="0"/>
        <v>71043588447.21463</v>
      </c>
      <c r="AD24">
        <f t="shared" si="1"/>
        <v>0.13905213001464087</v>
      </c>
    </row>
    <row r="25" spans="1:30" x14ac:dyDescent="0.25">
      <c r="A25">
        <v>2024</v>
      </c>
      <c r="B25" t="s">
        <v>217</v>
      </c>
      <c r="C25">
        <v>5</v>
      </c>
      <c r="D25" t="s">
        <v>228</v>
      </c>
      <c r="E25">
        <v>858071607633.11902</v>
      </c>
      <c r="F25">
        <v>812702000296.11499</v>
      </c>
      <c r="G25">
        <v>263970325327.66501</v>
      </c>
      <c r="H25">
        <v>218600717990.66101</v>
      </c>
      <c r="I25">
        <v>218600717990.66101</v>
      </c>
      <c r="J25">
        <v>639470889642.45801</v>
      </c>
      <c r="K25">
        <v>96889528733.705704</v>
      </c>
      <c r="L25">
        <v>112924265631.88699</v>
      </c>
      <c r="M25">
        <v>17109737216.9526</v>
      </c>
      <c r="N25">
        <v>90863.927158021295</v>
      </c>
      <c r="O25" t="s">
        <v>219</v>
      </c>
      <c r="P25">
        <v>43801057524.488998</v>
      </c>
      <c r="Q25">
        <v>22430814377.730701</v>
      </c>
      <c r="R25">
        <v>2213301432.9945798</v>
      </c>
      <c r="S25">
        <v>6190763386.0507202</v>
      </c>
      <c r="T25">
        <v>8404064819.0452995</v>
      </c>
      <c r="U25">
        <v>27515759179.244099</v>
      </c>
      <c r="V25">
        <v>-2002949331.6091499</v>
      </c>
      <c r="W25">
        <v>436965957591.82397</v>
      </c>
      <c r="X25">
        <v>436965957591.82397</v>
      </c>
      <c r="Y25" s="2">
        <v>550965223542.48206</v>
      </c>
      <c r="Z25">
        <v>151046059695.77802</v>
      </c>
      <c r="AA25">
        <v>0.42779151592784098</v>
      </c>
      <c r="AB25">
        <v>2905116.8443181501</v>
      </c>
      <c r="AC25" s="2">
        <f t="shared" si="0"/>
        <v>80163642511.139069</v>
      </c>
      <c r="AD25">
        <f t="shared" si="1"/>
        <v>0.14549673751769573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5"/>
  <sheetViews>
    <sheetView workbookViewId="0">
      <pane ySplit="1" topLeftCell="A2" activePane="bottomLeft" state="frozen"/>
      <selection pane="bottomLeft" activeCell="D12" sqref="D12"/>
    </sheetView>
  </sheetViews>
  <sheetFormatPr baseColWidth="10" defaultRowHeight="15" x14ac:dyDescent="0.25"/>
  <sheetData>
    <row r="1" spans="1:5" x14ac:dyDescent="0.25">
      <c r="A1" t="s">
        <v>52</v>
      </c>
      <c r="B1" t="s">
        <v>156</v>
      </c>
      <c r="C1" t="s">
        <v>135</v>
      </c>
      <c r="D1" t="s">
        <v>161</v>
      </c>
      <c r="E1" t="s">
        <v>163</v>
      </c>
    </row>
    <row r="2" spans="1:5" x14ac:dyDescent="0.25">
      <c r="A2">
        <v>2001</v>
      </c>
      <c r="B2">
        <v>0.35892847187784099</v>
      </c>
      <c r="C2">
        <v>62733942319.383301</v>
      </c>
      <c r="D2">
        <v>0.35785680269405201</v>
      </c>
      <c r="E2">
        <v>0.89358725808559503</v>
      </c>
    </row>
    <row r="3" spans="1:5" x14ac:dyDescent="0.25">
      <c r="A3">
        <v>2002</v>
      </c>
      <c r="B3">
        <v>0.37529471126030201</v>
      </c>
      <c r="C3">
        <v>72345775538.0354</v>
      </c>
      <c r="D3">
        <v>0.23922594954715201</v>
      </c>
      <c r="E3">
        <v>0.96715421168840299</v>
      </c>
    </row>
    <row r="4" spans="1:5" x14ac:dyDescent="0.25">
      <c r="A4">
        <v>2003</v>
      </c>
      <c r="B4">
        <v>0.29779245041589197</v>
      </c>
      <c r="C4">
        <v>105009919274.52299</v>
      </c>
      <c r="D4">
        <v>0.26215617351329601</v>
      </c>
      <c r="E4">
        <v>1.1591957120103</v>
      </c>
    </row>
    <row r="5" spans="1:5" x14ac:dyDescent="0.25">
      <c r="A5">
        <v>2004</v>
      </c>
      <c r="B5">
        <v>0.29395520694254801</v>
      </c>
      <c r="C5">
        <v>135465310233.95</v>
      </c>
      <c r="D5">
        <v>0.23069540602767599</v>
      </c>
      <c r="E5">
        <v>0.96017798190525006</v>
      </c>
    </row>
    <row r="6" spans="1:5" x14ac:dyDescent="0.25">
      <c r="A6">
        <v>2005</v>
      </c>
      <c r="B6">
        <v>0.292064490524099</v>
      </c>
      <c r="C6">
        <v>140183030723.776</v>
      </c>
      <c r="D6">
        <v>0.27069377267735301</v>
      </c>
      <c r="E6">
        <v>0.97085580109957204</v>
      </c>
    </row>
    <row r="7" spans="1:5" x14ac:dyDescent="0.25">
      <c r="A7">
        <v>2006</v>
      </c>
      <c r="B7">
        <v>0.29192415222106499</v>
      </c>
      <c r="C7">
        <v>140338843943.04501</v>
      </c>
      <c r="D7">
        <v>0.25884766694038402</v>
      </c>
      <c r="E7">
        <v>1.0586503912891401</v>
      </c>
    </row>
    <row r="8" spans="1:5" x14ac:dyDescent="0.25">
      <c r="A8">
        <v>2007</v>
      </c>
      <c r="B8">
        <v>0.30018457428432399</v>
      </c>
      <c r="C8">
        <v>176919852679.23001</v>
      </c>
      <c r="D8">
        <v>0.28269694781344801</v>
      </c>
      <c r="E8">
        <v>1.2494502331173201</v>
      </c>
    </row>
    <row r="9" spans="1:5" x14ac:dyDescent="0.25">
      <c r="A9">
        <v>2008</v>
      </c>
      <c r="B9">
        <v>0.28173131463118001</v>
      </c>
      <c r="C9">
        <v>218552030968.78</v>
      </c>
      <c r="D9">
        <v>0.30253440361772599</v>
      </c>
      <c r="E9">
        <v>1.3447283433724</v>
      </c>
    </row>
    <row r="10" spans="1:5" x14ac:dyDescent="0.25">
      <c r="A10">
        <v>2009</v>
      </c>
      <c r="B10">
        <v>0.29821128576217998</v>
      </c>
      <c r="C10">
        <v>197605983647.12201</v>
      </c>
      <c r="D10">
        <v>0.38018041490855597</v>
      </c>
      <c r="E10">
        <v>1.1911836885159099</v>
      </c>
    </row>
    <row r="11" spans="1:5" x14ac:dyDescent="0.25">
      <c r="A11">
        <v>2010</v>
      </c>
      <c r="B11">
        <v>0.32002475328542901</v>
      </c>
      <c r="C11">
        <v>219533189107.83099</v>
      </c>
      <c r="D11">
        <v>0.35716187901482399</v>
      </c>
      <c r="E11">
        <v>1.0436745548199899</v>
      </c>
    </row>
    <row r="12" spans="1:5" x14ac:dyDescent="0.25">
      <c r="A12">
        <v>2011</v>
      </c>
      <c r="B12">
        <v>0.30275953361087998</v>
      </c>
      <c r="C12">
        <v>241865647026.24899</v>
      </c>
      <c r="D12">
        <v>0.39138359763031</v>
      </c>
      <c r="E12">
        <v>1.25017309070049</v>
      </c>
    </row>
    <row r="13" spans="1:5" x14ac:dyDescent="0.25">
      <c r="A13">
        <v>2012</v>
      </c>
      <c r="B13">
        <v>0.270923328381935</v>
      </c>
      <c r="C13">
        <v>284328905817.68402</v>
      </c>
      <c r="D13">
        <v>0.44100025903470402</v>
      </c>
      <c r="E13">
        <v>1.1891191315141101</v>
      </c>
    </row>
    <row r="14" spans="1:5" x14ac:dyDescent="0.25">
      <c r="A14">
        <v>2013</v>
      </c>
      <c r="B14">
        <v>0.28436414766533902</v>
      </c>
      <c r="C14">
        <v>300899022429.91602</v>
      </c>
      <c r="D14">
        <v>0.4485116840801</v>
      </c>
      <c r="E14">
        <v>1.16450299425308</v>
      </c>
    </row>
    <row r="15" spans="1:5" x14ac:dyDescent="0.25">
      <c r="A15">
        <v>2014</v>
      </c>
      <c r="B15">
        <v>0.28828998091935898</v>
      </c>
      <c r="C15">
        <v>345417334594.71899</v>
      </c>
      <c r="D15">
        <v>0.43460459566333298</v>
      </c>
      <c r="E15">
        <v>1.5172749454245</v>
      </c>
    </row>
    <row r="16" spans="1:5" x14ac:dyDescent="0.25">
      <c r="A16">
        <v>2015</v>
      </c>
      <c r="B16">
        <v>0.31780228748873002</v>
      </c>
      <c r="C16">
        <v>352361371125.64502</v>
      </c>
      <c r="D16">
        <v>0.402158771725037</v>
      </c>
      <c r="E16">
        <v>1.36773884339382</v>
      </c>
    </row>
    <row r="17" spans="1:5" x14ac:dyDescent="0.25">
      <c r="A17">
        <v>2016</v>
      </c>
      <c r="B17">
        <v>0.31822300729867298</v>
      </c>
      <c r="C17">
        <v>359699962959.59198</v>
      </c>
      <c r="D17">
        <v>0.423817985460059</v>
      </c>
      <c r="E17">
        <v>1.4082925710254599</v>
      </c>
    </row>
    <row r="18" spans="1:5" x14ac:dyDescent="0.25">
      <c r="A18">
        <v>2017</v>
      </c>
      <c r="B18">
        <v>0.33962088199815399</v>
      </c>
      <c r="C18">
        <v>348076388424.39001</v>
      </c>
      <c r="D18">
        <v>0.42928484778978898</v>
      </c>
      <c r="E18">
        <v>1.2758013892483699</v>
      </c>
    </row>
    <row r="19" spans="1:5" x14ac:dyDescent="0.25">
      <c r="A19">
        <v>2018</v>
      </c>
      <c r="B19">
        <v>0.347144803240304</v>
      </c>
      <c r="C19">
        <v>402546125111.56702</v>
      </c>
      <c r="D19">
        <v>0.38467068091002998</v>
      </c>
      <c r="E19">
        <v>1.16706303143822</v>
      </c>
    </row>
    <row r="20" spans="1:5" x14ac:dyDescent="0.25">
      <c r="A20">
        <v>2019</v>
      </c>
      <c r="B20">
        <v>0.31708148318188101</v>
      </c>
      <c r="C20">
        <v>443320360387</v>
      </c>
      <c r="D20">
        <v>0.42458666827038699</v>
      </c>
      <c r="E20">
        <v>1.35789029100239</v>
      </c>
    </row>
    <row r="21" spans="1:5" x14ac:dyDescent="0.25">
      <c r="A21">
        <v>2020</v>
      </c>
      <c r="B21">
        <v>0.30452359008372398</v>
      </c>
      <c r="C21">
        <v>449416837552.95599</v>
      </c>
      <c r="D21">
        <v>0.42783606037605898</v>
      </c>
      <c r="E21">
        <v>1.61957565994111</v>
      </c>
    </row>
    <row r="22" spans="1:5" x14ac:dyDescent="0.25">
      <c r="A22">
        <v>2021</v>
      </c>
      <c r="B22">
        <v>0.30383449875921997</v>
      </c>
      <c r="C22">
        <v>526409090702.44098</v>
      </c>
      <c r="D22">
        <v>0.37391807305802</v>
      </c>
      <c r="E22">
        <v>1.67660638799276</v>
      </c>
    </row>
    <row r="23" spans="1:5" x14ac:dyDescent="0.25">
      <c r="A23">
        <v>2022</v>
      </c>
      <c r="B23">
        <v>0.29921304398181098</v>
      </c>
      <c r="C23">
        <v>662138871439.95801</v>
      </c>
      <c r="D23">
        <v>0.36006378026286501</v>
      </c>
      <c r="E23">
        <v>1.47853173831477</v>
      </c>
    </row>
    <row r="24" spans="1:5" x14ac:dyDescent="0.25">
      <c r="A24">
        <v>2023</v>
      </c>
      <c r="B24">
        <v>0.296602499368463</v>
      </c>
      <c r="C24">
        <v>611153829592.06201</v>
      </c>
      <c r="D24">
        <v>0.435684992767357</v>
      </c>
      <c r="E24">
        <v>1.67604027971978</v>
      </c>
    </row>
    <row r="25" spans="1:5" x14ac:dyDescent="0.25">
      <c r="A25">
        <v>2024</v>
      </c>
      <c r="B25">
        <v>0.30763204723180798</v>
      </c>
      <c r="C25">
        <v>639470889642.45801</v>
      </c>
      <c r="D25">
        <v>0.42779151592784098</v>
      </c>
      <c r="E25">
        <v>1.6553601509920499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25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5"/>
  <sheetData>
    <row r="1" spans="1:28" x14ac:dyDescent="0.25">
      <c r="A1" t="s">
        <v>52</v>
      </c>
      <c r="B1" t="s">
        <v>57</v>
      </c>
      <c r="C1" t="s">
        <v>65</v>
      </c>
      <c r="D1" t="s">
        <v>69</v>
      </c>
      <c r="E1" t="s">
        <v>75</v>
      </c>
      <c r="F1" t="s">
        <v>79</v>
      </c>
      <c r="G1" t="s">
        <v>82</v>
      </c>
      <c r="H1" t="s">
        <v>84</v>
      </c>
      <c r="I1" t="s">
        <v>123</v>
      </c>
      <c r="J1" t="s">
        <v>135</v>
      </c>
      <c r="K1" t="s">
        <v>141</v>
      </c>
      <c r="L1" t="s">
        <v>86</v>
      </c>
      <c r="M1" t="s">
        <v>138</v>
      </c>
      <c r="N1" t="s">
        <v>89</v>
      </c>
      <c r="O1" t="s">
        <v>92</v>
      </c>
      <c r="P1" t="s">
        <v>96</v>
      </c>
      <c r="Q1" t="s">
        <v>99</v>
      </c>
      <c r="R1" t="s">
        <v>102</v>
      </c>
      <c r="S1" t="s">
        <v>104</v>
      </c>
      <c r="T1" t="s">
        <v>107</v>
      </c>
      <c r="U1" t="s">
        <v>111</v>
      </c>
      <c r="V1" t="s">
        <v>114</v>
      </c>
      <c r="W1" t="s">
        <v>117</v>
      </c>
      <c r="X1" t="s">
        <v>120</v>
      </c>
      <c r="Y1" t="s">
        <v>144</v>
      </c>
      <c r="Z1" t="s">
        <v>147</v>
      </c>
      <c r="AA1" t="s">
        <v>150</v>
      </c>
      <c r="AB1" t="s">
        <v>153</v>
      </c>
    </row>
    <row r="2" spans="1:28" x14ac:dyDescent="0.25">
      <c r="A2">
        <v>2001</v>
      </c>
      <c r="B2" t="s">
        <v>23</v>
      </c>
      <c r="C2" t="s">
        <v>231</v>
      </c>
      <c r="D2" t="s">
        <v>218</v>
      </c>
      <c r="E2">
        <v>224795374000</v>
      </c>
      <c r="F2" t="s">
        <v>219</v>
      </c>
      <c r="G2">
        <v>105965497000</v>
      </c>
      <c r="H2" t="s">
        <v>219</v>
      </c>
      <c r="I2">
        <v>98274379612.009399</v>
      </c>
      <c r="J2">
        <v>126520994387.991</v>
      </c>
      <c r="K2">
        <v>30124046282.8549</v>
      </c>
      <c r="L2">
        <v>48921033000</v>
      </c>
      <c r="M2">
        <v>11647865000</v>
      </c>
      <c r="N2">
        <v>538624</v>
      </c>
      <c r="O2">
        <v>93366</v>
      </c>
      <c r="P2">
        <v>15584526000</v>
      </c>
      <c r="Q2">
        <v>5236788000</v>
      </c>
      <c r="R2">
        <v>3176411000</v>
      </c>
      <c r="S2" t="s">
        <v>219</v>
      </c>
      <c r="T2" t="s">
        <v>219</v>
      </c>
      <c r="U2">
        <v>9474344000</v>
      </c>
      <c r="V2">
        <v>8228656000</v>
      </c>
      <c r="W2">
        <v>123851491000</v>
      </c>
      <c r="X2">
        <v>123851491000</v>
      </c>
      <c r="Y2">
        <v>165623402282.85501</v>
      </c>
      <c r="Z2">
        <v>57044464000</v>
      </c>
      <c r="AA2">
        <v>0.461669452652121</v>
      </c>
      <c r="AB2">
        <v>196733.708486811</v>
      </c>
    </row>
    <row r="3" spans="1:28" x14ac:dyDescent="0.25">
      <c r="A3">
        <v>2002</v>
      </c>
      <c r="B3" t="s">
        <v>23</v>
      </c>
      <c r="C3" t="s">
        <v>232</v>
      </c>
      <c r="D3" t="s">
        <v>218</v>
      </c>
      <c r="E3">
        <v>228293239248</v>
      </c>
      <c r="F3" t="s">
        <v>219</v>
      </c>
      <c r="G3">
        <v>106353797467</v>
      </c>
      <c r="H3" t="s">
        <v>219</v>
      </c>
      <c r="I3">
        <v>97981985581.229599</v>
      </c>
      <c r="J3">
        <v>130311253666.77</v>
      </c>
      <c r="K3">
        <v>31026488968.278702</v>
      </c>
      <c r="L3">
        <v>42622839206</v>
      </c>
      <c r="M3">
        <v>10148295049.0476</v>
      </c>
      <c r="N3">
        <v>339997</v>
      </c>
      <c r="O3">
        <v>12298</v>
      </c>
      <c r="P3" t="s">
        <v>219</v>
      </c>
      <c r="Q3" t="s">
        <v>219</v>
      </c>
      <c r="R3" t="s">
        <v>219</v>
      </c>
      <c r="S3" t="s">
        <v>219</v>
      </c>
      <c r="T3" t="s">
        <v>219</v>
      </c>
      <c r="U3">
        <v>11163880916</v>
      </c>
      <c r="V3">
        <v>7193975850</v>
      </c>
      <c r="W3" t="s">
        <v>219</v>
      </c>
      <c r="X3">
        <v>122799947184.72301</v>
      </c>
      <c r="Y3">
        <v>163974731202.04901</v>
      </c>
      <c r="Z3">
        <v>63730958261</v>
      </c>
      <c r="AA3">
        <v>0.400764619798604</v>
      </c>
      <c r="AB3">
        <v>312808.04673864797</v>
      </c>
    </row>
    <row r="4" spans="1:28" x14ac:dyDescent="0.25">
      <c r="A4">
        <v>2003</v>
      </c>
      <c r="B4" t="s">
        <v>23</v>
      </c>
      <c r="C4" t="s">
        <v>232</v>
      </c>
      <c r="D4" t="s">
        <v>218</v>
      </c>
      <c r="E4">
        <v>282760554719</v>
      </c>
      <c r="F4" t="s">
        <v>219</v>
      </c>
      <c r="G4">
        <v>117480701268</v>
      </c>
      <c r="H4" t="s">
        <v>219</v>
      </c>
      <c r="I4">
        <v>108449361771.535</v>
      </c>
      <c r="J4">
        <v>174311192947.465</v>
      </c>
      <c r="K4">
        <v>41502664987.491798</v>
      </c>
      <c r="L4">
        <v>44485282167</v>
      </c>
      <c r="M4">
        <v>10591733849.2857</v>
      </c>
      <c r="N4">
        <v>345219</v>
      </c>
      <c r="O4">
        <v>12298</v>
      </c>
      <c r="P4">
        <v>14939026955</v>
      </c>
      <c r="Q4">
        <v>9558775510</v>
      </c>
      <c r="R4">
        <v>5765671714</v>
      </c>
      <c r="S4" t="s">
        <v>219</v>
      </c>
      <c r="T4" t="s">
        <v>219</v>
      </c>
      <c r="U4">
        <v>15388019830</v>
      </c>
      <c r="V4">
        <v>7667299026</v>
      </c>
      <c r="W4">
        <v>128858476811</v>
      </c>
      <c r="X4">
        <v>128858476811</v>
      </c>
      <c r="Y4">
        <v>180952875647.77701</v>
      </c>
      <c r="Z4">
        <v>72995419101</v>
      </c>
      <c r="AA4">
        <v>0.37866033899064899</v>
      </c>
      <c r="AB4">
        <v>340307.75034977798</v>
      </c>
    </row>
    <row r="5" spans="1:28" x14ac:dyDescent="0.25">
      <c r="A5">
        <v>2004</v>
      </c>
      <c r="B5" t="s">
        <v>23</v>
      </c>
      <c r="C5" t="s">
        <v>232</v>
      </c>
      <c r="D5" t="s">
        <v>218</v>
      </c>
      <c r="E5">
        <v>342486970874</v>
      </c>
      <c r="F5" t="s">
        <v>219</v>
      </c>
      <c r="G5">
        <v>137248675768</v>
      </c>
      <c r="H5" t="s">
        <v>219</v>
      </c>
      <c r="I5">
        <v>125954200122.862</v>
      </c>
      <c r="J5">
        <v>216532770751.138</v>
      </c>
      <c r="K5">
        <v>51555421607.413696</v>
      </c>
      <c r="L5">
        <v>48007488282</v>
      </c>
      <c r="M5">
        <v>11430354352.8571</v>
      </c>
      <c r="N5">
        <v>348339</v>
      </c>
      <c r="O5">
        <v>13993</v>
      </c>
      <c r="P5">
        <v>20956681133</v>
      </c>
      <c r="Q5">
        <v>11081662212</v>
      </c>
      <c r="R5">
        <v>2372629177</v>
      </c>
      <c r="S5">
        <v>3789547557</v>
      </c>
      <c r="T5">
        <v>6162176734</v>
      </c>
      <c r="U5">
        <v>17341745740</v>
      </c>
      <c r="V5">
        <v>8870370869</v>
      </c>
      <c r="W5">
        <v>187339221901</v>
      </c>
      <c r="X5">
        <v>187339221901</v>
      </c>
      <c r="Y5">
        <v>250324997861.271</v>
      </c>
      <c r="Z5">
        <v>89241187486</v>
      </c>
      <c r="AA5">
        <v>0.34978471022299701</v>
      </c>
      <c r="AB5">
        <v>394008.92741840601</v>
      </c>
    </row>
    <row r="6" spans="1:28" x14ac:dyDescent="0.25">
      <c r="A6">
        <v>2005</v>
      </c>
      <c r="B6" t="s">
        <v>23</v>
      </c>
      <c r="C6" t="s">
        <v>232</v>
      </c>
      <c r="D6" t="s">
        <v>218</v>
      </c>
      <c r="E6">
        <v>370267989847</v>
      </c>
      <c r="F6" t="s">
        <v>219</v>
      </c>
      <c r="G6">
        <v>152188634950</v>
      </c>
      <c r="H6" t="s">
        <v>219</v>
      </c>
      <c r="I6">
        <v>140218243181.702</v>
      </c>
      <c r="J6">
        <v>230049746665.298</v>
      </c>
      <c r="K6">
        <v>54773749206.0233</v>
      </c>
      <c r="L6">
        <v>56739334938</v>
      </c>
      <c r="M6">
        <v>13509365461.4286</v>
      </c>
      <c r="N6">
        <v>391484</v>
      </c>
      <c r="O6">
        <v>14338</v>
      </c>
      <c r="P6">
        <v>22308747111</v>
      </c>
      <c r="Q6">
        <v>6242564037</v>
      </c>
      <c r="R6">
        <v>3786737908</v>
      </c>
      <c r="S6">
        <v>3985038215</v>
      </c>
      <c r="T6">
        <v>7771776123</v>
      </c>
      <c r="U6">
        <v>17296133580</v>
      </c>
      <c r="V6">
        <v>9812890558</v>
      </c>
      <c r="W6">
        <v>239076254150</v>
      </c>
      <c r="X6">
        <v>239076254150</v>
      </c>
      <c r="Y6">
        <v>307359368817.45203</v>
      </c>
      <c r="Z6">
        <v>95449300012</v>
      </c>
      <c r="AA6">
        <v>0.37282241841935898</v>
      </c>
      <c r="AB6">
        <v>388748.03299751697</v>
      </c>
    </row>
    <row r="7" spans="1:28" x14ac:dyDescent="0.25">
      <c r="A7">
        <v>2006</v>
      </c>
      <c r="B7" t="s">
        <v>23</v>
      </c>
      <c r="C7" t="s">
        <v>233</v>
      </c>
      <c r="D7" t="s">
        <v>218</v>
      </c>
      <c r="E7">
        <v>336442815360.93903</v>
      </c>
      <c r="F7" t="s">
        <v>219</v>
      </c>
      <c r="G7">
        <v>131310154037.69501</v>
      </c>
      <c r="H7" t="s">
        <v>219</v>
      </c>
      <c r="I7">
        <v>120422814556.66299</v>
      </c>
      <c r="J7">
        <v>216020000804.276</v>
      </c>
      <c r="K7">
        <v>51433333524.827698</v>
      </c>
      <c r="L7">
        <v>47362257399.204597</v>
      </c>
      <c r="M7">
        <v>11276727952.191601</v>
      </c>
      <c r="N7">
        <v>205952.961336543</v>
      </c>
      <c r="O7" t="s">
        <v>219</v>
      </c>
      <c r="P7">
        <v>19150720336.405499</v>
      </c>
      <c r="Q7">
        <v>10062940014.6369</v>
      </c>
      <c r="R7">
        <v>3231971966.12888</v>
      </c>
      <c r="S7">
        <v>2931613565.3474498</v>
      </c>
      <c r="T7">
        <v>6163585531.4763298</v>
      </c>
      <c r="U7">
        <v>17116477319.560101</v>
      </c>
      <c r="V7">
        <v>10046136284.170401</v>
      </c>
      <c r="W7">
        <v>231687199104.87201</v>
      </c>
      <c r="X7">
        <v>231687199104.87201</v>
      </c>
      <c r="Y7">
        <v>294397260581.89203</v>
      </c>
      <c r="Z7">
        <v>83947896638.490601</v>
      </c>
      <c r="AA7">
        <v>0.36068998430698901</v>
      </c>
      <c r="AB7">
        <v>637573.517688461</v>
      </c>
    </row>
    <row r="8" spans="1:28" x14ac:dyDescent="0.25">
      <c r="A8">
        <v>2007</v>
      </c>
      <c r="B8" t="s">
        <v>23</v>
      </c>
      <c r="C8" t="s">
        <v>233</v>
      </c>
      <c r="D8" t="s">
        <v>218</v>
      </c>
      <c r="E8">
        <v>481369119712.77197</v>
      </c>
      <c r="F8" t="s">
        <v>219</v>
      </c>
      <c r="G8">
        <v>196898700963.26401</v>
      </c>
      <c r="H8" t="s">
        <v>219</v>
      </c>
      <c r="I8">
        <v>181386224749.04501</v>
      </c>
      <c r="J8">
        <v>299982894963.72699</v>
      </c>
      <c r="K8">
        <v>71424498800.887497</v>
      </c>
      <c r="L8">
        <v>75965597899.600204</v>
      </c>
      <c r="M8">
        <v>18087047118.9524</v>
      </c>
      <c r="N8">
        <v>384437.89351483202</v>
      </c>
      <c r="O8" t="s">
        <v>219</v>
      </c>
      <c r="P8">
        <v>38859260194.997902</v>
      </c>
      <c r="Q8">
        <v>17362442588.0457</v>
      </c>
      <c r="R8">
        <v>4047231987.4516101</v>
      </c>
      <c r="S8">
        <v>5384164893.9242001</v>
      </c>
      <c r="T8">
        <v>9431396881.3758106</v>
      </c>
      <c r="U8">
        <v>21950974301.9375</v>
      </c>
      <c r="V8">
        <v>9894924417.6759205</v>
      </c>
      <c r="W8">
        <v>291955588783.62097</v>
      </c>
      <c r="X8">
        <v>291955588783.62097</v>
      </c>
      <c r="Y8">
        <v>381467134703.461</v>
      </c>
      <c r="Z8">
        <v>120933103063.664</v>
      </c>
      <c r="AA8">
        <v>0.385810559074096</v>
      </c>
      <c r="AB8">
        <v>512172.97848310898</v>
      </c>
    </row>
    <row r="9" spans="1:28" x14ac:dyDescent="0.25">
      <c r="A9">
        <v>2008</v>
      </c>
      <c r="B9" t="s">
        <v>23</v>
      </c>
      <c r="C9" t="s">
        <v>234</v>
      </c>
      <c r="D9" t="s">
        <v>228</v>
      </c>
      <c r="E9">
        <v>559144297146.625</v>
      </c>
      <c r="F9" t="s">
        <v>219</v>
      </c>
      <c r="G9">
        <v>205890238511.31601</v>
      </c>
      <c r="H9" t="s">
        <v>219</v>
      </c>
      <c r="I9">
        <v>188274053256.673</v>
      </c>
      <c r="J9">
        <v>370870243889.953</v>
      </c>
      <c r="K9">
        <v>88302439021.417297</v>
      </c>
      <c r="L9">
        <v>94216384323.746307</v>
      </c>
      <c r="M9">
        <v>22432472458.034801</v>
      </c>
      <c r="N9">
        <v>436444.30388273002</v>
      </c>
      <c r="O9" t="s">
        <v>219</v>
      </c>
      <c r="P9">
        <v>43310215637.451103</v>
      </c>
      <c r="Q9">
        <v>26919225854.152901</v>
      </c>
      <c r="R9">
        <v>9013827403.1780396</v>
      </c>
      <c r="S9">
        <v>7371125840.2341204</v>
      </c>
      <c r="T9">
        <v>16384953243.412201</v>
      </c>
      <c r="U9">
        <v>25276649939.069698</v>
      </c>
      <c r="V9">
        <v>8127087389.6333704</v>
      </c>
      <c r="W9">
        <v>333451079195.26501</v>
      </c>
      <c r="X9">
        <v>333451079195.26501</v>
      </c>
      <c r="Y9">
        <v>444185990674.71698</v>
      </c>
      <c r="Z9">
        <v>111673854187.57001</v>
      </c>
      <c r="AA9">
        <v>0.45760491126230801</v>
      </c>
      <c r="AB9">
        <v>471744.588438112</v>
      </c>
    </row>
    <row r="10" spans="1:28" x14ac:dyDescent="0.25">
      <c r="A10">
        <v>2009</v>
      </c>
      <c r="B10" t="s">
        <v>23</v>
      </c>
      <c r="C10" t="s">
        <v>234</v>
      </c>
      <c r="D10" t="s">
        <v>228</v>
      </c>
      <c r="E10">
        <v>572525294843.88</v>
      </c>
      <c r="F10" t="s">
        <v>219</v>
      </c>
      <c r="G10">
        <v>234652404427.53601</v>
      </c>
      <c r="H10" t="s">
        <v>219</v>
      </c>
      <c r="I10">
        <v>217081448339.42899</v>
      </c>
      <c r="J10">
        <v>355443846504.45203</v>
      </c>
      <c r="K10">
        <v>84629487262.964706</v>
      </c>
      <c r="L10">
        <v>117108913106.686</v>
      </c>
      <c r="M10">
        <v>27883074549.210999</v>
      </c>
      <c r="N10">
        <v>477461.01271908398</v>
      </c>
      <c r="O10" t="s">
        <v>219</v>
      </c>
      <c r="P10">
        <v>37495334384.099197</v>
      </c>
      <c r="Q10">
        <v>21581497800.306</v>
      </c>
      <c r="R10">
        <v>9679386069.55089</v>
      </c>
      <c r="S10">
        <v>4223925982.0983901</v>
      </c>
      <c r="T10">
        <v>13903312051.6493</v>
      </c>
      <c r="U10">
        <v>26688200109.4006</v>
      </c>
      <c r="V10">
        <v>8225554423.7740498</v>
      </c>
      <c r="W10">
        <v>346393993604.05298</v>
      </c>
      <c r="X10">
        <v>346393993604.05298</v>
      </c>
      <c r="Y10">
        <v>458906555416.229</v>
      </c>
      <c r="Z10">
        <v>117543491320.85001</v>
      </c>
      <c r="AA10">
        <v>0.49907399582112899</v>
      </c>
      <c r="AB10">
        <v>491458.775013312</v>
      </c>
    </row>
    <row r="11" spans="1:28" x14ac:dyDescent="0.25">
      <c r="A11">
        <v>2010</v>
      </c>
      <c r="B11" t="s">
        <v>23</v>
      </c>
      <c r="C11" t="s">
        <v>234</v>
      </c>
      <c r="D11" t="s">
        <v>228</v>
      </c>
      <c r="E11">
        <v>709424887808.73804</v>
      </c>
      <c r="F11" t="s">
        <v>219</v>
      </c>
      <c r="G11">
        <v>308305260093.789</v>
      </c>
      <c r="H11" t="s">
        <v>219</v>
      </c>
      <c r="I11">
        <v>286235145671.70203</v>
      </c>
      <c r="J11">
        <v>423189742137.03601</v>
      </c>
      <c r="K11">
        <v>100759462413.58</v>
      </c>
      <c r="L11">
        <v>144685743750.673</v>
      </c>
      <c r="M11">
        <v>34448986607.303101</v>
      </c>
      <c r="N11">
        <v>522282.76830256899</v>
      </c>
      <c r="O11" t="s">
        <v>219</v>
      </c>
      <c r="P11">
        <v>61076798987.552696</v>
      </c>
      <c r="Q11">
        <v>35070356311.893501</v>
      </c>
      <c r="R11">
        <v>9345396138.2693691</v>
      </c>
      <c r="S11">
        <v>14770567839.312</v>
      </c>
      <c r="T11">
        <v>24115963977.581402</v>
      </c>
      <c r="U11">
        <v>31780276848.6609</v>
      </c>
      <c r="V11">
        <v>11905200627.3829</v>
      </c>
      <c r="W11">
        <v>449096205806.534</v>
      </c>
      <c r="X11">
        <v>449096205806.534</v>
      </c>
      <c r="Y11">
        <v>584304654827.41699</v>
      </c>
      <c r="Z11">
        <v>163619516343.116</v>
      </c>
      <c r="AA11">
        <v>0.46929378923557202</v>
      </c>
      <c r="AB11">
        <v>590303.335290552</v>
      </c>
    </row>
    <row r="12" spans="1:28" x14ac:dyDescent="0.25">
      <c r="A12">
        <v>2011</v>
      </c>
      <c r="B12" t="s">
        <v>23</v>
      </c>
      <c r="C12" t="s">
        <v>234</v>
      </c>
      <c r="D12" t="s">
        <v>228</v>
      </c>
      <c r="E12">
        <v>771498581508.33496</v>
      </c>
      <c r="F12" t="s">
        <v>219</v>
      </c>
      <c r="G12">
        <v>329709117763.86798</v>
      </c>
      <c r="H12" t="s">
        <v>219</v>
      </c>
      <c r="I12">
        <v>306495708639.52698</v>
      </c>
      <c r="J12">
        <v>465002872868.80798</v>
      </c>
      <c r="K12">
        <v>110714969730.66901</v>
      </c>
      <c r="L12">
        <v>172970589361.34201</v>
      </c>
      <c r="M12">
        <v>41183473657.462303</v>
      </c>
      <c r="N12">
        <v>542457.77004517801</v>
      </c>
      <c r="O12">
        <v>11157</v>
      </c>
      <c r="P12" t="s">
        <v>219</v>
      </c>
      <c r="Q12" t="s">
        <v>219</v>
      </c>
      <c r="R12" t="s">
        <v>219</v>
      </c>
      <c r="S12" t="s">
        <v>219</v>
      </c>
      <c r="T12" t="s">
        <v>219</v>
      </c>
      <c r="U12">
        <v>31493510576.657902</v>
      </c>
      <c r="V12">
        <v>22457275219.061501</v>
      </c>
      <c r="W12" t="s">
        <v>219</v>
      </c>
      <c r="X12">
        <v>465282333778.51801</v>
      </c>
      <c r="Y12">
        <v>617180777166.64905</v>
      </c>
      <c r="Z12">
        <v>156738528402.52701</v>
      </c>
      <c r="AA12">
        <v>0.52461572956929903</v>
      </c>
      <c r="AB12">
        <v>607806.05601134396</v>
      </c>
    </row>
    <row r="13" spans="1:28" x14ac:dyDescent="0.25">
      <c r="A13">
        <v>2012</v>
      </c>
      <c r="B13" t="s">
        <v>23</v>
      </c>
      <c r="C13" t="s">
        <v>234</v>
      </c>
      <c r="D13" t="s">
        <v>228</v>
      </c>
      <c r="E13">
        <v>908716083147.99805</v>
      </c>
      <c r="F13" t="s">
        <v>219</v>
      </c>
      <c r="G13">
        <v>380803978320.66101</v>
      </c>
      <c r="H13" t="s">
        <v>219</v>
      </c>
      <c r="I13">
        <v>354432863100.07898</v>
      </c>
      <c r="J13">
        <v>554283220047.91895</v>
      </c>
      <c r="K13">
        <v>131972195249.505</v>
      </c>
      <c r="L13">
        <v>204379867609.763</v>
      </c>
      <c r="M13">
        <v>48661873240.419701</v>
      </c>
      <c r="N13">
        <v>564843.79721153295</v>
      </c>
      <c r="O13" t="s">
        <v>219</v>
      </c>
      <c r="P13">
        <v>70402576883.8423</v>
      </c>
      <c r="Q13">
        <v>39914783804.8311</v>
      </c>
      <c r="R13">
        <v>16418462867.3078</v>
      </c>
      <c r="S13">
        <v>10196185807.906401</v>
      </c>
      <c r="T13">
        <v>26614648675.214298</v>
      </c>
      <c r="U13">
        <v>35113806680.251404</v>
      </c>
      <c r="V13">
        <v>19479252420.685001</v>
      </c>
      <c r="W13">
        <v>490287039450.53198</v>
      </c>
      <c r="X13">
        <v>490287039450.53198</v>
      </c>
      <c r="Y13">
        <v>670921107940.45605</v>
      </c>
      <c r="Z13">
        <v>176424110710.89801</v>
      </c>
      <c r="AA13">
        <v>0.53670623009526996</v>
      </c>
      <c r="AB13">
        <v>674175.72822889802</v>
      </c>
    </row>
    <row r="14" spans="1:28" x14ac:dyDescent="0.25">
      <c r="A14">
        <v>2013</v>
      </c>
      <c r="B14" t="s">
        <v>23</v>
      </c>
      <c r="C14" t="s">
        <v>234</v>
      </c>
      <c r="D14" t="s">
        <v>228</v>
      </c>
      <c r="E14">
        <v>1029630572140.08</v>
      </c>
      <c r="F14" t="s">
        <v>219</v>
      </c>
      <c r="G14">
        <v>446438532539.49298</v>
      </c>
      <c r="H14" t="s">
        <v>219</v>
      </c>
      <c r="I14">
        <v>416641358492.07397</v>
      </c>
      <c r="J14">
        <v>612989213648.00598</v>
      </c>
      <c r="K14">
        <v>145949812773.33499</v>
      </c>
      <c r="L14">
        <v>239717322965.66901</v>
      </c>
      <c r="M14">
        <v>57075553087.063904</v>
      </c>
      <c r="N14">
        <v>592299.20796363696</v>
      </c>
      <c r="O14" t="s">
        <v>219</v>
      </c>
      <c r="P14">
        <v>95632259933.440094</v>
      </c>
      <c r="Q14">
        <v>53002735212.258797</v>
      </c>
      <c r="R14">
        <v>14065686833.834801</v>
      </c>
      <c r="S14">
        <v>25576872929.305099</v>
      </c>
      <c r="T14">
        <v>39642559763.1399</v>
      </c>
      <c r="U14">
        <v>37001352296.951599</v>
      </c>
      <c r="V14">
        <v>24693359137.9949</v>
      </c>
      <c r="W14">
        <v>551876752379.70203</v>
      </c>
      <c r="X14">
        <v>551876752379.70203</v>
      </c>
      <c r="Y14">
        <v>754902118240.10095</v>
      </c>
      <c r="Z14">
        <v>206721209573.82401</v>
      </c>
      <c r="AA14">
        <v>0.53695482243003501</v>
      </c>
      <c r="AB14">
        <v>753738.18930870597</v>
      </c>
    </row>
    <row r="15" spans="1:28" x14ac:dyDescent="0.25">
      <c r="A15">
        <v>2014</v>
      </c>
      <c r="B15" t="s">
        <v>23</v>
      </c>
      <c r="C15" t="s">
        <v>234</v>
      </c>
      <c r="D15" t="s">
        <v>228</v>
      </c>
      <c r="E15">
        <v>1199313983186.27</v>
      </c>
      <c r="F15" t="s">
        <v>219</v>
      </c>
      <c r="G15">
        <v>525321848898.88202</v>
      </c>
      <c r="H15" t="s">
        <v>219</v>
      </c>
      <c r="I15">
        <v>490474645352.526</v>
      </c>
      <c r="J15">
        <v>708839337833.74304</v>
      </c>
      <c r="K15">
        <v>168771270912.79599</v>
      </c>
      <c r="L15">
        <v>280926635663.20203</v>
      </c>
      <c r="M15">
        <v>66887294205.5243</v>
      </c>
      <c r="N15">
        <v>616859.34631394595</v>
      </c>
      <c r="O15" t="s">
        <v>219</v>
      </c>
      <c r="P15">
        <v>159227973748.991</v>
      </c>
      <c r="Q15">
        <v>105912355457.27901</v>
      </c>
      <c r="R15">
        <v>16710161650.497801</v>
      </c>
      <c r="S15">
        <v>60562625302.7724</v>
      </c>
      <c r="T15">
        <v>77272786953.270294</v>
      </c>
      <c r="U15">
        <v>44318807852.137199</v>
      </c>
      <c r="V15">
        <v>26736846637.094898</v>
      </c>
      <c r="W15">
        <v>676414498513.77502</v>
      </c>
      <c r="X15">
        <v>676414498513.77502</v>
      </c>
      <c r="Y15">
        <v>912073063632.09497</v>
      </c>
      <c r="Z15">
        <v>244395213235.67999</v>
      </c>
      <c r="AA15">
        <v>0.53477051497486205</v>
      </c>
      <c r="AB15">
        <v>851607.18085565604</v>
      </c>
    </row>
    <row r="16" spans="1:28" x14ac:dyDescent="0.25">
      <c r="A16">
        <v>2015</v>
      </c>
      <c r="B16" t="s">
        <v>23</v>
      </c>
      <c r="C16" t="s">
        <v>234</v>
      </c>
      <c r="D16" t="s">
        <v>228</v>
      </c>
      <c r="E16">
        <v>1338814807883.3999</v>
      </c>
      <c r="F16" t="s">
        <v>219</v>
      </c>
      <c r="G16">
        <v>607207545851.91296</v>
      </c>
      <c r="H16" t="s">
        <v>219</v>
      </c>
      <c r="I16">
        <v>567115658084.04297</v>
      </c>
      <c r="J16">
        <v>771699149799.35999</v>
      </c>
      <c r="K16">
        <v>183737892809.371</v>
      </c>
      <c r="L16">
        <v>318079975456.98297</v>
      </c>
      <c r="M16">
        <v>75733327489.757904</v>
      </c>
      <c r="N16">
        <v>618979.93437246</v>
      </c>
      <c r="O16" t="s">
        <v>219</v>
      </c>
      <c r="P16">
        <v>105224852365.573</v>
      </c>
      <c r="Q16">
        <v>58717066246.377296</v>
      </c>
      <c r="R16">
        <v>12495622149.4769</v>
      </c>
      <c r="S16">
        <v>15923038230.6789</v>
      </c>
      <c r="T16">
        <v>28418660380.1558</v>
      </c>
      <c r="U16">
        <v>53390559582.143097</v>
      </c>
      <c r="V16">
        <v>35268317264.471397</v>
      </c>
      <c r="W16">
        <v>736061470775.72498</v>
      </c>
      <c r="X16">
        <v>736061470775.72498</v>
      </c>
      <c r="Y16">
        <v>995532691074.85498</v>
      </c>
      <c r="Z16">
        <v>289127570394.92999</v>
      </c>
      <c r="AA16">
        <v>0.52384061698494999</v>
      </c>
      <c r="AB16">
        <v>980980.98521968699</v>
      </c>
    </row>
    <row r="17" spans="1:28" x14ac:dyDescent="0.25">
      <c r="A17">
        <v>2016</v>
      </c>
      <c r="B17" t="s">
        <v>23</v>
      </c>
      <c r="C17" t="s">
        <v>234</v>
      </c>
      <c r="D17" t="s">
        <v>228</v>
      </c>
      <c r="E17">
        <v>1402607775102.3201</v>
      </c>
      <c r="F17" t="s">
        <v>219</v>
      </c>
      <c r="G17">
        <v>651676760423.00305</v>
      </c>
      <c r="H17" t="s">
        <v>219</v>
      </c>
      <c r="I17">
        <v>609881813791.86401</v>
      </c>
      <c r="J17">
        <v>792725961310.45898</v>
      </c>
      <c r="K17">
        <v>188744276502.48999</v>
      </c>
      <c r="L17">
        <v>350937641730.85303</v>
      </c>
      <c r="M17">
        <v>83556581364.488693</v>
      </c>
      <c r="N17">
        <v>614484.09328464395</v>
      </c>
      <c r="O17" t="s">
        <v>219</v>
      </c>
      <c r="P17">
        <v>103984369912.07201</v>
      </c>
      <c r="Q17">
        <v>49358983924.053596</v>
      </c>
      <c r="R17">
        <v>9730133740.5832005</v>
      </c>
      <c r="S17">
        <v>15913459046.1695</v>
      </c>
      <c r="T17">
        <v>25643592786.752701</v>
      </c>
      <c r="U17">
        <v>54852592008.420097</v>
      </c>
      <c r="V17">
        <v>40295879959.730598</v>
      </c>
      <c r="W17">
        <v>806021467568.495</v>
      </c>
      <c r="X17">
        <v>806021467568.495</v>
      </c>
      <c r="Y17">
        <v>1078322325435.47</v>
      </c>
      <c r="Z17">
        <v>300739118692.15002</v>
      </c>
      <c r="AA17">
        <v>0.53851489425993804</v>
      </c>
      <c r="AB17">
        <v>1060526.6556853401</v>
      </c>
    </row>
    <row r="18" spans="1:28" x14ac:dyDescent="0.25">
      <c r="A18">
        <v>2017</v>
      </c>
      <c r="B18" t="s">
        <v>23</v>
      </c>
      <c r="C18" t="s">
        <v>235</v>
      </c>
      <c r="D18" t="s">
        <v>228</v>
      </c>
      <c r="E18">
        <v>1487902627065.02</v>
      </c>
      <c r="F18">
        <v>1443196189138.6799</v>
      </c>
      <c r="G18">
        <v>718899634453.72498</v>
      </c>
      <c r="H18">
        <v>674193196527.38696</v>
      </c>
      <c r="I18">
        <v>674193196527.38696</v>
      </c>
      <c r="J18">
        <v>813709430537.63306</v>
      </c>
      <c r="K18">
        <v>193740340604.198</v>
      </c>
      <c r="L18">
        <v>385131881530.737</v>
      </c>
      <c r="M18">
        <v>91698067031.128006</v>
      </c>
      <c r="N18">
        <v>619826.20172948099</v>
      </c>
      <c r="O18" t="s">
        <v>219</v>
      </c>
      <c r="P18">
        <v>95576488801.990005</v>
      </c>
      <c r="Q18">
        <v>44909449054.260002</v>
      </c>
      <c r="R18">
        <v>10298175130.959999</v>
      </c>
      <c r="S18">
        <v>15627193019.23</v>
      </c>
      <c r="T18">
        <v>25925368150.189999</v>
      </c>
      <c r="U18">
        <v>60215993660.879997</v>
      </c>
      <c r="V18">
        <v>1762120524.1900001</v>
      </c>
      <c r="W18">
        <v>841966030516.03003</v>
      </c>
      <c r="X18">
        <v>841966030516.03003</v>
      </c>
      <c r="Y18">
        <v>1127404438151.3601</v>
      </c>
      <c r="Z18">
        <v>333767752922.987</v>
      </c>
      <c r="AA18">
        <v>0.53572413042523004</v>
      </c>
      <c r="AB18">
        <v>1159840.6657346899</v>
      </c>
    </row>
    <row r="19" spans="1:28" x14ac:dyDescent="0.25">
      <c r="A19">
        <v>2018</v>
      </c>
      <c r="B19" t="s">
        <v>23</v>
      </c>
      <c r="C19" t="s">
        <v>235</v>
      </c>
      <c r="D19" t="s">
        <v>228</v>
      </c>
      <c r="E19">
        <v>1658683685335.02</v>
      </c>
      <c r="F19">
        <v>1614155725631.5</v>
      </c>
      <c r="G19">
        <v>789921510187.45898</v>
      </c>
      <c r="H19">
        <v>745393550483.94604</v>
      </c>
      <c r="I19">
        <v>745393550483.94604</v>
      </c>
      <c r="J19">
        <v>913290134851.06995</v>
      </c>
      <c r="K19">
        <v>217450032107.39801</v>
      </c>
      <c r="L19">
        <v>422590435418.06299</v>
      </c>
      <c r="M19">
        <v>100616770337.634</v>
      </c>
      <c r="N19">
        <v>620093.69589388894</v>
      </c>
      <c r="O19" t="s">
        <v>219</v>
      </c>
      <c r="P19">
        <v>97638209970.690002</v>
      </c>
      <c r="Q19">
        <v>49538063967.509598</v>
      </c>
      <c r="R19">
        <v>12591274268.9296</v>
      </c>
      <c r="S19">
        <v>13728872802.6073</v>
      </c>
      <c r="T19">
        <v>26320147071.5369</v>
      </c>
      <c r="U19">
        <v>62139743088.513</v>
      </c>
      <c r="V19">
        <v>2249888267.3378901</v>
      </c>
      <c r="W19">
        <v>898330263751.35205</v>
      </c>
      <c r="X19">
        <v>898330263751.35205</v>
      </c>
      <c r="Y19">
        <v>1216397066196.3799</v>
      </c>
      <c r="Z19">
        <v>367331074769.396</v>
      </c>
      <c r="AA19">
        <v>0.534977754078094</v>
      </c>
      <c r="AB19">
        <v>1273874.44094034</v>
      </c>
    </row>
    <row r="20" spans="1:28" x14ac:dyDescent="0.25">
      <c r="A20">
        <v>2019</v>
      </c>
      <c r="B20" t="s">
        <v>23</v>
      </c>
      <c r="C20" t="s">
        <v>235</v>
      </c>
      <c r="D20" t="s">
        <v>228</v>
      </c>
      <c r="E20">
        <v>1790503155926</v>
      </c>
      <c r="F20">
        <v>1742328722361</v>
      </c>
      <c r="G20">
        <v>824315284444</v>
      </c>
      <c r="H20">
        <v>776140850879</v>
      </c>
      <c r="I20">
        <v>776140850879</v>
      </c>
      <c r="J20">
        <v>1014362305047</v>
      </c>
      <c r="K20">
        <v>241514834535</v>
      </c>
      <c r="L20">
        <v>456264699852</v>
      </c>
      <c r="M20">
        <v>108634452345.714</v>
      </c>
      <c r="N20">
        <v>611937</v>
      </c>
      <c r="O20" t="s">
        <v>219</v>
      </c>
      <c r="P20">
        <v>128886507624</v>
      </c>
      <c r="Q20">
        <v>44907885633</v>
      </c>
      <c r="R20">
        <v>16497801681</v>
      </c>
      <c r="S20">
        <v>14837811020</v>
      </c>
      <c r="T20">
        <v>31335612701</v>
      </c>
      <c r="U20">
        <v>68724454704.951294</v>
      </c>
      <c r="V20">
        <v>3512792203.01999</v>
      </c>
      <c r="W20">
        <v>995997166119</v>
      </c>
      <c r="X20">
        <v>995997166119</v>
      </c>
      <c r="Y20">
        <v>1346146452999.71</v>
      </c>
      <c r="Z20">
        <v>368050584592</v>
      </c>
      <c r="AA20">
        <v>0.55350750915622104</v>
      </c>
      <c r="AB20">
        <v>1347059.06726346</v>
      </c>
    </row>
    <row r="21" spans="1:28" x14ac:dyDescent="0.25">
      <c r="A21">
        <v>2020</v>
      </c>
      <c r="B21" t="s">
        <v>23</v>
      </c>
      <c r="C21" t="s">
        <v>235</v>
      </c>
      <c r="D21" t="s">
        <v>228</v>
      </c>
      <c r="E21">
        <v>1805094127854.8999</v>
      </c>
      <c r="F21">
        <v>1752134676072.1399</v>
      </c>
      <c r="G21">
        <v>838326089885.30701</v>
      </c>
      <c r="H21">
        <v>785366638102.54395</v>
      </c>
      <c r="I21">
        <v>785366638102.54395</v>
      </c>
      <c r="J21">
        <v>1019727489752.36</v>
      </c>
      <c r="K21">
        <v>242792259464.84698</v>
      </c>
      <c r="L21">
        <v>445768537897.99597</v>
      </c>
      <c r="M21">
        <v>106135366166.19</v>
      </c>
      <c r="N21">
        <v>570247.15523390495</v>
      </c>
      <c r="O21">
        <v>11776</v>
      </c>
      <c r="P21">
        <v>116968594615.136</v>
      </c>
      <c r="Q21">
        <v>45261491941.083099</v>
      </c>
      <c r="R21">
        <v>11107721184.804199</v>
      </c>
      <c r="S21">
        <v>13055786857.403601</v>
      </c>
      <c r="T21">
        <v>24163508042.207802</v>
      </c>
      <c r="U21">
        <v>72470063542.389008</v>
      </c>
      <c r="V21">
        <v>23526226.053286701</v>
      </c>
      <c r="W21">
        <v>1042958318864.71</v>
      </c>
      <c r="X21">
        <v>1042958318864.71</v>
      </c>
      <c r="Y21">
        <v>1391885944495.75</v>
      </c>
      <c r="Z21">
        <v>392557551987.31</v>
      </c>
      <c r="AA21">
        <v>0.53173644871172099</v>
      </c>
      <c r="AB21">
        <v>1470110.0780440399</v>
      </c>
    </row>
    <row r="22" spans="1:28" x14ac:dyDescent="0.25">
      <c r="A22">
        <v>2021</v>
      </c>
      <c r="B22" t="s">
        <v>23</v>
      </c>
      <c r="C22" t="s">
        <v>235</v>
      </c>
      <c r="D22" t="s">
        <v>228</v>
      </c>
      <c r="E22">
        <v>2173653003453.79</v>
      </c>
      <c r="F22">
        <v>2156399403913.46</v>
      </c>
      <c r="G22">
        <v>1016152775933.4301</v>
      </c>
      <c r="H22">
        <v>998899176393.09595</v>
      </c>
      <c r="I22">
        <v>998899176393.09595</v>
      </c>
      <c r="J22">
        <v>1174753827060.7</v>
      </c>
      <c r="K22">
        <v>279703292157.30902</v>
      </c>
      <c r="L22">
        <v>470199821189.10797</v>
      </c>
      <c r="M22">
        <v>111952338378.35899</v>
      </c>
      <c r="N22">
        <v>602974.92250321002</v>
      </c>
      <c r="O22" t="s">
        <v>219</v>
      </c>
      <c r="P22">
        <v>187321533925.961</v>
      </c>
      <c r="Q22">
        <v>65889710032.376602</v>
      </c>
      <c r="R22">
        <v>19537003773.271702</v>
      </c>
      <c r="S22">
        <v>21886134537.284599</v>
      </c>
      <c r="T22">
        <v>41423138310.556297</v>
      </c>
      <c r="U22">
        <v>73799557031.841202</v>
      </c>
      <c r="V22">
        <v>-429188905.67611903</v>
      </c>
      <c r="W22">
        <v>1173390818677.98</v>
      </c>
      <c r="X22">
        <v>1173390818677.98</v>
      </c>
      <c r="Y22">
        <v>1565046449213.6499</v>
      </c>
      <c r="Z22">
        <v>545952954744.31897</v>
      </c>
      <c r="AA22">
        <v>0.46272551955308799</v>
      </c>
      <c r="AB22">
        <v>1685232.23439366</v>
      </c>
    </row>
    <row r="23" spans="1:28" x14ac:dyDescent="0.25">
      <c r="A23">
        <v>2022</v>
      </c>
      <c r="B23" t="s">
        <v>23</v>
      </c>
      <c r="C23" t="s">
        <v>235</v>
      </c>
      <c r="D23" t="s">
        <v>228</v>
      </c>
      <c r="E23">
        <v>2441897021618.7998</v>
      </c>
      <c r="F23">
        <v>2395110854824.29</v>
      </c>
      <c r="G23">
        <v>1082579648621.8199</v>
      </c>
      <c r="H23">
        <v>1035793481827.3199</v>
      </c>
      <c r="I23">
        <v>1035793481827.3199</v>
      </c>
      <c r="J23">
        <v>1406103539791.48</v>
      </c>
      <c r="K23">
        <v>334786557093.20898</v>
      </c>
      <c r="L23">
        <v>522254664756.31799</v>
      </c>
      <c r="M23">
        <v>124346348751.504</v>
      </c>
      <c r="N23">
        <v>627085.34358451201</v>
      </c>
      <c r="O23" t="s">
        <v>219</v>
      </c>
      <c r="P23">
        <v>183033331632.185</v>
      </c>
      <c r="Q23">
        <v>76871281939.7715</v>
      </c>
      <c r="R23">
        <v>17797191552.410702</v>
      </c>
      <c r="S23">
        <v>20257430389.869701</v>
      </c>
      <c r="T23">
        <v>38054621942.280403</v>
      </c>
      <c r="U23">
        <v>74486121315.725006</v>
      </c>
      <c r="V23">
        <v>-2575703321.18186</v>
      </c>
      <c r="W23">
        <v>1205661045725.29</v>
      </c>
      <c r="X23">
        <v>1205661045725.29</v>
      </c>
      <c r="Y23">
        <v>1664793951570</v>
      </c>
      <c r="Z23">
        <v>560324983865.50403</v>
      </c>
      <c r="AA23">
        <v>0.48241685073349999</v>
      </c>
      <c r="AB23">
        <v>1726367.3273459701</v>
      </c>
    </row>
    <row r="24" spans="1:28" x14ac:dyDescent="0.25">
      <c r="A24">
        <v>2023</v>
      </c>
      <c r="B24" t="s">
        <v>23</v>
      </c>
      <c r="C24" t="s">
        <v>235</v>
      </c>
      <c r="D24" t="s">
        <v>228</v>
      </c>
      <c r="E24">
        <v>2518876758620.8101</v>
      </c>
      <c r="F24">
        <v>2469821836459.8701</v>
      </c>
      <c r="G24">
        <v>1143758788706.0601</v>
      </c>
      <c r="H24">
        <v>1094703866545.12</v>
      </c>
      <c r="I24">
        <v>1094703866545.12</v>
      </c>
      <c r="J24">
        <v>1424172892075.6899</v>
      </c>
      <c r="K24">
        <v>339088783827.54498</v>
      </c>
      <c r="L24">
        <v>612326443878.58997</v>
      </c>
      <c r="M24">
        <v>145792010447.28299</v>
      </c>
      <c r="N24">
        <v>664124.696887556</v>
      </c>
      <c r="O24" t="s">
        <v>219</v>
      </c>
      <c r="P24">
        <v>189841862725.95901</v>
      </c>
      <c r="Q24">
        <v>100097630755.17799</v>
      </c>
      <c r="R24">
        <v>15278811501.645901</v>
      </c>
      <c r="S24">
        <v>26551541630.944901</v>
      </c>
      <c r="T24">
        <v>41830353132.590698</v>
      </c>
      <c r="U24">
        <v>85762171452.384705</v>
      </c>
      <c r="V24">
        <v>-221349059.58439201</v>
      </c>
      <c r="W24">
        <v>1284742421782.95</v>
      </c>
      <c r="X24">
        <v>1284742421782.95</v>
      </c>
      <c r="Y24">
        <v>1769623216057.78</v>
      </c>
      <c r="Z24">
        <v>531432344827.46802</v>
      </c>
      <c r="AA24">
        <v>0.53536326883338703</v>
      </c>
      <c r="AB24">
        <v>1722204.8721668101</v>
      </c>
    </row>
    <row r="25" spans="1:28" x14ac:dyDescent="0.25">
      <c r="A25">
        <v>2024</v>
      </c>
      <c r="B25" t="s">
        <v>23</v>
      </c>
      <c r="C25" t="s">
        <v>235</v>
      </c>
      <c r="D25" t="s">
        <v>228</v>
      </c>
      <c r="E25">
        <v>2723572147079.8999</v>
      </c>
      <c r="F25">
        <v>2670777146626.8501</v>
      </c>
      <c r="G25">
        <v>1257042954849.99</v>
      </c>
      <c r="H25">
        <v>1204247954396.9399</v>
      </c>
      <c r="I25">
        <v>1204247954396.9399</v>
      </c>
      <c r="J25">
        <v>1519324192682.97</v>
      </c>
      <c r="K25">
        <v>361743855400.70599</v>
      </c>
      <c r="L25">
        <v>672346294304.13196</v>
      </c>
      <c r="M25">
        <v>160082451024.793</v>
      </c>
      <c r="N25">
        <v>680610.40008904005</v>
      </c>
      <c r="O25" t="s">
        <v>219</v>
      </c>
      <c r="P25">
        <v>167437662476.505</v>
      </c>
      <c r="Q25">
        <v>88209559992.396896</v>
      </c>
      <c r="R25">
        <v>15575384069.882999</v>
      </c>
      <c r="S25">
        <v>24083777399.5019</v>
      </c>
      <c r="T25">
        <v>39659161469.384903</v>
      </c>
      <c r="U25">
        <v>92718688124.578506</v>
      </c>
      <c r="V25">
        <v>274718190.31968498</v>
      </c>
      <c r="W25">
        <v>1395438696039.73</v>
      </c>
      <c r="X25">
        <v>1395438696039.73</v>
      </c>
      <c r="Y25">
        <v>1917265002465.23</v>
      </c>
      <c r="Z25">
        <v>584696660545.85498</v>
      </c>
      <c r="AA25">
        <v>0.53486342030719902</v>
      </c>
      <c r="AB25">
        <v>1846934.6849321399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5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5"/>
  <sheetData>
    <row r="1" spans="1:5" x14ac:dyDescent="0.25">
      <c r="A1" t="s">
        <v>52</v>
      </c>
      <c r="B1" t="s">
        <v>156</v>
      </c>
      <c r="C1" t="s">
        <v>135</v>
      </c>
      <c r="D1" t="s">
        <v>161</v>
      </c>
      <c r="E1" t="s">
        <v>163</v>
      </c>
    </row>
    <row r="2" spans="1:5" x14ac:dyDescent="0.25">
      <c r="A2">
        <v>2001</v>
      </c>
      <c r="B2">
        <v>0.47138646634249698</v>
      </c>
      <c r="C2">
        <v>126520994387.991</v>
      </c>
      <c r="D2">
        <v>0.461669452652121</v>
      </c>
      <c r="E2">
        <v>1.1687907338366901</v>
      </c>
    </row>
    <row r="3" spans="1:5" x14ac:dyDescent="0.25">
      <c r="A3">
        <v>2002</v>
      </c>
      <c r="B3">
        <v>0.46586485792277699</v>
      </c>
      <c r="C3">
        <v>130311253666.77</v>
      </c>
      <c r="D3">
        <v>0.400764619798604</v>
      </c>
      <c r="E3">
        <v>1.1546362246522099</v>
      </c>
    </row>
    <row r="4" spans="1:5" x14ac:dyDescent="0.25">
      <c r="A4">
        <v>2003</v>
      </c>
      <c r="B4">
        <v>0.415477687065472</v>
      </c>
      <c r="C4">
        <v>174311192947.465</v>
      </c>
      <c r="D4">
        <v>0.37866033899064899</v>
      </c>
      <c r="E4">
        <v>1.09684803904128</v>
      </c>
    </row>
    <row r="5" spans="1:5" x14ac:dyDescent="0.25">
      <c r="A5">
        <v>2004</v>
      </c>
      <c r="B5">
        <v>0.400741305334192</v>
      </c>
      <c r="C5">
        <v>216532770751.138</v>
      </c>
      <c r="D5">
        <v>0.34978471022299701</v>
      </c>
      <c r="E5">
        <v>1.3649619630405101</v>
      </c>
    </row>
    <row r="6" spans="1:5" x14ac:dyDescent="0.25">
      <c r="A6">
        <v>2005</v>
      </c>
      <c r="B6">
        <v>0.41102293237092002</v>
      </c>
      <c r="C6">
        <v>230049746665.298</v>
      </c>
      <c r="D6">
        <v>0.37282241841935898</v>
      </c>
      <c r="E6">
        <v>1.5709205502010499</v>
      </c>
    </row>
    <row r="7" spans="1:5" x14ac:dyDescent="0.25">
      <c r="A7">
        <v>2006</v>
      </c>
      <c r="B7">
        <v>0.390289666007058</v>
      </c>
      <c r="C7">
        <v>216020000804.276</v>
      </c>
      <c r="D7">
        <v>0.36068998430698901</v>
      </c>
      <c r="E7">
        <v>1.7644271366733899</v>
      </c>
    </row>
    <row r="8" spans="1:5" x14ac:dyDescent="0.25">
      <c r="A8">
        <v>2007</v>
      </c>
      <c r="B8">
        <v>0.40903891192844199</v>
      </c>
      <c r="C8">
        <v>299982894963.72699</v>
      </c>
      <c r="D8">
        <v>0.385810559074096</v>
      </c>
      <c r="E8">
        <v>1.48277051781104</v>
      </c>
    </row>
    <row r="9" spans="1:5" x14ac:dyDescent="0.25">
      <c r="A9">
        <v>2008</v>
      </c>
      <c r="B9">
        <v>0.368223801194069</v>
      </c>
      <c r="C9">
        <v>370870243889.953</v>
      </c>
      <c r="D9">
        <v>0.45760491126230801</v>
      </c>
      <c r="E9">
        <v>1.6195574962964401</v>
      </c>
    </row>
    <row r="10" spans="1:5" x14ac:dyDescent="0.25">
      <c r="A10">
        <v>2009</v>
      </c>
      <c r="B10">
        <v>0.40985508682463101</v>
      </c>
      <c r="C10">
        <v>355443846504.45203</v>
      </c>
      <c r="D10">
        <v>0.49907399582112899</v>
      </c>
      <c r="E10">
        <v>1.47620048662669</v>
      </c>
    </row>
    <row r="11" spans="1:5" x14ac:dyDescent="0.25">
      <c r="A11">
        <v>2010</v>
      </c>
      <c r="B11">
        <v>0.43458478183092503</v>
      </c>
      <c r="C11">
        <v>423189742137.03601</v>
      </c>
      <c r="D11">
        <v>0.46929378923557202</v>
      </c>
      <c r="E11">
        <v>1.45666086160812</v>
      </c>
    </row>
    <row r="12" spans="1:5" x14ac:dyDescent="0.25">
      <c r="A12">
        <v>2011</v>
      </c>
      <c r="B12">
        <v>0.427361923490856</v>
      </c>
      <c r="C12">
        <v>465002872868.80798</v>
      </c>
      <c r="D12">
        <v>0.52461572956929903</v>
      </c>
      <c r="E12">
        <v>1.41119037572914</v>
      </c>
    </row>
    <row r="13" spans="1:5" x14ac:dyDescent="0.25">
      <c r="A13">
        <v>2012</v>
      </c>
      <c r="B13">
        <v>0.419057156996132</v>
      </c>
      <c r="C13">
        <v>554283220047.91895</v>
      </c>
      <c r="D13">
        <v>0.53670623009526996</v>
      </c>
      <c r="E13">
        <v>1.28750503503847</v>
      </c>
    </row>
    <row r="14" spans="1:5" x14ac:dyDescent="0.25">
      <c r="A14">
        <v>2013</v>
      </c>
      <c r="B14">
        <v>0.43359098362005</v>
      </c>
      <c r="C14">
        <v>612989213648.00598</v>
      </c>
      <c r="D14">
        <v>0.53695482243003501</v>
      </c>
      <c r="E14">
        <v>1.23617634266568</v>
      </c>
    </row>
    <row r="15" spans="1:5" x14ac:dyDescent="0.25">
      <c r="A15">
        <v>2014</v>
      </c>
      <c r="B15">
        <v>0.43801861419412202</v>
      </c>
      <c r="C15">
        <v>708839337833.74304</v>
      </c>
      <c r="D15">
        <v>0.53477051497486205</v>
      </c>
      <c r="E15">
        <v>1.28761919941384</v>
      </c>
    </row>
    <row r="16" spans="1:5" x14ac:dyDescent="0.25">
      <c r="A16">
        <v>2015</v>
      </c>
      <c r="B16">
        <v>0.45354110387520802</v>
      </c>
      <c r="C16">
        <v>771699149799.35999</v>
      </c>
      <c r="D16">
        <v>0.52384061698494999</v>
      </c>
      <c r="E16">
        <v>1.2122073841210801</v>
      </c>
    </row>
    <row r="17" spans="1:5" x14ac:dyDescent="0.25">
      <c r="A17">
        <v>2016</v>
      </c>
      <c r="B17">
        <v>0.46461795805706402</v>
      </c>
      <c r="C17">
        <v>792725961310.45898</v>
      </c>
      <c r="D17">
        <v>0.53851489425993804</v>
      </c>
      <c r="E17">
        <v>1.23684242943589</v>
      </c>
    </row>
    <row r="18" spans="1:5" x14ac:dyDescent="0.25">
      <c r="A18">
        <v>2017</v>
      </c>
      <c r="B18">
        <v>0.48316309238044602</v>
      </c>
      <c r="C18">
        <v>813709430537.63306</v>
      </c>
      <c r="D18">
        <v>0.53572413042523004</v>
      </c>
      <c r="E18">
        <v>1.1711871729574901</v>
      </c>
    </row>
    <row r="19" spans="1:5" x14ac:dyDescent="0.25">
      <c r="A19">
        <v>2018</v>
      </c>
      <c r="B19">
        <v>0.476233966229621</v>
      </c>
      <c r="C19">
        <v>913290134851.06995</v>
      </c>
      <c r="D19">
        <v>0.534977754078094</v>
      </c>
      <c r="E19">
        <v>1.13723990569413</v>
      </c>
    </row>
    <row r="20" spans="1:5" x14ac:dyDescent="0.25">
      <c r="A20">
        <v>2019</v>
      </c>
      <c r="B20">
        <v>0.460381922095907</v>
      </c>
      <c r="C20">
        <v>1014362305047</v>
      </c>
      <c r="D20">
        <v>0.55350750915622104</v>
      </c>
      <c r="E20">
        <v>1.2082721076690901</v>
      </c>
    </row>
    <row r="21" spans="1:5" x14ac:dyDescent="0.25">
      <c r="A21">
        <v>2020</v>
      </c>
      <c r="B21">
        <v>0.46442236831247002</v>
      </c>
      <c r="C21">
        <v>1019727489752.36</v>
      </c>
      <c r="D21">
        <v>0.53173644871172099</v>
      </c>
      <c r="E21">
        <v>1.2440962191781499</v>
      </c>
    </row>
    <row r="22" spans="1:5" x14ac:dyDescent="0.25">
      <c r="A22">
        <v>2021</v>
      </c>
      <c r="B22">
        <v>0.467486196885531</v>
      </c>
      <c r="C22">
        <v>1174753827060.7</v>
      </c>
      <c r="D22">
        <v>0.46272551955308799</v>
      </c>
      <c r="E22">
        <v>1.15473858505196</v>
      </c>
    </row>
    <row r="23" spans="1:5" x14ac:dyDescent="0.25">
      <c r="A23">
        <v>2022</v>
      </c>
      <c r="B23">
        <v>0.44333550474792499</v>
      </c>
      <c r="C23">
        <v>1406103539791.48</v>
      </c>
      <c r="D23">
        <v>0.48241685073349999</v>
      </c>
      <c r="E23">
        <v>1.1136926943529299</v>
      </c>
    </row>
    <row r="24" spans="1:5" x14ac:dyDescent="0.25">
      <c r="A24">
        <v>2023</v>
      </c>
      <c r="B24">
        <v>0.45407493034010699</v>
      </c>
      <c r="C24">
        <v>1424172892075.6899</v>
      </c>
      <c r="D24">
        <v>0.53536326883338703</v>
      </c>
      <c r="E24">
        <v>1.1232634314761301</v>
      </c>
    </row>
    <row r="25" spans="1:5" x14ac:dyDescent="0.25">
      <c r="A25">
        <v>2024</v>
      </c>
      <c r="B25">
        <v>0.46154200695499598</v>
      </c>
      <c r="C25">
        <v>1519324192682.97</v>
      </c>
      <c r="D25">
        <v>0.53486342030719902</v>
      </c>
      <c r="E25">
        <v>1.1100962705019599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5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5"/>
  <sheetData>
    <row r="1" spans="1:26" x14ac:dyDescent="0.25">
      <c r="A1" t="s">
        <v>52</v>
      </c>
      <c r="B1" t="s">
        <v>61</v>
      </c>
      <c r="C1" t="s">
        <v>57</v>
      </c>
      <c r="D1" t="s">
        <v>71</v>
      </c>
      <c r="E1" t="s">
        <v>75</v>
      </c>
      <c r="F1" t="s">
        <v>82</v>
      </c>
      <c r="G1" t="s">
        <v>123</v>
      </c>
      <c r="H1" t="s">
        <v>126</v>
      </c>
      <c r="I1" t="s">
        <v>131</v>
      </c>
      <c r="J1" t="s">
        <v>111</v>
      </c>
      <c r="K1" t="s">
        <v>174</v>
      </c>
      <c r="L1" t="s">
        <v>117</v>
      </c>
      <c r="M1" t="s">
        <v>120</v>
      </c>
      <c r="N1" t="s">
        <v>96</v>
      </c>
      <c r="O1" t="s">
        <v>99</v>
      </c>
      <c r="P1" t="s">
        <v>102</v>
      </c>
      <c r="Q1" t="s">
        <v>104</v>
      </c>
      <c r="R1" t="s">
        <v>107</v>
      </c>
      <c r="S1" t="s">
        <v>89</v>
      </c>
      <c r="T1" t="s">
        <v>178</v>
      </c>
      <c r="U1" t="s">
        <v>181</v>
      </c>
      <c r="V1" t="s">
        <v>184</v>
      </c>
      <c r="W1" t="s">
        <v>187</v>
      </c>
      <c r="X1" t="s">
        <v>144</v>
      </c>
      <c r="Y1" t="s">
        <v>190</v>
      </c>
      <c r="Z1" t="s">
        <v>193</v>
      </c>
    </row>
    <row r="2" spans="1:26" x14ac:dyDescent="0.25">
      <c r="A2">
        <v>2001</v>
      </c>
      <c r="B2" t="s">
        <v>23</v>
      </c>
      <c r="C2" t="s">
        <v>23</v>
      </c>
      <c r="D2">
        <v>4.2</v>
      </c>
      <c r="E2">
        <v>224795374000</v>
      </c>
      <c r="F2">
        <v>105965497000</v>
      </c>
      <c r="G2">
        <v>98274379612.009399</v>
      </c>
      <c r="H2" t="s">
        <v>219</v>
      </c>
      <c r="I2" t="s">
        <v>219</v>
      </c>
      <c r="J2">
        <v>9474344000</v>
      </c>
      <c r="K2">
        <v>48921033000</v>
      </c>
      <c r="L2">
        <v>123851491000</v>
      </c>
      <c r="M2">
        <v>123851491000</v>
      </c>
      <c r="N2">
        <v>15584526000</v>
      </c>
      <c r="O2">
        <v>5236788000</v>
      </c>
      <c r="P2">
        <v>3176411000</v>
      </c>
      <c r="Q2" t="s">
        <v>219</v>
      </c>
      <c r="R2" t="s">
        <v>219</v>
      </c>
      <c r="S2">
        <v>538624</v>
      </c>
      <c r="T2">
        <v>39879002612.009399</v>
      </c>
      <c r="U2">
        <v>47570120000</v>
      </c>
      <c r="V2">
        <v>118829877000</v>
      </c>
      <c r="W2">
        <v>39940692857.142899</v>
      </c>
      <c r="X2">
        <v>163792183857.14301</v>
      </c>
      <c r="Y2">
        <v>0.243473172363287</v>
      </c>
      <c r="Z2">
        <v>0.29042973162559399</v>
      </c>
    </row>
    <row r="3" spans="1:26" x14ac:dyDescent="0.25">
      <c r="A3">
        <v>2002</v>
      </c>
      <c r="B3" t="s">
        <v>23</v>
      </c>
      <c r="C3" t="s">
        <v>23</v>
      </c>
      <c r="D3">
        <v>4.2</v>
      </c>
      <c r="E3">
        <v>228293239248</v>
      </c>
      <c r="F3">
        <v>106353797467</v>
      </c>
      <c r="G3">
        <v>97981985581.229599</v>
      </c>
      <c r="H3" t="s">
        <v>219</v>
      </c>
      <c r="I3" t="s">
        <v>219</v>
      </c>
      <c r="J3">
        <v>11163880916</v>
      </c>
      <c r="K3">
        <v>42622839206</v>
      </c>
      <c r="L3" t="s">
        <v>219</v>
      </c>
      <c r="M3">
        <v>122799947184.72301</v>
      </c>
      <c r="N3" t="s">
        <v>219</v>
      </c>
      <c r="O3" t="s">
        <v>219</v>
      </c>
      <c r="P3" t="s">
        <v>219</v>
      </c>
      <c r="Q3" t="s">
        <v>219</v>
      </c>
      <c r="R3" t="s">
        <v>219</v>
      </c>
      <c r="S3">
        <v>339997</v>
      </c>
      <c r="T3">
        <v>44195265459.229599</v>
      </c>
      <c r="U3">
        <v>52567077345</v>
      </c>
      <c r="V3">
        <v>121939441781</v>
      </c>
      <c r="W3">
        <v>39181495473.0952</v>
      </c>
      <c r="X3">
        <v>161981442657.81799</v>
      </c>
      <c r="Y3">
        <v>0.27284153501824898</v>
      </c>
      <c r="Z3">
        <v>0.324525306618281</v>
      </c>
    </row>
    <row r="4" spans="1:26" x14ac:dyDescent="0.25">
      <c r="A4">
        <v>2003</v>
      </c>
      <c r="B4" t="s">
        <v>23</v>
      </c>
      <c r="C4" t="s">
        <v>23</v>
      </c>
      <c r="D4">
        <v>4.2</v>
      </c>
      <c r="E4">
        <v>282760554719</v>
      </c>
      <c r="F4">
        <v>117480701268</v>
      </c>
      <c r="G4">
        <v>108449361771.535</v>
      </c>
      <c r="H4" t="s">
        <v>219</v>
      </c>
      <c r="I4" t="s">
        <v>219</v>
      </c>
      <c r="J4">
        <v>15388019830</v>
      </c>
      <c r="K4">
        <v>44485282167</v>
      </c>
      <c r="L4">
        <v>128858476811</v>
      </c>
      <c r="M4">
        <v>128858476811</v>
      </c>
      <c r="N4">
        <v>14939026955</v>
      </c>
      <c r="O4">
        <v>9558775510</v>
      </c>
      <c r="P4">
        <v>5765671714</v>
      </c>
      <c r="Q4" t="s">
        <v>219</v>
      </c>
      <c r="R4" t="s">
        <v>219</v>
      </c>
      <c r="S4">
        <v>345219</v>
      </c>
      <c r="T4">
        <v>48576059774.535004</v>
      </c>
      <c r="U4">
        <v>57607399271</v>
      </c>
      <c r="V4">
        <v>165279853451</v>
      </c>
      <c r="W4">
        <v>49944079909.0476</v>
      </c>
      <c r="X4">
        <v>178802556720.048</v>
      </c>
      <c r="Y4">
        <v>0.27167430189821501</v>
      </c>
      <c r="Z4">
        <v>0.322184426932979</v>
      </c>
    </row>
    <row r="5" spans="1:26" x14ac:dyDescent="0.25">
      <c r="A5">
        <v>2004</v>
      </c>
      <c r="B5" t="s">
        <v>23</v>
      </c>
      <c r="C5" t="s">
        <v>23</v>
      </c>
      <c r="D5">
        <v>4.2</v>
      </c>
      <c r="E5">
        <v>342486970874</v>
      </c>
      <c r="F5">
        <v>137248675768</v>
      </c>
      <c r="G5">
        <v>125954200122.862</v>
      </c>
      <c r="H5" t="s">
        <v>219</v>
      </c>
      <c r="I5" t="s">
        <v>219</v>
      </c>
      <c r="J5">
        <v>17341745740</v>
      </c>
      <c r="K5">
        <v>48007488282</v>
      </c>
      <c r="L5">
        <v>187339221901</v>
      </c>
      <c r="M5">
        <v>187339221901</v>
      </c>
      <c r="N5">
        <v>20956681133</v>
      </c>
      <c r="O5">
        <v>11081662212</v>
      </c>
      <c r="P5">
        <v>2372629177</v>
      </c>
      <c r="Q5">
        <v>3789547557</v>
      </c>
      <c r="R5">
        <v>6162176734</v>
      </c>
      <c r="S5">
        <v>348339</v>
      </c>
      <c r="T5">
        <v>60604966100.862</v>
      </c>
      <c r="U5">
        <v>71899441746</v>
      </c>
      <c r="V5">
        <v>205238295106</v>
      </c>
      <c r="W5">
        <v>60296615092.380997</v>
      </c>
      <c r="X5">
        <v>247635836993.38101</v>
      </c>
      <c r="Y5">
        <v>0.244734230863693</v>
      </c>
      <c r="Z5">
        <v>0.29034344390114197</v>
      </c>
    </row>
    <row r="6" spans="1:26" x14ac:dyDescent="0.25">
      <c r="A6">
        <v>2005</v>
      </c>
      <c r="B6" t="s">
        <v>23</v>
      </c>
      <c r="C6" t="s">
        <v>23</v>
      </c>
      <c r="D6">
        <v>4.2</v>
      </c>
      <c r="E6">
        <v>370267989847</v>
      </c>
      <c r="F6">
        <v>152188634950</v>
      </c>
      <c r="G6">
        <v>140218243181.702</v>
      </c>
      <c r="H6">
        <v>379260409627.961</v>
      </c>
      <c r="I6">
        <v>40.127741015544103</v>
      </c>
      <c r="J6">
        <v>17296133580</v>
      </c>
      <c r="K6">
        <v>56739334938</v>
      </c>
      <c r="L6">
        <v>239076254150</v>
      </c>
      <c r="M6">
        <v>239076254150</v>
      </c>
      <c r="N6">
        <v>22308747111</v>
      </c>
      <c r="O6">
        <v>6242564037</v>
      </c>
      <c r="P6">
        <v>3786737908</v>
      </c>
      <c r="Q6">
        <v>3985038215</v>
      </c>
      <c r="R6">
        <v>7771776123</v>
      </c>
      <c r="S6">
        <v>391484</v>
      </c>
      <c r="T6">
        <v>66182774663.702003</v>
      </c>
      <c r="U6">
        <v>78153166432</v>
      </c>
      <c r="V6">
        <v>218079354897</v>
      </c>
      <c r="W6">
        <v>65433021389.285698</v>
      </c>
      <c r="X6">
        <v>304509275539.28601</v>
      </c>
      <c r="Y6">
        <v>0.21734239308964301</v>
      </c>
      <c r="Z6">
        <v>0.256652827056223</v>
      </c>
    </row>
    <row r="7" spans="1:26" x14ac:dyDescent="0.25">
      <c r="A7">
        <v>2006</v>
      </c>
      <c r="B7" t="s">
        <v>23</v>
      </c>
      <c r="C7" t="s">
        <v>23</v>
      </c>
      <c r="D7">
        <v>4.2</v>
      </c>
      <c r="E7">
        <v>336442815360.93903</v>
      </c>
      <c r="F7">
        <v>131310154037.69501</v>
      </c>
      <c r="G7">
        <v>120422814556.66299</v>
      </c>
      <c r="H7">
        <v>417627329681.13599</v>
      </c>
      <c r="I7">
        <v>31.441944696950799</v>
      </c>
      <c r="J7">
        <v>17116477319.560101</v>
      </c>
      <c r="K7">
        <v>47362257399.204597</v>
      </c>
      <c r="L7">
        <v>231687199104.87201</v>
      </c>
      <c r="M7">
        <v>231687199104.87201</v>
      </c>
      <c r="N7">
        <v>19150720336.405499</v>
      </c>
      <c r="O7">
        <v>10062940014.6369</v>
      </c>
      <c r="P7">
        <v>3231971966.12888</v>
      </c>
      <c r="Q7">
        <v>2931613565.3474498</v>
      </c>
      <c r="R7">
        <v>6163585531.4763298</v>
      </c>
      <c r="S7">
        <v>205952.961336543</v>
      </c>
      <c r="T7">
        <v>55944079837.8983</v>
      </c>
      <c r="U7">
        <v>66831419318.930298</v>
      </c>
      <c r="V7">
        <v>205132661323.24399</v>
      </c>
      <c r="W7">
        <v>60117837791.059196</v>
      </c>
      <c r="X7">
        <v>291805036895.93103</v>
      </c>
      <c r="Y7">
        <v>0.191717320691247</v>
      </c>
      <c r="Z7">
        <v>0.22902764129724401</v>
      </c>
    </row>
    <row r="8" spans="1:26" x14ac:dyDescent="0.25">
      <c r="A8">
        <v>2007</v>
      </c>
      <c r="B8" t="s">
        <v>23</v>
      </c>
      <c r="C8" t="s">
        <v>23</v>
      </c>
      <c r="D8">
        <v>4.2</v>
      </c>
      <c r="E8">
        <v>481369119712.77197</v>
      </c>
      <c r="F8">
        <v>196898700963.26401</v>
      </c>
      <c r="G8">
        <v>181386224749.04501</v>
      </c>
      <c r="H8">
        <v>489132645061.91498</v>
      </c>
      <c r="I8">
        <v>40.254663627765098</v>
      </c>
      <c r="J8">
        <v>21950974301.9375</v>
      </c>
      <c r="K8">
        <v>75965597899.600204</v>
      </c>
      <c r="L8">
        <v>291955588783.62097</v>
      </c>
      <c r="M8">
        <v>291955588783.62097</v>
      </c>
      <c r="N8">
        <v>38859260194.997902</v>
      </c>
      <c r="O8">
        <v>17362442588.0457</v>
      </c>
      <c r="P8">
        <v>4047231987.4516101</v>
      </c>
      <c r="Q8">
        <v>5384164893.9242001</v>
      </c>
      <c r="R8">
        <v>9431396881.3758106</v>
      </c>
      <c r="S8">
        <v>384437.89351483202</v>
      </c>
      <c r="T8">
        <v>83469652547.507294</v>
      </c>
      <c r="U8">
        <v>98982128761.726303</v>
      </c>
      <c r="V8">
        <v>284470418749.508</v>
      </c>
      <c r="W8">
        <v>85818099202.168594</v>
      </c>
      <c r="X8">
        <v>377773687985.78998</v>
      </c>
      <c r="Y8">
        <v>0.220951472275769</v>
      </c>
      <c r="Z8">
        <v>0.26201435385687799</v>
      </c>
    </row>
    <row r="9" spans="1:26" x14ac:dyDescent="0.25">
      <c r="A9">
        <v>2008</v>
      </c>
      <c r="B9" t="s">
        <v>23</v>
      </c>
      <c r="C9" t="s">
        <v>23</v>
      </c>
      <c r="D9">
        <v>4.2</v>
      </c>
      <c r="E9">
        <v>559144297146.625</v>
      </c>
      <c r="F9">
        <v>205890238511.31601</v>
      </c>
      <c r="G9">
        <v>188274053256.673</v>
      </c>
      <c r="H9">
        <v>569839187773.95496</v>
      </c>
      <c r="I9">
        <v>36.131288077188003</v>
      </c>
      <c r="J9">
        <v>25276649939.069698</v>
      </c>
      <c r="K9">
        <v>94216384323.746307</v>
      </c>
      <c r="L9">
        <v>333451079195.26501</v>
      </c>
      <c r="M9">
        <v>333451079195.26501</v>
      </c>
      <c r="N9">
        <v>43310215637.451103</v>
      </c>
      <c r="O9">
        <v>26919225854.152901</v>
      </c>
      <c r="P9">
        <v>9013827403.1780396</v>
      </c>
      <c r="Q9">
        <v>7371125840.2341204</v>
      </c>
      <c r="R9">
        <v>16384953243.412201</v>
      </c>
      <c r="S9">
        <v>436444.30388273002</v>
      </c>
      <c r="T9">
        <v>68781018993.856995</v>
      </c>
      <c r="U9">
        <v>86397204248.5</v>
      </c>
      <c r="V9">
        <v>353254058635.30902</v>
      </c>
      <c r="W9">
        <v>106540581656.918</v>
      </c>
      <c r="X9">
        <v>439991660852.18298</v>
      </c>
      <c r="Y9">
        <v>0.15632346045068399</v>
      </c>
      <c r="Z9">
        <v>0.196361003936221</v>
      </c>
    </row>
    <row r="10" spans="1:26" x14ac:dyDescent="0.25">
      <c r="A10">
        <v>2009</v>
      </c>
      <c r="B10" t="s">
        <v>23</v>
      </c>
      <c r="C10" t="s">
        <v>23</v>
      </c>
      <c r="D10">
        <v>4.2</v>
      </c>
      <c r="E10">
        <v>572525294843.88</v>
      </c>
      <c r="F10">
        <v>234652404427.53601</v>
      </c>
      <c r="G10">
        <v>217081448339.42899</v>
      </c>
      <c r="H10">
        <v>645504478625.85999</v>
      </c>
      <c r="I10">
        <v>36.351785649428898</v>
      </c>
      <c r="J10">
        <v>26688200109.4006</v>
      </c>
      <c r="K10">
        <v>117108913106.686</v>
      </c>
      <c r="L10">
        <v>346393993604.05298</v>
      </c>
      <c r="M10">
        <v>346393993604.05298</v>
      </c>
      <c r="N10">
        <v>37495334384.099197</v>
      </c>
      <c r="O10">
        <v>21581497800.306</v>
      </c>
      <c r="P10">
        <v>9679386069.55089</v>
      </c>
      <c r="Q10">
        <v>4223925982.0983901</v>
      </c>
      <c r="R10">
        <v>13903312051.6493</v>
      </c>
      <c r="S10">
        <v>477461.01271908398</v>
      </c>
      <c r="T10">
        <v>73284335123.342407</v>
      </c>
      <c r="U10">
        <v>90855291211.449402</v>
      </c>
      <c r="V10">
        <v>337872890416.34399</v>
      </c>
      <c r="W10">
        <v>108329000838.817</v>
      </c>
      <c r="X10">
        <v>454722994442.87</v>
      </c>
      <c r="Y10">
        <v>0.16116258913436099</v>
      </c>
      <c r="Z10">
        <v>0.19980359982183499</v>
      </c>
    </row>
    <row r="11" spans="1:26" x14ac:dyDescent="0.25">
      <c r="A11">
        <v>2010</v>
      </c>
      <c r="B11" t="s">
        <v>23</v>
      </c>
      <c r="C11" t="s">
        <v>23</v>
      </c>
      <c r="D11">
        <v>4.2</v>
      </c>
      <c r="E11">
        <v>709424887808.73804</v>
      </c>
      <c r="F11">
        <v>308305260093.789</v>
      </c>
      <c r="G11">
        <v>286235145671.70203</v>
      </c>
      <c r="H11">
        <v>727070162490.57703</v>
      </c>
      <c r="I11">
        <v>42.403783843596401</v>
      </c>
      <c r="J11">
        <v>31780276848.6609</v>
      </c>
      <c r="K11">
        <v>144685743750.673</v>
      </c>
      <c r="L11">
        <v>449096205806.534</v>
      </c>
      <c r="M11">
        <v>449096205806.534</v>
      </c>
      <c r="N11">
        <v>61076798987.552696</v>
      </c>
      <c r="O11">
        <v>35070356311.893501</v>
      </c>
      <c r="P11">
        <v>9345396138.2693691</v>
      </c>
      <c r="Q11">
        <v>14770567839.312</v>
      </c>
      <c r="R11">
        <v>24115963977.581402</v>
      </c>
      <c r="S11">
        <v>522282.76830256899</v>
      </c>
      <c r="T11">
        <v>109769125072.368</v>
      </c>
      <c r="U11">
        <v>131839239494.455</v>
      </c>
      <c r="V11">
        <v>401119627714.94897</v>
      </c>
      <c r="W11">
        <v>129953659872.767</v>
      </c>
      <c r="X11">
        <v>579049865679.30103</v>
      </c>
      <c r="Y11">
        <v>0.18956765484021801</v>
      </c>
      <c r="Z11">
        <v>0.22768201377577499</v>
      </c>
    </row>
    <row r="12" spans="1:26" x14ac:dyDescent="0.25">
      <c r="A12">
        <v>2011</v>
      </c>
      <c r="B12" t="s">
        <v>23</v>
      </c>
      <c r="C12" t="s">
        <v>23</v>
      </c>
      <c r="D12">
        <v>4.2</v>
      </c>
      <c r="E12">
        <v>771498581508.33496</v>
      </c>
      <c r="F12">
        <v>329709117763.86798</v>
      </c>
      <c r="G12">
        <v>306495708639.52698</v>
      </c>
      <c r="H12">
        <v>832101930811.57495</v>
      </c>
      <c r="I12">
        <v>39.623645319785801</v>
      </c>
      <c r="J12">
        <v>31493510576.657902</v>
      </c>
      <c r="K12">
        <v>172970589361.34201</v>
      </c>
      <c r="L12" t="s">
        <v>219</v>
      </c>
      <c r="M12">
        <v>465282333778.51801</v>
      </c>
      <c r="N12" t="s">
        <v>219</v>
      </c>
      <c r="O12" t="s">
        <v>219</v>
      </c>
      <c r="P12" t="s">
        <v>219</v>
      </c>
      <c r="Q12" t="s">
        <v>219</v>
      </c>
      <c r="R12" t="s">
        <v>219</v>
      </c>
      <c r="S12">
        <v>542457.77004517801</v>
      </c>
      <c r="T12">
        <v>102031608701.52699</v>
      </c>
      <c r="U12">
        <v>125245017825.868</v>
      </c>
      <c r="V12">
        <v>441789463744.46698</v>
      </c>
      <c r="W12">
        <v>146371441215.66901</v>
      </c>
      <c r="X12">
        <v>611653774994.18701</v>
      </c>
      <c r="Y12">
        <v>0.166812685334112</v>
      </c>
      <c r="Z12">
        <v>0.20476456280688901</v>
      </c>
    </row>
    <row r="13" spans="1:26" x14ac:dyDescent="0.25">
      <c r="A13">
        <v>2012</v>
      </c>
      <c r="B13" t="s">
        <v>23</v>
      </c>
      <c r="C13" t="s">
        <v>23</v>
      </c>
      <c r="D13">
        <v>4.2</v>
      </c>
      <c r="E13">
        <v>908716083147.99805</v>
      </c>
      <c r="F13">
        <v>380803978320.66101</v>
      </c>
      <c r="G13">
        <v>354432863100.07898</v>
      </c>
      <c r="H13">
        <v>940453135350.55103</v>
      </c>
      <c r="I13">
        <v>40.491542215840198</v>
      </c>
      <c r="J13">
        <v>35113806680.251404</v>
      </c>
      <c r="K13">
        <v>204379867609.763</v>
      </c>
      <c r="L13">
        <v>490287039450.53198</v>
      </c>
      <c r="M13">
        <v>490287039450.53198</v>
      </c>
      <c r="N13">
        <v>70402576883.8423</v>
      </c>
      <c r="O13">
        <v>39914783804.8311</v>
      </c>
      <c r="P13">
        <v>16418462867.3078</v>
      </c>
      <c r="Q13">
        <v>10196185807.906401</v>
      </c>
      <c r="R13">
        <v>26614648675.214298</v>
      </c>
      <c r="S13">
        <v>564843.79721153295</v>
      </c>
      <c r="T13">
        <v>114939188810.065</v>
      </c>
      <c r="U13">
        <v>141310304030.647</v>
      </c>
      <c r="V13">
        <v>527912104827.33698</v>
      </c>
      <c r="W13">
        <v>174355231532.64301</v>
      </c>
      <c r="X13">
        <v>664642270983.17505</v>
      </c>
      <c r="Y13">
        <v>0.172933913216263</v>
      </c>
      <c r="Z13">
        <v>0.21261106944283401</v>
      </c>
    </row>
    <row r="14" spans="1:26" x14ac:dyDescent="0.25">
      <c r="A14">
        <v>2013</v>
      </c>
      <c r="B14" t="s">
        <v>23</v>
      </c>
      <c r="C14" t="s">
        <v>23</v>
      </c>
      <c r="D14">
        <v>4.2</v>
      </c>
      <c r="E14">
        <v>1029630572140.08</v>
      </c>
      <c r="F14">
        <v>446438532539.49298</v>
      </c>
      <c r="G14">
        <v>416641358492.07397</v>
      </c>
      <c r="H14">
        <v>1065073967610.16</v>
      </c>
      <c r="I14">
        <v>41.916199824245403</v>
      </c>
      <c r="J14">
        <v>37001352296.951599</v>
      </c>
      <c r="K14">
        <v>239717322965.66901</v>
      </c>
      <c r="L14">
        <v>551876752379.70203</v>
      </c>
      <c r="M14">
        <v>551876752379.70203</v>
      </c>
      <c r="N14">
        <v>95632259933.440094</v>
      </c>
      <c r="O14">
        <v>53002735212.258797</v>
      </c>
      <c r="P14">
        <v>14065686833.834801</v>
      </c>
      <c r="Q14">
        <v>25576872929.305099</v>
      </c>
      <c r="R14">
        <v>39642559763.1399</v>
      </c>
      <c r="S14">
        <v>592299.20796363696</v>
      </c>
      <c r="T14">
        <v>139922683229.453</v>
      </c>
      <c r="U14">
        <v>169719857276.87201</v>
      </c>
      <c r="V14">
        <v>583192039600.58704</v>
      </c>
      <c r="W14">
        <v>195930800611.013</v>
      </c>
      <c r="X14">
        <v>747807552990.71497</v>
      </c>
      <c r="Y14">
        <v>0.18711055092966</v>
      </c>
      <c r="Z14">
        <v>0.22695659678497501</v>
      </c>
    </row>
    <row r="15" spans="1:26" x14ac:dyDescent="0.25">
      <c r="A15">
        <v>2014</v>
      </c>
      <c r="B15" t="s">
        <v>23</v>
      </c>
      <c r="C15" t="s">
        <v>23</v>
      </c>
      <c r="D15">
        <v>4.2</v>
      </c>
      <c r="E15">
        <v>1199313983186.27</v>
      </c>
      <c r="F15">
        <v>525321848898.88202</v>
      </c>
      <c r="G15">
        <v>490474645352.526</v>
      </c>
      <c r="H15">
        <v>1204532622560.24</v>
      </c>
      <c r="I15">
        <v>43.612089789839601</v>
      </c>
      <c r="J15">
        <v>44318807852.137199</v>
      </c>
      <c r="K15">
        <v>280926635663.20203</v>
      </c>
      <c r="L15">
        <v>676414498513.77502</v>
      </c>
      <c r="M15">
        <v>676414498513.77502</v>
      </c>
      <c r="N15">
        <v>159227973748.991</v>
      </c>
      <c r="O15">
        <v>105912355457.27901</v>
      </c>
      <c r="P15">
        <v>16710161650.497801</v>
      </c>
      <c r="Q15">
        <v>60562625302.7724</v>
      </c>
      <c r="R15">
        <v>77272786953.270294</v>
      </c>
      <c r="S15">
        <v>616859.34631394595</v>
      </c>
      <c r="T15">
        <v>165229201837.18701</v>
      </c>
      <c r="U15">
        <v>200076405383.543</v>
      </c>
      <c r="V15">
        <v>673992134287.38794</v>
      </c>
      <c r="W15">
        <v>227361611892.99799</v>
      </c>
      <c r="X15">
        <v>903776110406.77295</v>
      </c>
      <c r="Y15">
        <v>0.18282094418585601</v>
      </c>
      <c r="Z15">
        <v>0.22137828504173701</v>
      </c>
    </row>
    <row r="16" spans="1:26" x14ac:dyDescent="0.25">
      <c r="A16">
        <v>2015</v>
      </c>
      <c r="B16" t="s">
        <v>23</v>
      </c>
      <c r="C16" t="s">
        <v>23</v>
      </c>
      <c r="D16">
        <v>4.2</v>
      </c>
      <c r="E16">
        <v>1338814807883.3999</v>
      </c>
      <c r="F16">
        <v>607207545851.91296</v>
      </c>
      <c r="G16">
        <v>567115658084.04297</v>
      </c>
      <c r="H16">
        <v>1323346681194.75</v>
      </c>
      <c r="I16">
        <v>45.884238384435399</v>
      </c>
      <c r="J16">
        <v>53390559582.143097</v>
      </c>
      <c r="K16">
        <v>318079975456.98297</v>
      </c>
      <c r="L16">
        <v>736061470775.72498</v>
      </c>
      <c r="M16">
        <v>736061470775.72498</v>
      </c>
      <c r="N16">
        <v>105224852365.573</v>
      </c>
      <c r="O16">
        <v>58717066246.377296</v>
      </c>
      <c r="P16">
        <v>12495622149.4769</v>
      </c>
      <c r="Q16">
        <v>15923038230.6789</v>
      </c>
      <c r="R16">
        <v>28418660380.1558</v>
      </c>
      <c r="S16">
        <v>618979.93437246</v>
      </c>
      <c r="T16">
        <v>195645123044.91699</v>
      </c>
      <c r="U16">
        <v>235737010812.78699</v>
      </c>
      <c r="V16">
        <v>731607262031.48706</v>
      </c>
      <c r="W16">
        <v>249925532735.35001</v>
      </c>
      <c r="X16">
        <v>985987003511.07495</v>
      </c>
      <c r="Y16">
        <v>0.19842566113775301</v>
      </c>
      <c r="Z16">
        <v>0.23908734088110001</v>
      </c>
    </row>
    <row r="17" spans="1:26" x14ac:dyDescent="0.25">
      <c r="A17">
        <v>2016</v>
      </c>
      <c r="B17" t="s">
        <v>23</v>
      </c>
      <c r="C17" t="s">
        <v>23</v>
      </c>
      <c r="D17">
        <v>4.2</v>
      </c>
      <c r="E17">
        <v>1402607775102.3201</v>
      </c>
      <c r="F17">
        <v>651676760423.00305</v>
      </c>
      <c r="G17">
        <v>609881813791.86401</v>
      </c>
      <c r="H17">
        <v>1448133945475.8201</v>
      </c>
      <c r="I17">
        <v>45.001138358708801</v>
      </c>
      <c r="J17">
        <v>54852592008.420097</v>
      </c>
      <c r="K17">
        <v>350937641730.85303</v>
      </c>
      <c r="L17">
        <v>806021467568.495</v>
      </c>
      <c r="M17">
        <v>806021467568.495</v>
      </c>
      <c r="N17">
        <v>103984369912.07201</v>
      </c>
      <c r="O17">
        <v>49358983924.053596</v>
      </c>
      <c r="P17">
        <v>9730133740.5832005</v>
      </c>
      <c r="Q17">
        <v>15913459046.1695</v>
      </c>
      <c r="R17">
        <v>25643592786.752701</v>
      </c>
      <c r="S17">
        <v>614484.09328464395</v>
      </c>
      <c r="T17">
        <v>204091580052.591</v>
      </c>
      <c r="U17">
        <v>245886526683.73001</v>
      </c>
      <c r="V17">
        <v>750931014679.31702</v>
      </c>
      <c r="W17">
        <v>262349680097.659</v>
      </c>
      <c r="X17">
        <v>1068371147666.15</v>
      </c>
      <c r="Y17">
        <v>0.19103059877499201</v>
      </c>
      <c r="Z17">
        <v>0.23015084900117899</v>
      </c>
    </row>
    <row r="18" spans="1:26" x14ac:dyDescent="0.25">
      <c r="A18">
        <v>2017</v>
      </c>
      <c r="B18" t="s">
        <v>23</v>
      </c>
      <c r="C18" t="s">
        <v>23</v>
      </c>
      <c r="D18">
        <v>4.2</v>
      </c>
      <c r="E18">
        <v>1487902627065.02</v>
      </c>
      <c r="F18">
        <v>718899634453.72498</v>
      </c>
      <c r="G18">
        <v>674193196527.38696</v>
      </c>
      <c r="H18">
        <v>1550770267817.54</v>
      </c>
      <c r="I18">
        <v>46.357584316177302</v>
      </c>
      <c r="J18">
        <v>60215993660.879997</v>
      </c>
      <c r="K18">
        <v>385131881530.737</v>
      </c>
      <c r="L18">
        <v>841966030516.03003</v>
      </c>
      <c r="M18">
        <v>841966030516.03003</v>
      </c>
      <c r="N18">
        <v>95576488801.990005</v>
      </c>
      <c r="O18">
        <v>44909449054.260002</v>
      </c>
      <c r="P18">
        <v>10298175130.959999</v>
      </c>
      <c r="Q18">
        <v>15627193019.23</v>
      </c>
      <c r="R18">
        <v>25925368150.189999</v>
      </c>
      <c r="S18">
        <v>619826.20172948099</v>
      </c>
      <c r="T18">
        <v>228845321335.76999</v>
      </c>
      <c r="U18">
        <v>273551759262.108</v>
      </c>
      <c r="V18">
        <v>769002992611.29504</v>
      </c>
      <c r="W18">
        <v>274794017652.86499</v>
      </c>
      <c r="X18">
        <v>1116760048168.8899</v>
      </c>
      <c r="Y18">
        <v>0.20491897226355699</v>
      </c>
      <c r="Z18">
        <v>0.24495124060951101</v>
      </c>
    </row>
    <row r="19" spans="1:26" x14ac:dyDescent="0.25">
      <c r="A19">
        <v>2018</v>
      </c>
      <c r="B19" t="s">
        <v>23</v>
      </c>
      <c r="C19" t="s">
        <v>23</v>
      </c>
      <c r="D19">
        <v>4.2</v>
      </c>
      <c r="E19">
        <v>1658683685335.02</v>
      </c>
      <c r="F19">
        <v>789921510187.45898</v>
      </c>
      <c r="G19">
        <v>745393550483.94604</v>
      </c>
      <c r="H19">
        <v>1664783254019.4399</v>
      </c>
      <c r="I19">
        <v>47.448910137717803</v>
      </c>
      <c r="J19">
        <v>62139743088.513</v>
      </c>
      <c r="K19">
        <v>422590435418.06299</v>
      </c>
      <c r="L19">
        <v>898330263751.35205</v>
      </c>
      <c r="M19">
        <v>898330263751.35205</v>
      </c>
      <c r="N19">
        <v>97638209970.690002</v>
      </c>
      <c r="O19">
        <v>49538063967.509598</v>
      </c>
      <c r="P19">
        <v>12591274268.9296</v>
      </c>
      <c r="Q19">
        <v>13728872802.6073</v>
      </c>
      <c r="R19">
        <v>26320147071.5369</v>
      </c>
      <c r="S19">
        <v>620093.69589388894</v>
      </c>
      <c r="T19">
        <v>260663371977.37</v>
      </c>
      <c r="U19">
        <v>305191331680.883</v>
      </c>
      <c r="V19">
        <v>868762175147.56104</v>
      </c>
      <c r="W19">
        <v>307464907277.53003</v>
      </c>
      <c r="X19">
        <v>1205795171028.8799</v>
      </c>
      <c r="Y19">
        <v>0.21617549832692701</v>
      </c>
      <c r="Z19">
        <v>0.25310379325907301</v>
      </c>
    </row>
    <row r="20" spans="1:26" x14ac:dyDescent="0.25">
      <c r="A20">
        <v>2019</v>
      </c>
      <c r="B20" t="s">
        <v>23</v>
      </c>
      <c r="C20" t="s">
        <v>23</v>
      </c>
      <c r="D20">
        <v>4.2</v>
      </c>
      <c r="E20">
        <v>1790503155926</v>
      </c>
      <c r="F20">
        <v>824315284444</v>
      </c>
      <c r="G20">
        <v>776140850879</v>
      </c>
      <c r="H20">
        <v>1797773600542.3</v>
      </c>
      <c r="I20">
        <v>45.852007404900398</v>
      </c>
      <c r="J20">
        <v>68724454704.951294</v>
      </c>
      <c r="K20">
        <v>456264699852</v>
      </c>
      <c r="L20">
        <v>995997166119</v>
      </c>
      <c r="M20">
        <v>995997166119</v>
      </c>
      <c r="N20">
        <v>128886507624</v>
      </c>
      <c r="O20">
        <v>44907885633</v>
      </c>
      <c r="P20">
        <v>16497801681</v>
      </c>
      <c r="Q20">
        <v>14837811020</v>
      </c>
      <c r="R20">
        <v>31335612701</v>
      </c>
      <c r="S20">
        <v>611937</v>
      </c>
      <c r="T20">
        <v>251151696322.04901</v>
      </c>
      <c r="U20">
        <v>299326129887.04901</v>
      </c>
      <c r="V20">
        <v>966187871482</v>
      </c>
      <c r="W20">
        <v>338679183650.95203</v>
      </c>
      <c r="X20">
        <v>1334676349769.95</v>
      </c>
      <c r="Y20">
        <v>0.18817423142722001</v>
      </c>
      <c r="Z20">
        <v>0.22426870000254501</v>
      </c>
    </row>
    <row r="21" spans="1:26" x14ac:dyDescent="0.25">
      <c r="A21">
        <v>2020</v>
      </c>
      <c r="B21" t="s">
        <v>23</v>
      </c>
      <c r="C21" t="s">
        <v>23</v>
      </c>
      <c r="D21">
        <v>4.2</v>
      </c>
      <c r="E21">
        <v>1805094127854.8999</v>
      </c>
      <c r="F21">
        <v>838326089885.30701</v>
      </c>
      <c r="G21">
        <v>785366638102.54395</v>
      </c>
      <c r="H21" t="s">
        <v>219</v>
      </c>
      <c r="I21" t="s">
        <v>219</v>
      </c>
      <c r="J21">
        <v>72470063542.389008</v>
      </c>
      <c r="K21">
        <v>445768537897.99597</v>
      </c>
      <c r="L21">
        <v>1042958318864.71</v>
      </c>
      <c r="M21">
        <v>1042958318864.71</v>
      </c>
      <c r="N21">
        <v>116968594615.136</v>
      </c>
      <c r="O21">
        <v>45261491941.083099</v>
      </c>
      <c r="P21">
        <v>11107721184.804199</v>
      </c>
      <c r="Q21">
        <v>13055786857.403601</v>
      </c>
      <c r="R21">
        <v>24163508042.207802</v>
      </c>
      <c r="S21">
        <v>570247.15523390495</v>
      </c>
      <c r="T21">
        <v>267128036662.159</v>
      </c>
      <c r="U21">
        <v>320087488444.922</v>
      </c>
      <c r="V21">
        <v>966768037969.59302</v>
      </c>
      <c r="W21">
        <v>336318232349.42603</v>
      </c>
      <c r="X21">
        <v>1379276551214.1399</v>
      </c>
      <c r="Y21">
        <v>0.19367257162968099</v>
      </c>
      <c r="Z21">
        <v>0.23206911490169099</v>
      </c>
    </row>
    <row r="22" spans="1:26" x14ac:dyDescent="0.25">
      <c r="A22">
        <v>2021</v>
      </c>
      <c r="B22" t="s">
        <v>23</v>
      </c>
      <c r="C22" t="s">
        <v>23</v>
      </c>
      <c r="D22">
        <v>4.2</v>
      </c>
      <c r="E22">
        <v>2173653003453.79</v>
      </c>
      <c r="F22">
        <v>1016152775933.4301</v>
      </c>
      <c r="G22">
        <v>998899176393.09595</v>
      </c>
      <c r="H22" t="s">
        <v>219</v>
      </c>
      <c r="I22" t="s">
        <v>219</v>
      </c>
      <c r="J22">
        <v>73799557031.841202</v>
      </c>
      <c r="K22">
        <v>470199821189.10797</v>
      </c>
      <c r="L22">
        <v>1173390818677.98</v>
      </c>
      <c r="M22">
        <v>1173390818677.98</v>
      </c>
      <c r="N22">
        <v>187321533925.961</v>
      </c>
      <c r="O22">
        <v>65889710032.376602</v>
      </c>
      <c r="P22">
        <v>19537003773.271702</v>
      </c>
      <c r="Q22">
        <v>21886134537.284599</v>
      </c>
      <c r="R22">
        <v>41423138310.556297</v>
      </c>
      <c r="S22">
        <v>602974.92250321002</v>
      </c>
      <c r="T22">
        <v>454899798172.14697</v>
      </c>
      <c r="U22">
        <v>472153397712.48102</v>
      </c>
      <c r="V22">
        <v>1157500227520.3601</v>
      </c>
      <c r="W22">
        <v>387547630645.11102</v>
      </c>
      <c r="X22">
        <v>1560938449323.0901</v>
      </c>
      <c r="Y22">
        <v>0.29142712088962702</v>
      </c>
      <c r="Z22">
        <v>0.302480471230132</v>
      </c>
    </row>
    <row r="23" spans="1:26" x14ac:dyDescent="0.25">
      <c r="A23">
        <v>2022</v>
      </c>
      <c r="B23" t="s">
        <v>23</v>
      </c>
      <c r="C23" t="s">
        <v>23</v>
      </c>
      <c r="D23">
        <v>4.2</v>
      </c>
      <c r="E23">
        <v>2441897021618.7998</v>
      </c>
      <c r="F23">
        <v>1082579648621.8199</v>
      </c>
      <c r="G23">
        <v>1035793481827.3199</v>
      </c>
      <c r="H23" t="s">
        <v>219</v>
      </c>
      <c r="I23" t="s">
        <v>219</v>
      </c>
      <c r="J23">
        <v>74486121315.725006</v>
      </c>
      <c r="K23">
        <v>522254664756.31799</v>
      </c>
      <c r="L23">
        <v>1205661045725.29</v>
      </c>
      <c r="M23">
        <v>1205661045725.29</v>
      </c>
      <c r="N23">
        <v>183033331632.185</v>
      </c>
      <c r="O23">
        <v>76871281939.7715</v>
      </c>
      <c r="P23">
        <v>17797191552.410702</v>
      </c>
      <c r="Q23">
        <v>20257430389.869701</v>
      </c>
      <c r="R23">
        <v>38054621942.280403</v>
      </c>
      <c r="S23">
        <v>627085.34358451201</v>
      </c>
      <c r="T23">
        <v>439052695755.27698</v>
      </c>
      <c r="U23">
        <v>485838862549.77698</v>
      </c>
      <c r="V23">
        <v>1359317372996.98</v>
      </c>
      <c r="W23">
        <v>447993342322.21399</v>
      </c>
      <c r="X23">
        <v>1653654388047.5</v>
      </c>
      <c r="Y23">
        <v>0.26550450863778902</v>
      </c>
      <c r="Z23">
        <v>0.29379709935847897</v>
      </c>
    </row>
    <row r="24" spans="1:26" x14ac:dyDescent="0.25">
      <c r="A24">
        <v>2023</v>
      </c>
      <c r="B24" t="s">
        <v>23</v>
      </c>
      <c r="C24" t="s">
        <v>23</v>
      </c>
      <c r="D24">
        <v>4.2</v>
      </c>
      <c r="E24">
        <v>2518876758620.8101</v>
      </c>
      <c r="F24">
        <v>1143758788706.0601</v>
      </c>
      <c r="G24">
        <v>1094703866545.12</v>
      </c>
      <c r="H24" t="s">
        <v>219</v>
      </c>
      <c r="I24" t="s">
        <v>219</v>
      </c>
      <c r="J24">
        <v>85762171452.384705</v>
      </c>
      <c r="K24">
        <v>612326443878.58997</v>
      </c>
      <c r="L24">
        <v>1284742421782.95</v>
      </c>
      <c r="M24">
        <v>1284742421782.95</v>
      </c>
      <c r="N24">
        <v>189841862725.95901</v>
      </c>
      <c r="O24">
        <v>100097630755.17799</v>
      </c>
      <c r="P24">
        <v>15278811501.645901</v>
      </c>
      <c r="Q24">
        <v>26551541630.944901</v>
      </c>
      <c r="R24">
        <v>41830353132.590698</v>
      </c>
      <c r="S24">
        <v>664124.696887556</v>
      </c>
      <c r="T24">
        <v>396615251214.14502</v>
      </c>
      <c r="U24">
        <v>445670173375.08502</v>
      </c>
      <c r="V24">
        <v>1375117969914.75</v>
      </c>
      <c r="W24">
        <v>473201050903.17603</v>
      </c>
      <c r="X24">
        <v>1757943472686.1299</v>
      </c>
      <c r="Y24">
        <v>0.225613199386963</v>
      </c>
      <c r="Z24">
        <v>0.25351792039940002</v>
      </c>
    </row>
    <row r="25" spans="1:26" x14ac:dyDescent="0.25">
      <c r="A25">
        <v>2024</v>
      </c>
      <c r="B25" t="s">
        <v>23</v>
      </c>
      <c r="C25" t="s">
        <v>23</v>
      </c>
      <c r="D25">
        <v>4.2</v>
      </c>
      <c r="E25">
        <v>2723572147079.8999</v>
      </c>
      <c r="F25">
        <v>1257042954849.99</v>
      </c>
      <c r="G25">
        <v>1204247954396.9399</v>
      </c>
      <c r="H25" t="s">
        <v>219</v>
      </c>
      <c r="I25" t="s">
        <v>219</v>
      </c>
      <c r="J25">
        <v>92718688124.578506</v>
      </c>
      <c r="K25">
        <v>672346294304.13196</v>
      </c>
      <c r="L25">
        <v>1395438696039.73</v>
      </c>
      <c r="M25">
        <v>1395438696039.73</v>
      </c>
      <c r="N25">
        <v>167437662476.505</v>
      </c>
      <c r="O25">
        <v>88209559992.396896</v>
      </c>
      <c r="P25">
        <v>15575384069.882999</v>
      </c>
      <c r="Q25">
        <v>24083777399.5019</v>
      </c>
      <c r="R25">
        <v>39659161469.384903</v>
      </c>
      <c r="S25">
        <v>680610.40008904005</v>
      </c>
      <c r="T25">
        <v>439182971968.229</v>
      </c>
      <c r="U25">
        <v>491977972421.27899</v>
      </c>
      <c r="V25">
        <v>1466529192229.9099</v>
      </c>
      <c r="W25">
        <v>509256068222.39099</v>
      </c>
      <c r="X25">
        <v>1904694764262.1201</v>
      </c>
      <c r="Y25">
        <v>0.23057918791432599</v>
      </c>
      <c r="Z25">
        <v>0.25829754018979101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25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5"/>
  <sheetData>
    <row r="1" spans="1:28" x14ac:dyDescent="0.25">
      <c r="A1" t="s">
        <v>52</v>
      </c>
      <c r="B1" t="s">
        <v>61</v>
      </c>
      <c r="C1" t="s">
        <v>57</v>
      </c>
      <c r="D1" t="s">
        <v>71</v>
      </c>
      <c r="E1" t="s">
        <v>75</v>
      </c>
      <c r="F1" t="s">
        <v>82</v>
      </c>
      <c r="G1" t="s">
        <v>196</v>
      </c>
      <c r="H1" t="s">
        <v>123</v>
      </c>
      <c r="I1" t="s">
        <v>126</v>
      </c>
      <c r="J1" t="s">
        <v>131</v>
      </c>
      <c r="K1" t="s">
        <v>111</v>
      </c>
      <c r="L1" t="s">
        <v>174</v>
      </c>
      <c r="M1" t="s">
        <v>117</v>
      </c>
      <c r="N1" t="s">
        <v>120</v>
      </c>
      <c r="O1" t="s">
        <v>96</v>
      </c>
      <c r="P1" t="s">
        <v>99</v>
      </c>
      <c r="Q1" t="s">
        <v>102</v>
      </c>
      <c r="R1" t="s">
        <v>104</v>
      </c>
      <c r="S1" t="s">
        <v>107</v>
      </c>
      <c r="T1" t="s">
        <v>89</v>
      </c>
      <c r="U1" t="s">
        <v>178</v>
      </c>
      <c r="V1" t="s">
        <v>181</v>
      </c>
      <c r="W1" t="s">
        <v>184</v>
      </c>
      <c r="X1" t="s">
        <v>187</v>
      </c>
      <c r="Y1" t="s">
        <v>144</v>
      </c>
      <c r="Z1" t="s">
        <v>190</v>
      </c>
      <c r="AA1" t="s">
        <v>193</v>
      </c>
      <c r="AB1" t="s">
        <v>201</v>
      </c>
    </row>
    <row r="2" spans="1:28" x14ac:dyDescent="0.25">
      <c r="A2">
        <v>2001</v>
      </c>
      <c r="B2" t="s">
        <v>236</v>
      </c>
      <c r="C2" t="s">
        <v>217</v>
      </c>
      <c r="D2">
        <v>6.6</v>
      </c>
      <c r="E2">
        <v>89240215000</v>
      </c>
      <c r="F2">
        <v>32030854000</v>
      </c>
      <c r="G2">
        <v>105965497000</v>
      </c>
      <c r="H2">
        <v>26506272680.6166</v>
      </c>
      <c r="I2" t="s">
        <v>219</v>
      </c>
      <c r="J2" t="s">
        <v>219</v>
      </c>
      <c r="K2">
        <v>3127411000</v>
      </c>
      <c r="L2">
        <v>11462459000</v>
      </c>
      <c r="M2">
        <v>28622363000</v>
      </c>
      <c r="N2">
        <v>28622363000</v>
      </c>
      <c r="O2">
        <v>3539644000</v>
      </c>
      <c r="P2">
        <v>2057120000</v>
      </c>
      <c r="Q2">
        <v>1075519000</v>
      </c>
      <c r="R2" t="s">
        <v>219</v>
      </c>
      <c r="S2" t="s">
        <v>219</v>
      </c>
      <c r="T2">
        <v>113817</v>
      </c>
      <c r="U2">
        <v>11916402680.6166</v>
      </c>
      <c r="V2">
        <v>17440984000</v>
      </c>
      <c r="W2">
        <v>57209361000</v>
      </c>
      <c r="X2">
        <v>10404821212.121201</v>
      </c>
      <c r="Y2">
        <v>39027184212.121201</v>
      </c>
      <c r="Z2">
        <v>0.30533595802988001</v>
      </c>
      <c r="AA2">
        <v>0.44689321948528099</v>
      </c>
      <c r="AB2">
        <v>0.302276258846783</v>
      </c>
    </row>
    <row r="3" spans="1:28" x14ac:dyDescent="0.25">
      <c r="A3">
        <v>2002</v>
      </c>
      <c r="B3" t="s">
        <v>236</v>
      </c>
      <c r="C3" t="s">
        <v>217</v>
      </c>
      <c r="D3">
        <v>6.6</v>
      </c>
      <c r="E3">
        <v>104934883446</v>
      </c>
      <c r="F3">
        <v>39381506784</v>
      </c>
      <c r="G3">
        <v>106353797467</v>
      </c>
      <c r="H3">
        <v>32589107907.9646</v>
      </c>
      <c r="I3" t="s">
        <v>219</v>
      </c>
      <c r="J3" t="s">
        <v>219</v>
      </c>
      <c r="K3">
        <v>3758469943</v>
      </c>
      <c r="L3">
        <v>9421078355</v>
      </c>
      <c r="M3" t="s">
        <v>219</v>
      </c>
      <c r="N3">
        <v>38087990148.780998</v>
      </c>
      <c r="O3" t="s">
        <v>219</v>
      </c>
      <c r="P3" t="s">
        <v>219</v>
      </c>
      <c r="Q3" t="s">
        <v>219</v>
      </c>
      <c r="R3" t="s">
        <v>219</v>
      </c>
      <c r="S3" t="s">
        <v>219</v>
      </c>
      <c r="T3">
        <v>76575</v>
      </c>
      <c r="U3">
        <v>19409559609.9646</v>
      </c>
      <c r="V3">
        <v>26201958486</v>
      </c>
      <c r="W3">
        <v>65553376662</v>
      </c>
      <c r="X3">
        <v>11359765911.6667</v>
      </c>
      <c r="Y3">
        <v>49447756060.447701</v>
      </c>
      <c r="Z3">
        <v>0.39252660092881098</v>
      </c>
      <c r="AA3">
        <v>0.52989175998136895</v>
      </c>
      <c r="AB3">
        <v>0.37028773510620999</v>
      </c>
    </row>
    <row r="4" spans="1:28" x14ac:dyDescent="0.25">
      <c r="A4">
        <v>2003</v>
      </c>
      <c r="B4" t="s">
        <v>236</v>
      </c>
      <c r="C4" t="s">
        <v>217</v>
      </c>
      <c r="D4">
        <v>6.6</v>
      </c>
      <c r="E4">
        <v>139349946300</v>
      </c>
      <c r="F4">
        <v>41497361974</v>
      </c>
      <c r="G4">
        <v>117480701268</v>
      </c>
      <c r="H4">
        <v>34340027025.476601</v>
      </c>
      <c r="I4" t="s">
        <v>219</v>
      </c>
      <c r="J4" t="s">
        <v>219</v>
      </c>
      <c r="K4">
        <v>4714590576</v>
      </c>
      <c r="L4">
        <v>10878789626</v>
      </c>
      <c r="M4">
        <v>48103564060</v>
      </c>
      <c r="N4">
        <v>48103564060</v>
      </c>
      <c r="O4">
        <v>6899547696</v>
      </c>
      <c r="P4">
        <v>5558448986</v>
      </c>
      <c r="Q4">
        <v>5256351292</v>
      </c>
      <c r="R4" t="s">
        <v>219</v>
      </c>
      <c r="S4" t="s">
        <v>219</v>
      </c>
      <c r="T4">
        <v>83356</v>
      </c>
      <c r="U4">
        <v>18746646823.476601</v>
      </c>
      <c r="V4">
        <v>25903981772</v>
      </c>
      <c r="W4">
        <v>97852584326</v>
      </c>
      <c r="X4">
        <v>16474450598.787901</v>
      </c>
      <c r="Y4">
        <v>64578014658.787903</v>
      </c>
      <c r="Z4">
        <v>0.29029456731565201</v>
      </c>
      <c r="AA4">
        <v>0.40112694558464501</v>
      </c>
      <c r="AB4">
        <v>0.35322705368718499</v>
      </c>
    </row>
    <row r="5" spans="1:28" x14ac:dyDescent="0.25">
      <c r="A5">
        <v>2004</v>
      </c>
      <c r="B5" t="s">
        <v>236</v>
      </c>
      <c r="C5" t="s">
        <v>217</v>
      </c>
      <c r="D5">
        <v>6.6</v>
      </c>
      <c r="E5">
        <v>179010449525</v>
      </c>
      <c r="F5">
        <v>52621053735</v>
      </c>
      <c r="G5">
        <v>137248675768</v>
      </c>
      <c r="H5">
        <v>43545139291.050201</v>
      </c>
      <c r="I5" t="s">
        <v>219</v>
      </c>
      <c r="J5" t="s">
        <v>219</v>
      </c>
      <c r="K5">
        <v>5136920717</v>
      </c>
      <c r="L5">
        <v>12139435357</v>
      </c>
      <c r="M5">
        <v>50525577181</v>
      </c>
      <c r="N5">
        <v>50525577181</v>
      </c>
      <c r="O5">
        <v>6396127195</v>
      </c>
      <c r="P5">
        <v>3154522472</v>
      </c>
      <c r="Q5">
        <v>1599697016</v>
      </c>
      <c r="R5">
        <v>1743085329</v>
      </c>
      <c r="S5">
        <v>3342782345</v>
      </c>
      <c r="T5">
        <v>88653</v>
      </c>
      <c r="U5">
        <v>26268783217.050201</v>
      </c>
      <c r="V5">
        <v>35344697661</v>
      </c>
      <c r="W5">
        <v>126389395790</v>
      </c>
      <c r="X5">
        <v>20989216840.454498</v>
      </c>
      <c r="Y5">
        <v>71514794021.454498</v>
      </c>
      <c r="Z5">
        <v>0.36731956760120799</v>
      </c>
      <c r="AA5">
        <v>0.49422917516054798</v>
      </c>
      <c r="AB5">
        <v>0.383399354788302</v>
      </c>
    </row>
    <row r="6" spans="1:28" x14ac:dyDescent="0.25">
      <c r="A6">
        <v>2005</v>
      </c>
      <c r="B6" t="s">
        <v>236</v>
      </c>
      <c r="C6" t="s">
        <v>217</v>
      </c>
      <c r="D6">
        <v>6.6</v>
      </c>
      <c r="E6">
        <v>184862461743</v>
      </c>
      <c r="F6">
        <v>53991760706</v>
      </c>
      <c r="G6">
        <v>152188634950</v>
      </c>
      <c r="H6">
        <v>44679431019.224098</v>
      </c>
      <c r="I6">
        <v>63125725210.162697</v>
      </c>
      <c r="J6">
        <v>85.530519493038298</v>
      </c>
      <c r="K6">
        <v>5058292667</v>
      </c>
      <c r="L6">
        <v>14615233399</v>
      </c>
      <c r="M6">
        <v>52418214093</v>
      </c>
      <c r="N6">
        <v>52418214093</v>
      </c>
      <c r="O6">
        <v>6464007473</v>
      </c>
      <c r="P6">
        <v>2747259075</v>
      </c>
      <c r="Q6">
        <v>2116008436</v>
      </c>
      <c r="R6">
        <v>2111494326</v>
      </c>
      <c r="S6">
        <v>4227502762</v>
      </c>
      <c r="T6">
        <v>102414</v>
      </c>
      <c r="U6">
        <v>25005904953.224098</v>
      </c>
      <c r="V6">
        <v>34318234640</v>
      </c>
      <c r="W6">
        <v>130870701037</v>
      </c>
      <c r="X6">
        <v>22043323399.393902</v>
      </c>
      <c r="Y6">
        <v>74461537492.393906</v>
      </c>
      <c r="Z6">
        <v>0.335823108081517</v>
      </c>
      <c r="AA6">
        <v>0.46088538856057798</v>
      </c>
      <c r="AB6">
        <v>0.35476867719944</v>
      </c>
    </row>
    <row r="7" spans="1:28" x14ac:dyDescent="0.25">
      <c r="A7">
        <v>2006</v>
      </c>
      <c r="B7" t="s">
        <v>236</v>
      </c>
      <c r="C7" t="s">
        <v>217</v>
      </c>
      <c r="D7">
        <v>6.6</v>
      </c>
      <c r="E7">
        <v>185039597745.125</v>
      </c>
      <c r="F7">
        <v>54017527699.072403</v>
      </c>
      <c r="G7">
        <v>131310154037.69501</v>
      </c>
      <c r="H7">
        <v>44700753802.0802</v>
      </c>
      <c r="I7">
        <v>68549417731.641998</v>
      </c>
      <c r="J7">
        <v>78.800855625850602</v>
      </c>
      <c r="K7">
        <v>4256913615.71668</v>
      </c>
      <c r="L7">
        <v>13982311018.7924</v>
      </c>
      <c r="M7">
        <v>57185676835.0951</v>
      </c>
      <c r="N7">
        <v>57185676835.0951</v>
      </c>
      <c r="O7">
        <v>6516136919.5927401</v>
      </c>
      <c r="P7">
        <v>4227827579.7876601</v>
      </c>
      <c r="Q7">
        <v>2182756205.9103298</v>
      </c>
      <c r="R7">
        <v>1425871108.60551</v>
      </c>
      <c r="S7">
        <v>3608627314.5158401</v>
      </c>
      <c r="T7">
        <v>63928.852765380201</v>
      </c>
      <c r="U7">
        <v>26461529167.571098</v>
      </c>
      <c r="V7">
        <v>35778303064.563301</v>
      </c>
      <c r="W7">
        <v>131022070046.052</v>
      </c>
      <c r="X7">
        <v>21970360767.4007</v>
      </c>
      <c r="Y7">
        <v>79156037602.495804</v>
      </c>
      <c r="Z7">
        <v>0.334295777922274</v>
      </c>
      <c r="AA7">
        <v>0.45199714574185801</v>
      </c>
      <c r="AB7">
        <v>0.41137357651385997</v>
      </c>
    </row>
    <row r="8" spans="1:28" x14ac:dyDescent="0.25">
      <c r="A8">
        <v>2007</v>
      </c>
      <c r="B8" t="s">
        <v>236</v>
      </c>
      <c r="C8" t="s">
        <v>217</v>
      </c>
      <c r="D8">
        <v>6.6</v>
      </c>
      <c r="E8">
        <v>235394001073.246</v>
      </c>
      <c r="F8">
        <v>70661648001.255997</v>
      </c>
      <c r="G8">
        <v>196898700963.26401</v>
      </c>
      <c r="H8">
        <v>58474148394.015404</v>
      </c>
      <c r="I8">
        <v>75470434381.016495</v>
      </c>
      <c r="J8">
        <v>93.628251355380996</v>
      </c>
      <c r="K8">
        <v>5934830945.5998602</v>
      </c>
      <c r="L8">
        <v>19975832217.423302</v>
      </c>
      <c r="M8">
        <v>88288212567.623398</v>
      </c>
      <c r="N8">
        <v>88288212567.623398</v>
      </c>
      <c r="O8">
        <v>17359289524.518902</v>
      </c>
      <c r="P8">
        <v>5954778083.05058</v>
      </c>
      <c r="Q8">
        <v>2050142695.5597501</v>
      </c>
      <c r="R8">
        <v>2560331482.5603499</v>
      </c>
      <c r="S8">
        <v>4610474178.1201</v>
      </c>
      <c r="T8">
        <v>100576.012248596</v>
      </c>
      <c r="U8">
        <v>32563485230.992199</v>
      </c>
      <c r="V8">
        <v>44750984838.232803</v>
      </c>
      <c r="W8">
        <v>164732353071.98999</v>
      </c>
      <c r="X8">
        <v>27986088680.2141</v>
      </c>
      <c r="Y8">
        <v>116274301247.838</v>
      </c>
      <c r="Z8">
        <v>0.28005745793804798</v>
      </c>
      <c r="AA8">
        <v>0.38487425302042</v>
      </c>
      <c r="AB8">
        <v>0.35887310406603201</v>
      </c>
    </row>
    <row r="9" spans="1:28" x14ac:dyDescent="0.25">
      <c r="A9">
        <v>2008</v>
      </c>
      <c r="B9" t="s">
        <v>236</v>
      </c>
      <c r="C9" t="s">
        <v>217</v>
      </c>
      <c r="D9">
        <v>6.6</v>
      </c>
      <c r="E9">
        <v>284995693319.88397</v>
      </c>
      <c r="F9">
        <v>80292211343.235596</v>
      </c>
      <c r="G9">
        <v>205890238511.31601</v>
      </c>
      <c r="H9">
        <v>66443662351.103897</v>
      </c>
      <c r="I9">
        <v>95084730973.5625</v>
      </c>
      <c r="J9">
        <v>84.442802247145394</v>
      </c>
      <c r="K9">
        <v>8098413006.6877804</v>
      </c>
      <c r="L9">
        <v>24291156273.874199</v>
      </c>
      <c r="M9">
        <v>107971212345.29601</v>
      </c>
      <c r="N9">
        <v>107971212345.29601</v>
      </c>
      <c r="O9">
        <v>17442926160.214401</v>
      </c>
      <c r="P9">
        <v>10194336167.014299</v>
      </c>
      <c r="Q9">
        <v>3655133361.7691598</v>
      </c>
      <c r="R9">
        <v>3746090502.26123</v>
      </c>
      <c r="S9">
        <v>7401223864.0304003</v>
      </c>
      <c r="T9">
        <v>103902.68580704</v>
      </c>
      <c r="U9">
        <v>34054093070.541901</v>
      </c>
      <c r="V9">
        <v>47902642062.673698</v>
      </c>
      <c r="W9">
        <v>204703481976.64899</v>
      </c>
      <c r="X9">
        <v>34696157310.685303</v>
      </c>
      <c r="Y9">
        <v>142667369655.98099</v>
      </c>
      <c r="Z9">
        <v>0.238695737873754</v>
      </c>
      <c r="AA9">
        <v>0.335764528204194</v>
      </c>
      <c r="AB9">
        <v>0.38997580421386802</v>
      </c>
    </row>
    <row r="10" spans="1:28" x14ac:dyDescent="0.25">
      <c r="A10">
        <v>2009</v>
      </c>
      <c r="B10" t="s">
        <v>236</v>
      </c>
      <c r="C10" t="s">
        <v>217</v>
      </c>
      <c r="D10">
        <v>6.6</v>
      </c>
      <c r="E10">
        <v>262347159926.776</v>
      </c>
      <c r="F10">
        <v>78234883877.820404</v>
      </c>
      <c r="G10">
        <v>234652404427.53601</v>
      </c>
      <c r="H10">
        <v>64741176279.6548</v>
      </c>
      <c r="I10">
        <v>105882376383.15199</v>
      </c>
      <c r="J10">
        <v>73.888485081516507</v>
      </c>
      <c r="K10">
        <v>7803216717.6423397</v>
      </c>
      <c r="L10">
        <v>29743370612.9925</v>
      </c>
      <c r="M10">
        <v>93192117548.195999</v>
      </c>
      <c r="N10">
        <v>93192117548.195999</v>
      </c>
      <c r="O10">
        <v>7961085386.4242697</v>
      </c>
      <c r="P10">
        <v>5801409600.9794102</v>
      </c>
      <c r="Q10">
        <v>2415847160.2104001</v>
      </c>
      <c r="R10">
        <v>1477856506.79828</v>
      </c>
      <c r="S10">
        <v>3893703667.0086799</v>
      </c>
      <c r="T10">
        <v>104036.64779083501</v>
      </c>
      <c r="U10">
        <v>27194588949.02</v>
      </c>
      <c r="V10">
        <v>40688296547.1856</v>
      </c>
      <c r="W10">
        <v>184112276048.95599</v>
      </c>
      <c r="X10">
        <v>32402370706.355801</v>
      </c>
      <c r="Y10">
        <v>125594488254.552</v>
      </c>
      <c r="Z10">
        <v>0.21652692985939501</v>
      </c>
      <c r="AA10">
        <v>0.32396562231870801</v>
      </c>
      <c r="AB10">
        <v>0.333407552625272</v>
      </c>
    </row>
    <row r="11" spans="1:28" x14ac:dyDescent="0.25">
      <c r="A11">
        <v>2010</v>
      </c>
      <c r="B11" t="s">
        <v>236</v>
      </c>
      <c r="C11" t="s">
        <v>217</v>
      </c>
      <c r="D11">
        <v>6.6</v>
      </c>
      <c r="E11">
        <v>298614685114.745</v>
      </c>
      <c r="F11">
        <v>95564090931.252396</v>
      </c>
      <c r="G11">
        <v>308305260093.789</v>
      </c>
      <c r="H11">
        <v>79081496006.913193</v>
      </c>
      <c r="I11">
        <v>109319474930.575</v>
      </c>
      <c r="J11">
        <v>87.417261189684496</v>
      </c>
      <c r="K11">
        <v>8154845648.1199398</v>
      </c>
      <c r="L11">
        <v>34131850283.349602</v>
      </c>
      <c r="M11">
        <v>99737810059.451508</v>
      </c>
      <c r="N11">
        <v>99737810059.451508</v>
      </c>
      <c r="O11">
        <v>10581328732.3151</v>
      </c>
      <c r="P11">
        <v>6527266606.3431396</v>
      </c>
      <c r="Q11">
        <v>2632960238.7007899</v>
      </c>
      <c r="R11">
        <v>1822989811.2412601</v>
      </c>
      <c r="S11">
        <v>4455950049.94205</v>
      </c>
      <c r="T11">
        <v>112274.193929867</v>
      </c>
      <c r="U11">
        <v>36794800075.443604</v>
      </c>
      <c r="V11">
        <v>53277394999.782799</v>
      </c>
      <c r="W11">
        <v>203050594183.492</v>
      </c>
      <c r="X11">
        <v>35936734010.127602</v>
      </c>
      <c r="Y11">
        <v>135674544069.57899</v>
      </c>
      <c r="Z11">
        <v>0.27119899556525401</v>
      </c>
      <c r="AA11">
        <v>0.39268527021885602</v>
      </c>
      <c r="AB11">
        <v>0.30996581408368101</v>
      </c>
    </row>
    <row r="12" spans="1:28" x14ac:dyDescent="0.25">
      <c r="A12">
        <v>2011</v>
      </c>
      <c r="B12" t="s">
        <v>236</v>
      </c>
      <c r="C12" t="s">
        <v>217</v>
      </c>
      <c r="D12">
        <v>6.6</v>
      </c>
      <c r="E12">
        <v>322720110758.961</v>
      </c>
      <c r="F12">
        <v>97706590220.234604</v>
      </c>
      <c r="G12">
        <v>329709117763.86798</v>
      </c>
      <c r="H12">
        <v>80854463732.712601</v>
      </c>
      <c r="I12">
        <v>117956673328.69901</v>
      </c>
      <c r="J12">
        <v>82.832609180122205</v>
      </c>
      <c r="K12">
        <v>8184811603.9800196</v>
      </c>
      <c r="L12">
        <v>38240756792.585899</v>
      </c>
      <c r="M12" t="s">
        <v>219</v>
      </c>
      <c r="N12">
        <v>122150149877.437</v>
      </c>
      <c r="O12" t="s">
        <v>219</v>
      </c>
      <c r="P12" t="s">
        <v>219</v>
      </c>
      <c r="Q12" t="s">
        <v>219</v>
      </c>
      <c r="R12" t="s">
        <v>219</v>
      </c>
      <c r="S12" t="s">
        <v>219</v>
      </c>
      <c r="T12">
        <v>109399.623065035</v>
      </c>
      <c r="U12">
        <v>34428895336.146698</v>
      </c>
      <c r="V12">
        <v>51281021823.6688</v>
      </c>
      <c r="W12">
        <v>225013520538.72699</v>
      </c>
      <c r="X12">
        <v>39887011716.865501</v>
      </c>
      <c r="Y12">
        <v>162037161594.302</v>
      </c>
      <c r="Z12">
        <v>0.21247530503124601</v>
      </c>
      <c r="AA12">
        <v>0.31647691998001498</v>
      </c>
      <c r="AB12">
        <v>0.29634179025103702</v>
      </c>
    </row>
    <row r="13" spans="1:28" x14ac:dyDescent="0.25">
      <c r="A13">
        <v>2012</v>
      </c>
      <c r="B13" t="s">
        <v>236</v>
      </c>
      <c r="C13" t="s">
        <v>217</v>
      </c>
      <c r="D13">
        <v>6.6</v>
      </c>
      <c r="E13">
        <v>366495477250.28802</v>
      </c>
      <c r="F13">
        <v>99292174533.573807</v>
      </c>
      <c r="G13">
        <v>380803978320.66101</v>
      </c>
      <c r="H13">
        <v>82166571432.603302</v>
      </c>
      <c r="I13">
        <v>126748189710.34399</v>
      </c>
      <c r="J13">
        <v>78.338140182108305</v>
      </c>
      <c r="K13">
        <v>9200641100.6563606</v>
      </c>
      <c r="L13">
        <v>43787874689.425102</v>
      </c>
      <c r="M13">
        <v>118070224347.511</v>
      </c>
      <c r="N13">
        <v>118070224347.511</v>
      </c>
      <c r="O13">
        <v>17144628448.139</v>
      </c>
      <c r="P13">
        <v>11867620456.3477</v>
      </c>
      <c r="Q13">
        <v>5974186587.4051304</v>
      </c>
      <c r="R13">
        <v>3152613515.84694</v>
      </c>
      <c r="S13">
        <v>9126800103.2520695</v>
      </c>
      <c r="T13">
        <v>110138.749533575</v>
      </c>
      <c r="U13">
        <v>29178055642.521801</v>
      </c>
      <c r="V13">
        <v>46303658743.492302</v>
      </c>
      <c r="W13">
        <v>267203302716.71399</v>
      </c>
      <c r="X13">
        <v>47119875364.566498</v>
      </c>
      <c r="Y13">
        <v>165190099712.077</v>
      </c>
      <c r="Z13">
        <v>0.17663319831744501</v>
      </c>
      <c r="AA13">
        <v>0.28030528962812301</v>
      </c>
      <c r="AB13">
        <v>0.26074353259503902</v>
      </c>
    </row>
    <row r="14" spans="1:28" x14ac:dyDescent="0.25">
      <c r="A14">
        <v>2013</v>
      </c>
      <c r="B14" t="s">
        <v>236</v>
      </c>
      <c r="C14" t="s">
        <v>217</v>
      </c>
      <c r="D14">
        <v>6.6</v>
      </c>
      <c r="E14">
        <v>393495580200.29303</v>
      </c>
      <c r="F14">
        <v>111896035273.73399</v>
      </c>
      <c r="G14">
        <v>446438532539.49298</v>
      </c>
      <c r="H14">
        <v>92596557770.376694</v>
      </c>
      <c r="I14">
        <v>132753534366.728</v>
      </c>
      <c r="J14">
        <v>84.288554581623899</v>
      </c>
      <c r="K14">
        <v>9634456614.2834396</v>
      </c>
      <c r="L14">
        <v>50186679222.508797</v>
      </c>
      <c r="M14">
        <v>130303268121.312</v>
      </c>
      <c r="N14">
        <v>130303268121.312</v>
      </c>
      <c r="O14">
        <v>28790672811.2985</v>
      </c>
      <c r="P14">
        <v>18295653366.858398</v>
      </c>
      <c r="Q14">
        <v>2479792576.5747099</v>
      </c>
      <c r="R14">
        <v>16298811702.858601</v>
      </c>
      <c r="S14">
        <v>18778604279.4333</v>
      </c>
      <c r="T14">
        <v>109797.749814658</v>
      </c>
      <c r="U14">
        <v>32775421933.5844</v>
      </c>
      <c r="V14">
        <v>52074899436.942101</v>
      </c>
      <c r="W14">
        <v>281599544926.55798</v>
      </c>
      <c r="X14">
        <v>50270640022.585899</v>
      </c>
      <c r="Y14">
        <v>180573908143.89801</v>
      </c>
      <c r="Z14">
        <v>0.181506964491602</v>
      </c>
      <c r="AA14">
        <v>0.28838551467493301</v>
      </c>
      <c r="AB14">
        <v>0.25064152647673998</v>
      </c>
    </row>
    <row r="15" spans="1:28" x14ac:dyDescent="0.25">
      <c r="A15">
        <v>2014</v>
      </c>
      <c r="B15" t="s">
        <v>236</v>
      </c>
      <c r="C15" t="s">
        <v>217</v>
      </c>
      <c r="D15">
        <v>6.6</v>
      </c>
      <c r="E15">
        <v>453640919223.41602</v>
      </c>
      <c r="F15">
        <v>130780131947.159</v>
      </c>
      <c r="G15">
        <v>525321848898.88202</v>
      </c>
      <c r="H15">
        <v>108223584628.696</v>
      </c>
      <c r="I15">
        <v>161567650594.82001</v>
      </c>
      <c r="J15">
        <v>80.944503101756297</v>
      </c>
      <c r="K15">
        <v>12235321829.4487</v>
      </c>
      <c r="L15">
        <v>56837646365.692398</v>
      </c>
      <c r="M15">
        <v>198429417562.73401</v>
      </c>
      <c r="N15">
        <v>198429417562.73401</v>
      </c>
      <c r="O15">
        <v>78176629453.823105</v>
      </c>
      <c r="P15">
        <v>52611954747.577003</v>
      </c>
      <c r="Q15">
        <v>2217119087.20402</v>
      </c>
      <c r="R15">
        <v>48143911013.675201</v>
      </c>
      <c r="S15">
        <v>50361030100.879204</v>
      </c>
      <c r="T15">
        <v>107700.426949954</v>
      </c>
      <c r="U15">
        <v>39150616433.555298</v>
      </c>
      <c r="V15">
        <v>61707163752.017799</v>
      </c>
      <c r="W15">
        <v>322860787276.25702</v>
      </c>
      <c r="X15">
        <v>57530065703.325699</v>
      </c>
      <c r="Y15">
        <v>255959483266.06</v>
      </c>
      <c r="Z15">
        <v>0.15295630360708201</v>
      </c>
      <c r="AA15">
        <v>0.241081764053554</v>
      </c>
      <c r="AB15">
        <v>0.24895239408238001</v>
      </c>
    </row>
    <row r="16" spans="1:28" x14ac:dyDescent="0.25">
      <c r="A16">
        <v>2015</v>
      </c>
      <c r="B16" t="s">
        <v>236</v>
      </c>
      <c r="C16" t="s">
        <v>217</v>
      </c>
      <c r="D16">
        <v>6.6</v>
      </c>
      <c r="E16">
        <v>478094966223.237</v>
      </c>
      <c r="F16">
        <v>151939673902.59201</v>
      </c>
      <c r="G16">
        <v>607207545851.91296</v>
      </c>
      <c r="H16">
        <v>125733595097.592</v>
      </c>
      <c r="I16">
        <v>192793049413.46799</v>
      </c>
      <c r="J16">
        <v>78.809725954766705</v>
      </c>
      <c r="K16">
        <v>14988600854.6759</v>
      </c>
      <c r="L16">
        <v>61103872632.969101</v>
      </c>
      <c r="M16">
        <v>207813793849.16599</v>
      </c>
      <c r="N16">
        <v>207813793849.16599</v>
      </c>
      <c r="O16">
        <v>26806672376.5168</v>
      </c>
      <c r="P16">
        <v>16410900596.9536</v>
      </c>
      <c r="Q16">
        <v>1393260740.63695</v>
      </c>
      <c r="R16">
        <v>6282740266.2847996</v>
      </c>
      <c r="S16">
        <v>7676001006.9217501</v>
      </c>
      <c r="T16">
        <v>103791.208900956</v>
      </c>
      <c r="U16">
        <v>49641121609.946701</v>
      </c>
      <c r="V16">
        <v>75847200414.947006</v>
      </c>
      <c r="W16">
        <v>326155292320.64502</v>
      </c>
      <c r="X16">
        <v>58675631053.577904</v>
      </c>
      <c r="Y16">
        <v>266489424902.74399</v>
      </c>
      <c r="Z16">
        <v>0.18627801695344301</v>
      </c>
      <c r="AA16">
        <v>0.28461617357847402</v>
      </c>
      <c r="AB16">
        <v>0.25022691984076101</v>
      </c>
    </row>
    <row r="17" spans="1:28" x14ac:dyDescent="0.25">
      <c r="A17">
        <v>2016</v>
      </c>
      <c r="B17" t="s">
        <v>236</v>
      </c>
      <c r="C17" t="s">
        <v>217</v>
      </c>
      <c r="D17">
        <v>6.6</v>
      </c>
      <c r="E17">
        <v>488282856955.12799</v>
      </c>
      <c r="F17">
        <v>155382839152.64899</v>
      </c>
      <c r="G17">
        <v>651676760423.00305</v>
      </c>
      <c r="H17">
        <v>128582893995.537</v>
      </c>
      <c r="I17">
        <v>203704139812.439</v>
      </c>
      <c r="J17">
        <v>76.278685006459895</v>
      </c>
      <c r="K17">
        <v>16145911799.0432</v>
      </c>
      <c r="L17">
        <v>65854041864.740097</v>
      </c>
      <c r="M17">
        <v>218824498043.51999</v>
      </c>
      <c r="N17">
        <v>218824498043.51999</v>
      </c>
      <c r="O17">
        <v>17409371770.145</v>
      </c>
      <c r="P17">
        <v>7957401871.3004799</v>
      </c>
      <c r="Q17">
        <v>1694713789.3844199</v>
      </c>
      <c r="R17">
        <v>4309905878.0705795</v>
      </c>
      <c r="S17">
        <v>6004619667.4550104</v>
      </c>
      <c r="T17">
        <v>100240.446716766</v>
      </c>
      <c r="U17">
        <v>46582940331.753304</v>
      </c>
      <c r="V17">
        <v>73382885488.865601</v>
      </c>
      <c r="W17">
        <v>332900017802.479</v>
      </c>
      <c r="X17">
        <v>60417281767.760597</v>
      </c>
      <c r="Y17">
        <v>279241779811.28101</v>
      </c>
      <c r="Z17">
        <v>0.166819379117392</v>
      </c>
      <c r="AA17">
        <v>0.26279335971307699</v>
      </c>
      <c r="AB17">
        <v>0.238435446204634</v>
      </c>
    </row>
    <row r="18" spans="1:28" x14ac:dyDescent="0.25">
      <c r="A18">
        <v>2017</v>
      </c>
      <c r="B18" t="s">
        <v>236</v>
      </c>
      <c r="C18" t="s">
        <v>217</v>
      </c>
      <c r="D18">
        <v>6.6</v>
      </c>
      <c r="E18">
        <v>484141525416.43597</v>
      </c>
      <c r="F18">
        <v>164424571873.86099</v>
      </c>
      <c r="G18">
        <v>718899634453.72498</v>
      </c>
      <c r="H18">
        <v>136065136992.04601</v>
      </c>
      <c r="I18">
        <v>199796164480.582</v>
      </c>
      <c r="J18">
        <v>82.296160339875598</v>
      </c>
      <c r="K18">
        <v>15918676560.870001</v>
      </c>
      <c r="L18">
        <v>70584977309.771698</v>
      </c>
      <c r="M18">
        <v>209773097223.23999</v>
      </c>
      <c r="N18">
        <v>209773097223.23999</v>
      </c>
      <c r="O18">
        <v>17036239960.98</v>
      </c>
      <c r="P18">
        <v>8481037478.9200001</v>
      </c>
      <c r="Q18">
        <v>1726303402.3</v>
      </c>
      <c r="R18">
        <v>2897152608.0599999</v>
      </c>
      <c r="S18">
        <v>4623456010.3599997</v>
      </c>
      <c r="T18">
        <v>97466.997226108302</v>
      </c>
      <c r="U18">
        <v>49561483121.404099</v>
      </c>
      <c r="V18">
        <v>77920918003.219696</v>
      </c>
      <c r="W18">
        <v>319716953542.57397</v>
      </c>
      <c r="X18">
        <v>59136656189.749397</v>
      </c>
      <c r="Y18">
        <v>268909753412.98901</v>
      </c>
      <c r="Z18">
        <v>0.18430526409835399</v>
      </c>
      <c r="AA18">
        <v>0.289766053533764</v>
      </c>
      <c r="AB18">
        <v>0.228717005815149</v>
      </c>
    </row>
    <row r="19" spans="1:28" x14ac:dyDescent="0.25">
      <c r="A19">
        <v>2018</v>
      </c>
      <c r="B19" t="s">
        <v>236</v>
      </c>
      <c r="C19" t="s">
        <v>217</v>
      </c>
      <c r="D19">
        <v>6.6</v>
      </c>
      <c r="E19">
        <v>570036849535.36304</v>
      </c>
      <c r="F19">
        <v>197885329971.67599</v>
      </c>
      <c r="G19">
        <v>789921510187.45898</v>
      </c>
      <c r="H19">
        <v>167490724423.79599</v>
      </c>
      <c r="I19">
        <v>213363704097.871</v>
      </c>
      <c r="J19">
        <v>92.745544894039398</v>
      </c>
      <c r="K19">
        <v>16454135974.9035</v>
      </c>
      <c r="L19">
        <v>76120684622.310806</v>
      </c>
      <c r="M19">
        <v>230944653073.897</v>
      </c>
      <c r="N19">
        <v>230944653073.897</v>
      </c>
      <c r="O19">
        <v>21403883661.212399</v>
      </c>
      <c r="P19">
        <v>9398761236.7635994</v>
      </c>
      <c r="Q19">
        <v>2344301120.1145501</v>
      </c>
      <c r="R19">
        <v>3875594513.7322898</v>
      </c>
      <c r="S19">
        <v>6219895633.8468304</v>
      </c>
      <c r="T19">
        <v>94566.085657075993</v>
      </c>
      <c r="U19">
        <v>74915903826.582108</v>
      </c>
      <c r="V19">
        <v>105310509374.46201</v>
      </c>
      <c r="W19">
        <v>372151519563.68701</v>
      </c>
      <c r="X19">
        <v>67920030937.2724</v>
      </c>
      <c r="Y19">
        <v>298864684011.16998</v>
      </c>
      <c r="Z19">
        <v>0.250668305204579</v>
      </c>
      <c r="AA19">
        <v>0.35236853000177898</v>
      </c>
      <c r="AB19">
        <v>0.25051264893991199</v>
      </c>
    </row>
    <row r="20" spans="1:28" x14ac:dyDescent="0.25">
      <c r="A20">
        <v>2019</v>
      </c>
      <c r="B20" t="s">
        <v>236</v>
      </c>
      <c r="C20" t="s">
        <v>217</v>
      </c>
      <c r="D20">
        <v>6.6</v>
      </c>
      <c r="E20">
        <v>601651424497</v>
      </c>
      <c r="F20">
        <v>190772526038</v>
      </c>
      <c r="G20">
        <v>824315284444</v>
      </c>
      <c r="H20">
        <v>158331064110</v>
      </c>
      <c r="I20">
        <v>231932066194.29501</v>
      </c>
      <c r="J20">
        <v>82.253622437091295</v>
      </c>
      <c r="K20">
        <v>18470370583.307598</v>
      </c>
      <c r="L20">
        <v>80999471228</v>
      </c>
      <c r="M20">
        <v>259048160897</v>
      </c>
      <c r="N20">
        <v>259048160897</v>
      </c>
      <c r="O20">
        <v>30759048024</v>
      </c>
      <c r="P20">
        <v>10582877554</v>
      </c>
      <c r="Q20">
        <v>10715087960</v>
      </c>
      <c r="R20">
        <v>3917218825</v>
      </c>
      <c r="S20">
        <v>14632306785</v>
      </c>
      <c r="T20">
        <v>90481</v>
      </c>
      <c r="U20">
        <v>58861222298.692398</v>
      </c>
      <c r="V20">
        <v>91302684226.692398</v>
      </c>
      <c r="W20">
        <v>410878898459</v>
      </c>
      <c r="X20">
        <v>74527025710.151505</v>
      </c>
      <c r="Y20">
        <v>333575186607.151</v>
      </c>
      <c r="Z20">
        <v>0.176455637775038</v>
      </c>
      <c r="AA20">
        <v>0.273709460093082</v>
      </c>
      <c r="AB20">
        <v>0.231431503986579</v>
      </c>
    </row>
    <row r="21" spans="1:28" x14ac:dyDescent="0.25">
      <c r="A21">
        <v>2020</v>
      </c>
      <c r="B21" t="s">
        <v>236</v>
      </c>
      <c r="C21" t="s">
        <v>217</v>
      </c>
      <c r="D21">
        <v>6.6</v>
      </c>
      <c r="E21">
        <v>600817528391.49805</v>
      </c>
      <c r="F21">
        <v>182963110731.009</v>
      </c>
      <c r="G21">
        <v>838326089885.30701</v>
      </c>
      <c r="H21">
        <v>151400690838.54199</v>
      </c>
      <c r="I21" t="s">
        <v>219</v>
      </c>
      <c r="J21" t="s">
        <v>219</v>
      </c>
      <c r="K21">
        <v>19749525803.3465</v>
      </c>
      <c r="L21">
        <v>78278216489.303406</v>
      </c>
      <c r="M21">
        <v>296322600807.052</v>
      </c>
      <c r="N21">
        <v>296322600807.052</v>
      </c>
      <c r="O21">
        <v>40941559983.906898</v>
      </c>
      <c r="P21">
        <v>9808505040.4488697</v>
      </c>
      <c r="Q21">
        <v>3275448937.7523799</v>
      </c>
      <c r="R21">
        <v>2709351603.15066</v>
      </c>
      <c r="S21">
        <v>5984800540.9030504</v>
      </c>
      <c r="T21">
        <v>84764.464740720796</v>
      </c>
      <c r="U21">
        <v>53372948545.891701</v>
      </c>
      <c r="V21">
        <v>84935368438.358597</v>
      </c>
      <c r="W21">
        <v>417854417660.48901</v>
      </c>
      <c r="X21">
        <v>75171611234.817093</v>
      </c>
      <c r="Y21">
        <v>371494212041.86902</v>
      </c>
      <c r="Z21">
        <v>0.14367100971111799</v>
      </c>
      <c r="AA21">
        <v>0.22863174091333099</v>
      </c>
      <c r="AB21">
        <v>0.21824814107364801</v>
      </c>
    </row>
    <row r="22" spans="1:28" x14ac:dyDescent="0.25">
      <c r="A22">
        <v>2021</v>
      </c>
      <c r="B22" t="s">
        <v>236</v>
      </c>
      <c r="C22" t="s">
        <v>217</v>
      </c>
      <c r="D22">
        <v>6.6</v>
      </c>
      <c r="E22">
        <v>740451400483.521</v>
      </c>
      <c r="F22">
        <v>224974680121.47299</v>
      </c>
      <c r="G22">
        <v>1016152775933.4301</v>
      </c>
      <c r="H22">
        <v>214042309781.07999</v>
      </c>
      <c r="I22" t="s">
        <v>219</v>
      </c>
      <c r="J22" t="s">
        <v>219</v>
      </c>
      <c r="K22">
        <v>21739333748.875999</v>
      </c>
      <c r="L22">
        <v>84122098877.865601</v>
      </c>
      <c r="M22">
        <v>377193985828.289</v>
      </c>
      <c r="N22">
        <v>377193985828.289</v>
      </c>
      <c r="O22">
        <v>83942983585.564697</v>
      </c>
      <c r="P22">
        <v>18626904296.7775</v>
      </c>
      <c r="Q22">
        <v>3312365312.6912799</v>
      </c>
      <c r="R22">
        <v>6003788394.3875504</v>
      </c>
      <c r="S22">
        <v>9316153707.0788193</v>
      </c>
      <c r="T22">
        <v>86333.094378265305</v>
      </c>
      <c r="U22">
        <v>108180877154.339</v>
      </c>
      <c r="V22">
        <v>119113247494.73199</v>
      </c>
      <c r="W22">
        <v>515476720362.04797</v>
      </c>
      <c r="X22">
        <v>90848305945.441498</v>
      </c>
      <c r="Y22">
        <v>468042291773.72998</v>
      </c>
      <c r="Z22">
        <v>0.23113483344500299</v>
      </c>
      <c r="AA22">
        <v>0.25449248836751598</v>
      </c>
      <c r="AB22">
        <v>0.22139848008072699</v>
      </c>
    </row>
    <row r="23" spans="1:28" x14ac:dyDescent="0.25">
      <c r="A23">
        <v>2022</v>
      </c>
      <c r="B23" t="s">
        <v>236</v>
      </c>
      <c r="C23" t="s">
        <v>217</v>
      </c>
      <c r="D23">
        <v>6.6</v>
      </c>
      <c r="E23">
        <v>887448109461.11902</v>
      </c>
      <c r="F23">
        <v>265536050207.76501</v>
      </c>
      <c r="G23">
        <v>1082579648621.8199</v>
      </c>
      <c r="H23">
        <v>225309238021.16101</v>
      </c>
      <c r="I23" t="s">
        <v>219</v>
      </c>
      <c r="J23" t="s">
        <v>219</v>
      </c>
      <c r="K23">
        <v>21523441673.284</v>
      </c>
      <c r="L23">
        <v>95609914033.877808</v>
      </c>
      <c r="M23">
        <v>392603477898.92603</v>
      </c>
      <c r="N23">
        <v>392603477898.92603</v>
      </c>
      <c r="O23">
        <v>69687013752.249298</v>
      </c>
      <c r="P23">
        <v>17242949725.568802</v>
      </c>
      <c r="Q23">
        <v>4140576932.6812201</v>
      </c>
      <c r="R23">
        <v>5180380048.5410299</v>
      </c>
      <c r="S23">
        <v>9320956981.22225</v>
      </c>
      <c r="T23">
        <v>89467.506088785594</v>
      </c>
      <c r="U23">
        <v>108175882313.99899</v>
      </c>
      <c r="V23">
        <v>148402694500.603</v>
      </c>
      <c r="W23">
        <v>621912059253.354</v>
      </c>
      <c r="X23">
        <v>108715450498.065</v>
      </c>
      <c r="Y23">
        <v>501318928396.99103</v>
      </c>
      <c r="Z23">
        <v>0.21578256113309099</v>
      </c>
      <c r="AA23">
        <v>0.29602451871333302</v>
      </c>
      <c r="AB23">
        <v>0.24528084427395799</v>
      </c>
    </row>
    <row r="24" spans="1:28" x14ac:dyDescent="0.25">
      <c r="A24">
        <v>2023</v>
      </c>
      <c r="B24" t="s">
        <v>236</v>
      </c>
      <c r="C24" t="s">
        <v>217</v>
      </c>
      <c r="D24">
        <v>6.6</v>
      </c>
      <c r="E24">
        <v>809592502649.11304</v>
      </c>
      <c r="F24">
        <v>240127159755.69601</v>
      </c>
      <c r="G24">
        <v>1143758788706.0601</v>
      </c>
      <c r="H24">
        <v>198438673057.05099</v>
      </c>
      <c r="I24" t="s">
        <v>219</v>
      </c>
      <c r="J24" t="s">
        <v>219</v>
      </c>
      <c r="K24">
        <v>24684323791.2756</v>
      </c>
      <c r="L24">
        <v>104619799861.40601</v>
      </c>
      <c r="M24">
        <v>402462792005.25299</v>
      </c>
      <c r="N24">
        <v>402462792005.25299</v>
      </c>
      <c r="O24">
        <v>56457788625.375702</v>
      </c>
      <c r="P24">
        <v>38688155694.244598</v>
      </c>
      <c r="Q24">
        <v>3048451859.309</v>
      </c>
      <c r="R24">
        <v>4990645244.9849796</v>
      </c>
      <c r="S24">
        <v>8039097104.2939796</v>
      </c>
      <c r="T24">
        <v>89501.941393681205</v>
      </c>
      <c r="U24">
        <v>69134549404.368896</v>
      </c>
      <c r="V24">
        <v>110823036103.01401</v>
      </c>
      <c r="W24">
        <v>569465342893.41699</v>
      </c>
      <c r="X24">
        <v>102134112538.61</v>
      </c>
      <c r="Y24">
        <v>504596904543.86298</v>
      </c>
      <c r="Z24">
        <v>0.13700945999037401</v>
      </c>
      <c r="AA24">
        <v>0.21962686474106299</v>
      </c>
      <c r="AB24">
        <v>0.20994563025596799</v>
      </c>
    </row>
    <row r="25" spans="1:28" x14ac:dyDescent="0.25">
      <c r="A25">
        <v>2024</v>
      </c>
      <c r="B25" t="s">
        <v>236</v>
      </c>
      <c r="C25" t="s">
        <v>217</v>
      </c>
      <c r="D25">
        <v>6.6</v>
      </c>
      <c r="E25">
        <v>858071607633.11902</v>
      </c>
      <c r="F25">
        <v>263970325327.66501</v>
      </c>
      <c r="G25">
        <v>1257042954849.99</v>
      </c>
      <c r="H25">
        <v>218600717990.66101</v>
      </c>
      <c r="I25" t="s">
        <v>219</v>
      </c>
      <c r="J25" t="s">
        <v>219</v>
      </c>
      <c r="K25">
        <v>27515759179.244099</v>
      </c>
      <c r="L25">
        <v>112924265631.88699</v>
      </c>
      <c r="M25">
        <v>436965957591.82397</v>
      </c>
      <c r="N25">
        <v>436965957591.82397</v>
      </c>
      <c r="O25">
        <v>43801057524.488998</v>
      </c>
      <c r="P25">
        <v>22430814377.730701</v>
      </c>
      <c r="Q25">
        <v>2213301432.9945798</v>
      </c>
      <c r="R25">
        <v>6190763386.0507202</v>
      </c>
      <c r="S25">
        <v>8404064819.0452995</v>
      </c>
      <c r="T25">
        <v>90863.927158021295</v>
      </c>
      <c r="U25">
        <v>78160693179.529999</v>
      </c>
      <c r="V25">
        <v>123530300516.534</v>
      </c>
      <c r="W25">
        <v>594101282305.45398</v>
      </c>
      <c r="X25">
        <v>107125083020.80901</v>
      </c>
      <c r="Y25">
        <v>544091040612.633</v>
      </c>
      <c r="Z25">
        <v>0.14365370378369599</v>
      </c>
      <c r="AA25">
        <v>0.227039762274787</v>
      </c>
      <c r="AB25">
        <v>0.20999308282123599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25"/>
  <sheetViews>
    <sheetView topLeftCell="L1" workbookViewId="0">
      <pane ySplit="1" topLeftCell="A2" activePane="bottomLeft" state="frozen"/>
      <selection pane="bottomLeft" activeCell="X1" sqref="X1:X1048576"/>
    </sheetView>
  </sheetViews>
  <sheetFormatPr baseColWidth="10" defaultRowHeight="15" x14ac:dyDescent="0.25"/>
  <sheetData>
    <row r="1" spans="1:27" s="1" customFormat="1" ht="45" x14ac:dyDescent="0.25">
      <c r="A1" s="1" t="s">
        <v>52</v>
      </c>
      <c r="B1" s="1" t="s">
        <v>61</v>
      </c>
      <c r="C1" s="1" t="s">
        <v>57</v>
      </c>
      <c r="D1" s="1" t="s">
        <v>71</v>
      </c>
      <c r="E1" s="1" t="s">
        <v>166</v>
      </c>
      <c r="F1" s="1" t="s">
        <v>171</v>
      </c>
      <c r="G1" s="1" t="s">
        <v>75</v>
      </c>
      <c r="H1" s="1" t="s">
        <v>82</v>
      </c>
      <c r="I1" s="1" t="s">
        <v>123</v>
      </c>
      <c r="J1" s="1" t="s">
        <v>111</v>
      </c>
      <c r="K1" s="1" t="s">
        <v>174</v>
      </c>
      <c r="L1" s="1" t="s">
        <v>117</v>
      </c>
      <c r="M1" s="1" t="s">
        <v>120</v>
      </c>
      <c r="N1" s="1" t="s">
        <v>96</v>
      </c>
      <c r="O1" s="1" t="s">
        <v>99</v>
      </c>
      <c r="P1" s="1" t="s">
        <v>102</v>
      </c>
      <c r="Q1" s="1" t="s">
        <v>104</v>
      </c>
      <c r="R1" s="1" t="s">
        <v>107</v>
      </c>
      <c r="S1" s="1" t="s">
        <v>89</v>
      </c>
      <c r="T1" s="1" t="s">
        <v>178</v>
      </c>
      <c r="U1" s="1" t="s">
        <v>181</v>
      </c>
      <c r="V1" s="1" t="s">
        <v>184</v>
      </c>
      <c r="W1" s="1" t="s">
        <v>187</v>
      </c>
      <c r="X1" s="1" t="s">
        <v>144</v>
      </c>
      <c r="Y1" s="1" t="s">
        <v>190</v>
      </c>
      <c r="Z1" s="1" t="s">
        <v>193</v>
      </c>
      <c r="AA1" s="1" t="s">
        <v>204</v>
      </c>
    </row>
    <row r="2" spans="1:27" x14ac:dyDescent="0.25">
      <c r="A2">
        <v>2001</v>
      </c>
      <c r="B2" t="s">
        <v>23</v>
      </c>
      <c r="C2" t="s">
        <v>23</v>
      </c>
      <c r="D2">
        <v>4.2</v>
      </c>
      <c r="E2">
        <v>0.68734765358136096</v>
      </c>
      <c r="F2">
        <v>0.64312532674302503</v>
      </c>
      <c r="G2">
        <v>327047561490.49799</v>
      </c>
      <c r="H2">
        <v>154165794336.93701</v>
      </c>
      <c r="I2">
        <v>142976234951.789</v>
      </c>
      <c r="J2">
        <v>13783918444.523399</v>
      </c>
      <c r="K2">
        <v>76067651149.349701</v>
      </c>
      <c r="L2">
        <v>180187551895.58499</v>
      </c>
      <c r="M2">
        <v>180187551895.58499</v>
      </c>
      <c r="N2">
        <v>22673425767.584</v>
      </c>
      <c r="O2">
        <v>7618834475.8495998</v>
      </c>
      <c r="P2">
        <v>4621258228.5683298</v>
      </c>
      <c r="Q2" t="s">
        <v>219</v>
      </c>
      <c r="R2" t="s">
        <v>219</v>
      </c>
      <c r="S2">
        <v>538624</v>
      </c>
      <c r="T2">
        <v>53124665357.915703</v>
      </c>
      <c r="U2">
        <v>64314224743.0634</v>
      </c>
      <c r="V2">
        <v>172881767153.56201</v>
      </c>
      <c r="W2">
        <v>59273671024.5028</v>
      </c>
      <c r="X2">
        <v>239461222920.08801</v>
      </c>
      <c r="Y2">
        <v>0.22185080619773001</v>
      </c>
      <c r="Z2">
        <v>0.26857887034397299</v>
      </c>
      <c r="AA2">
        <v>286221.54663909599</v>
      </c>
    </row>
    <row r="3" spans="1:27" x14ac:dyDescent="0.25">
      <c r="A3">
        <v>2002</v>
      </c>
      <c r="B3" t="s">
        <v>23</v>
      </c>
      <c r="C3" t="s">
        <v>23</v>
      </c>
      <c r="D3">
        <v>4.2</v>
      </c>
      <c r="E3">
        <v>0.77406533491190999</v>
      </c>
      <c r="F3">
        <v>0.73294995485005499</v>
      </c>
      <c r="G3">
        <v>294927610049.84198</v>
      </c>
      <c r="H3">
        <v>137396409153.37399</v>
      </c>
      <c r="I3">
        <v>126581027675.629</v>
      </c>
      <c r="J3">
        <v>14422401330.3353</v>
      </c>
      <c r="K3">
        <v>58152454917.225098</v>
      </c>
      <c r="L3" t="s">
        <v>219</v>
      </c>
      <c r="M3">
        <v>158642871145.62201</v>
      </c>
      <c r="N3" t="s">
        <v>219</v>
      </c>
      <c r="O3" t="s">
        <v>219</v>
      </c>
      <c r="P3" t="s">
        <v>219</v>
      </c>
      <c r="Q3" t="s">
        <v>219</v>
      </c>
      <c r="R3" t="s">
        <v>219</v>
      </c>
      <c r="S3">
        <v>339997</v>
      </c>
      <c r="T3">
        <v>54006171428.068604</v>
      </c>
      <c r="U3">
        <v>64821552905.813202</v>
      </c>
      <c r="V3">
        <v>157531200896.46799</v>
      </c>
      <c r="W3">
        <v>51353251384.2127</v>
      </c>
      <c r="X3">
        <v>209996122529.83499</v>
      </c>
      <c r="Y3">
        <v>0.25717699344851402</v>
      </c>
      <c r="Z3">
        <v>0.30867976096369998</v>
      </c>
      <c r="AA3">
        <v>404110.65142743499</v>
      </c>
    </row>
    <row r="4" spans="1:27" x14ac:dyDescent="0.25">
      <c r="A4">
        <v>2003</v>
      </c>
      <c r="B4" t="s">
        <v>23</v>
      </c>
      <c r="C4" t="s">
        <v>23</v>
      </c>
      <c r="D4">
        <v>4.2</v>
      </c>
      <c r="E4">
        <v>0.90210839846924895</v>
      </c>
      <c r="F4">
        <v>0.87495841452402501</v>
      </c>
      <c r="G4">
        <v>313444099621.29303</v>
      </c>
      <c r="H4">
        <v>130229029534.974</v>
      </c>
      <c r="I4">
        <v>120217661154.201</v>
      </c>
      <c r="J4">
        <v>17057839009.271299</v>
      </c>
      <c r="K4">
        <v>50842738841.708099</v>
      </c>
      <c r="L4">
        <v>142841455671.685</v>
      </c>
      <c r="M4">
        <v>142841455671.685</v>
      </c>
      <c r="N4">
        <v>16560124016.525499</v>
      </c>
      <c r="O4">
        <v>10596038709.1173</v>
      </c>
      <c r="P4">
        <v>6391329161.5326204</v>
      </c>
      <c r="Q4" t="s">
        <v>219</v>
      </c>
      <c r="R4" t="s">
        <v>219</v>
      </c>
      <c r="S4">
        <v>345219</v>
      </c>
      <c r="T4">
        <v>52317083303.221497</v>
      </c>
      <c r="U4">
        <v>62328451683.994698</v>
      </c>
      <c r="V4">
        <v>183215070086.319</v>
      </c>
      <c r="W4">
        <v>55728049744.768204</v>
      </c>
      <c r="X4">
        <v>198569505416.453</v>
      </c>
      <c r="Y4">
        <v>0.263469877680858</v>
      </c>
      <c r="Z4">
        <v>0.31388732904015298</v>
      </c>
      <c r="AA4">
        <v>377235.985084755</v>
      </c>
    </row>
    <row r="5" spans="1:27" x14ac:dyDescent="0.25">
      <c r="A5">
        <v>2004</v>
      </c>
      <c r="B5" t="s">
        <v>23</v>
      </c>
      <c r="C5" t="s">
        <v>23</v>
      </c>
      <c r="D5">
        <v>4.2</v>
      </c>
      <c r="E5">
        <v>0.99326695734614601</v>
      </c>
      <c r="F5">
        <v>0.95508768594648497</v>
      </c>
      <c r="G5">
        <v>344808581762.42102</v>
      </c>
      <c r="H5">
        <v>138179041145.90399</v>
      </c>
      <c r="I5">
        <v>126808003821.442</v>
      </c>
      <c r="J5">
        <v>17459299951.2784</v>
      </c>
      <c r="K5">
        <v>50265006018.190804</v>
      </c>
      <c r="L5">
        <v>188609135253.569</v>
      </c>
      <c r="M5">
        <v>188609135253.569</v>
      </c>
      <c r="N5">
        <v>21098739848.341499</v>
      </c>
      <c r="O5">
        <v>11156781296.348</v>
      </c>
      <c r="P5">
        <v>2388712480.0157399</v>
      </c>
      <c r="Q5">
        <v>3815235701.71415</v>
      </c>
      <c r="R5">
        <v>6203948181.7298899</v>
      </c>
      <c r="S5">
        <v>348339</v>
      </c>
      <c r="T5">
        <v>59083697851.972702</v>
      </c>
      <c r="U5">
        <v>70454735176.434799</v>
      </c>
      <c r="V5">
        <v>206629540616.517</v>
      </c>
      <c r="W5">
        <v>61165368246.3591</v>
      </c>
      <c r="X5">
        <v>249774503499.92801</v>
      </c>
      <c r="Y5">
        <v>0.23654815453167199</v>
      </c>
      <c r="Z5">
        <v>0.282073366933768</v>
      </c>
      <c r="AA5">
        <v>396679.78936008899</v>
      </c>
    </row>
    <row r="6" spans="1:27" x14ac:dyDescent="0.25">
      <c r="A6">
        <v>2005</v>
      </c>
      <c r="B6" t="s">
        <v>23</v>
      </c>
      <c r="C6" t="s">
        <v>23</v>
      </c>
      <c r="D6">
        <v>4.2</v>
      </c>
      <c r="E6">
        <v>1</v>
      </c>
      <c r="F6">
        <v>1</v>
      </c>
      <c r="G6">
        <v>370267989847</v>
      </c>
      <c r="H6">
        <v>152188634950</v>
      </c>
      <c r="I6">
        <v>140218243181.702</v>
      </c>
      <c r="J6">
        <v>17296133580</v>
      </c>
      <c r="K6">
        <v>56739334938</v>
      </c>
      <c r="L6">
        <v>239076254150</v>
      </c>
      <c r="M6">
        <v>239076254150</v>
      </c>
      <c r="N6">
        <v>22308747111</v>
      </c>
      <c r="O6">
        <v>6242564037</v>
      </c>
      <c r="P6">
        <v>3786737908</v>
      </c>
      <c r="Q6">
        <v>3985038215</v>
      </c>
      <c r="R6">
        <v>7771776123</v>
      </c>
      <c r="S6">
        <v>391484</v>
      </c>
      <c r="T6">
        <v>66182774663.702003</v>
      </c>
      <c r="U6">
        <v>78153166432</v>
      </c>
      <c r="V6">
        <v>218079354897</v>
      </c>
      <c r="W6">
        <v>65433021389.285698</v>
      </c>
      <c r="X6">
        <v>304509275539.28601</v>
      </c>
      <c r="Y6">
        <v>0.21734239308964301</v>
      </c>
      <c r="Z6">
        <v>0.256652827056223</v>
      </c>
      <c r="AA6">
        <v>388748.03299751697</v>
      </c>
    </row>
    <row r="7" spans="1:27" x14ac:dyDescent="0.25">
      <c r="A7">
        <v>2006</v>
      </c>
      <c r="B7" t="s">
        <v>23</v>
      </c>
      <c r="C7" t="s">
        <v>23</v>
      </c>
      <c r="D7">
        <v>4.2</v>
      </c>
      <c r="E7">
        <v>1.0653333463425101</v>
      </c>
      <c r="F7">
        <v>1.06397034361485</v>
      </c>
      <c r="G7">
        <v>315809897921.63202</v>
      </c>
      <c r="H7">
        <v>123257339581.55701</v>
      </c>
      <c r="I7">
        <v>113037684373.71899</v>
      </c>
      <c r="J7">
        <v>16066780767.094299</v>
      </c>
      <c r="K7">
        <v>44514640547.490196</v>
      </c>
      <c r="L7">
        <v>217478594751.866</v>
      </c>
      <c r="M7">
        <v>217478594751.866</v>
      </c>
      <c r="N7">
        <v>17976270434.1824</v>
      </c>
      <c r="O7">
        <v>9445813415.2890892</v>
      </c>
      <c r="P7">
        <v>3033765888.6064601</v>
      </c>
      <c r="Q7">
        <v>2751827468.2870202</v>
      </c>
      <c r="R7">
        <v>5785593356.8934803</v>
      </c>
      <c r="S7">
        <v>205952.961336543</v>
      </c>
      <c r="T7">
        <v>52456263059.134804</v>
      </c>
      <c r="U7">
        <v>62675918266.972198</v>
      </c>
      <c r="V7">
        <v>192552558340.07599</v>
      </c>
      <c r="W7">
        <v>56444571163.7061</v>
      </c>
      <c r="X7">
        <v>273923165915.57199</v>
      </c>
      <c r="Y7">
        <v>0.19149991525471299</v>
      </c>
      <c r="Z7">
        <v>0.22880838886876001</v>
      </c>
      <c r="AA7">
        <v>598473.25710527098</v>
      </c>
    </row>
    <row r="8" spans="1:27" x14ac:dyDescent="0.25">
      <c r="A8">
        <v>2007</v>
      </c>
      <c r="B8" t="s">
        <v>23</v>
      </c>
      <c r="C8" t="s">
        <v>23</v>
      </c>
      <c r="D8">
        <v>4.2</v>
      </c>
      <c r="E8">
        <v>1.1656608316719199</v>
      </c>
      <c r="F8">
        <v>1.1503255548690701</v>
      </c>
      <c r="G8">
        <v>412958132102.91998</v>
      </c>
      <c r="H8">
        <v>168915945027.38</v>
      </c>
      <c r="I8">
        <v>155608063529.836</v>
      </c>
      <c r="J8">
        <v>18831356176.266998</v>
      </c>
      <c r="K8">
        <v>66038346777.618896</v>
      </c>
      <c r="L8">
        <v>250463583274.79001</v>
      </c>
      <c r="M8">
        <v>250463583274.79001</v>
      </c>
      <c r="N8">
        <v>33336678336.5807</v>
      </c>
      <c r="O8">
        <v>14894935230.124001</v>
      </c>
      <c r="P8">
        <v>3472049396.7757502</v>
      </c>
      <c r="Q8">
        <v>4618980708.3091497</v>
      </c>
      <c r="R8">
        <v>8091030105.0848999</v>
      </c>
      <c r="S8">
        <v>384437.89351483202</v>
      </c>
      <c r="T8">
        <v>70738360575.9496</v>
      </c>
      <c r="U8">
        <v>84046242073.494095</v>
      </c>
      <c r="V8">
        <v>244042187075.54001</v>
      </c>
      <c r="W8">
        <v>73828698536.4664</v>
      </c>
      <c r="X8">
        <v>324292281811.25598</v>
      </c>
      <c r="Y8">
        <v>0.21813149600988799</v>
      </c>
      <c r="Z8">
        <v>0.25916818495979599</v>
      </c>
      <c r="AA8">
        <v>439384.22272325499</v>
      </c>
    </row>
    <row r="9" spans="1:27" x14ac:dyDescent="0.25">
      <c r="A9">
        <v>2008</v>
      </c>
      <c r="B9" t="s">
        <v>23</v>
      </c>
      <c r="C9" t="s">
        <v>23</v>
      </c>
      <c r="D9">
        <v>4.2</v>
      </c>
      <c r="E9">
        <v>1.25918805295632</v>
      </c>
      <c r="F9">
        <v>1.24091060310822</v>
      </c>
      <c r="G9">
        <v>444051463031.17102</v>
      </c>
      <c r="H9">
        <v>163510317643.125</v>
      </c>
      <c r="I9">
        <v>149520202970.98901</v>
      </c>
      <c r="J9">
        <v>20073768870.1264</v>
      </c>
      <c r="K9">
        <v>75925198872.307404</v>
      </c>
      <c r="L9">
        <v>264814360660.73599</v>
      </c>
      <c r="M9">
        <v>264814360660.73599</v>
      </c>
      <c r="N9">
        <v>34395351461.4179</v>
      </c>
      <c r="O9">
        <v>21378241153.854599</v>
      </c>
      <c r="P9">
        <v>7158444191.0923405</v>
      </c>
      <c r="Q9">
        <v>5853872122.5381699</v>
      </c>
      <c r="R9">
        <v>13012316313.630501</v>
      </c>
      <c r="S9">
        <v>436444.30388273002</v>
      </c>
      <c r="T9">
        <v>53521235228.554802</v>
      </c>
      <c r="U9">
        <v>67511349900.6912</v>
      </c>
      <c r="V9">
        <v>280541145388.04602</v>
      </c>
      <c r="W9">
        <v>84872939109.607803</v>
      </c>
      <c r="X9">
        <v>349687299770.34399</v>
      </c>
      <c r="Y9">
        <v>0.15305455835457801</v>
      </c>
      <c r="Z9">
        <v>0.193062058430572</v>
      </c>
      <c r="AA9">
        <v>374641.88715144602</v>
      </c>
    </row>
    <row r="10" spans="1:27" x14ac:dyDescent="0.25">
      <c r="A10">
        <v>2009</v>
      </c>
      <c r="B10" t="s">
        <v>23</v>
      </c>
      <c r="C10" t="s">
        <v>23</v>
      </c>
      <c r="D10">
        <v>4.2</v>
      </c>
      <c r="E10">
        <v>1.35674417719499</v>
      </c>
      <c r="F10">
        <v>1.32854902333539</v>
      </c>
      <c r="G10">
        <v>421984707557.435</v>
      </c>
      <c r="H10">
        <v>172952578954.61899</v>
      </c>
      <c r="I10">
        <v>160001754190.85699</v>
      </c>
      <c r="J10">
        <v>19670768121.2071</v>
      </c>
      <c r="K10">
        <v>88147980277.519501</v>
      </c>
      <c r="L10">
        <v>255312681216.151</v>
      </c>
      <c r="M10">
        <v>255312681216.151</v>
      </c>
      <c r="N10">
        <v>27636259668.067402</v>
      </c>
      <c r="O10">
        <v>15906829130.400101</v>
      </c>
      <c r="P10">
        <v>7134275003.5327997</v>
      </c>
      <c r="Q10">
        <v>3113281083.5651999</v>
      </c>
      <c r="R10">
        <v>10247556087.098</v>
      </c>
      <c r="S10">
        <v>477461.01271908398</v>
      </c>
      <c r="T10">
        <v>52183005792.130096</v>
      </c>
      <c r="U10">
        <v>65133830555.892303</v>
      </c>
      <c r="V10">
        <v>249032128602.81601</v>
      </c>
      <c r="W10">
        <v>80280978304.841705</v>
      </c>
      <c r="X10">
        <v>335593659520.992</v>
      </c>
      <c r="Y10">
        <v>0.15549461174747201</v>
      </c>
      <c r="Z10">
        <v>0.194085402712497</v>
      </c>
      <c r="AA10">
        <v>362233.92978135397</v>
      </c>
    </row>
    <row r="11" spans="1:27" x14ac:dyDescent="0.25">
      <c r="A11">
        <v>2010</v>
      </c>
      <c r="B11" t="s">
        <v>23</v>
      </c>
      <c r="C11" t="s">
        <v>23</v>
      </c>
      <c r="D11">
        <v>4.2</v>
      </c>
      <c r="E11">
        <v>1.4233199568561401</v>
      </c>
      <c r="F11">
        <v>1.4175181787937801</v>
      </c>
      <c r="G11">
        <v>498429663963.77301</v>
      </c>
      <c r="H11">
        <v>216609946771.758</v>
      </c>
      <c r="I11">
        <v>201103865854.55099</v>
      </c>
      <c r="J11">
        <v>22328273200.677799</v>
      </c>
      <c r="K11">
        <v>102069762430.69501</v>
      </c>
      <c r="L11">
        <v>315527231697.43701</v>
      </c>
      <c r="M11">
        <v>315527231697.43701</v>
      </c>
      <c r="N11">
        <v>42911503273.277</v>
      </c>
      <c r="O11">
        <v>24639826163.442299</v>
      </c>
      <c r="P11">
        <v>6565913794.1912098</v>
      </c>
      <c r="Q11">
        <v>10377545658.769199</v>
      </c>
      <c r="R11">
        <v>16943459452.9604</v>
      </c>
      <c r="S11">
        <v>522282.76830256899</v>
      </c>
      <c r="T11">
        <v>76705830223.177704</v>
      </c>
      <c r="U11">
        <v>92211911140.384796</v>
      </c>
      <c r="V11">
        <v>281819717192.01599</v>
      </c>
      <c r="W11">
        <v>91402257053.026306</v>
      </c>
      <c r="X11">
        <v>406929488750.46399</v>
      </c>
      <c r="Y11">
        <v>0.18849907009372599</v>
      </c>
      <c r="Z11">
        <v>0.22660415057049499</v>
      </c>
      <c r="AA11">
        <v>414736.92014719301</v>
      </c>
    </row>
    <row r="12" spans="1:27" x14ac:dyDescent="0.25">
      <c r="A12">
        <v>2011</v>
      </c>
      <c r="B12" t="s">
        <v>23</v>
      </c>
      <c r="C12" t="s">
        <v>23</v>
      </c>
      <c r="D12">
        <v>4.2</v>
      </c>
      <c r="E12">
        <v>1.5515564668378901</v>
      </c>
      <c r="F12">
        <v>1.5322465662278399</v>
      </c>
      <c r="G12">
        <v>497241704055.198</v>
      </c>
      <c r="H12">
        <v>212502171084.89999</v>
      </c>
      <c r="I12">
        <v>197540801891.776</v>
      </c>
      <c r="J12">
        <v>20298011222.7836</v>
      </c>
      <c r="K12">
        <v>112886915966.25301</v>
      </c>
      <c r="L12" t="s">
        <v>219</v>
      </c>
      <c r="M12">
        <v>299881018656.55902</v>
      </c>
      <c r="N12" t="s">
        <v>219</v>
      </c>
      <c r="O12" t="s">
        <v>219</v>
      </c>
      <c r="P12" t="s">
        <v>219</v>
      </c>
      <c r="Q12" t="s">
        <v>219</v>
      </c>
      <c r="R12" t="s">
        <v>219</v>
      </c>
      <c r="S12">
        <v>542457.77004517801</v>
      </c>
      <c r="T12">
        <v>64355874702.738998</v>
      </c>
      <c r="U12">
        <v>79317243895.863205</v>
      </c>
      <c r="V12">
        <v>284739532970.29797</v>
      </c>
      <c r="W12">
        <v>94672964032.512207</v>
      </c>
      <c r="X12">
        <v>394553982689.07098</v>
      </c>
      <c r="Y12">
        <v>0.16311044249033699</v>
      </c>
      <c r="Z12">
        <v>0.20103014384819801</v>
      </c>
      <c r="AA12">
        <v>391739.565399168</v>
      </c>
    </row>
    <row r="13" spans="1:27" x14ac:dyDescent="0.25">
      <c r="A13">
        <v>2012</v>
      </c>
      <c r="B13" t="s">
        <v>23</v>
      </c>
      <c r="C13" t="s">
        <v>23</v>
      </c>
      <c r="D13">
        <v>4.2</v>
      </c>
      <c r="E13">
        <v>1.68433171334606</v>
      </c>
      <c r="F13">
        <v>1.65633762653866</v>
      </c>
      <c r="G13">
        <v>539511353937.97302</v>
      </c>
      <c r="H13">
        <v>226086094148.38101</v>
      </c>
      <c r="I13">
        <v>210429371062.526</v>
      </c>
      <c r="J13">
        <v>20847322651.483501</v>
      </c>
      <c r="K13">
        <v>123392637065.709</v>
      </c>
      <c r="L13">
        <v>291086984568.22198</v>
      </c>
      <c r="M13">
        <v>291086984568.22198</v>
      </c>
      <c r="N13">
        <v>41798522420.492798</v>
      </c>
      <c r="O13">
        <v>23697697721.0369</v>
      </c>
      <c r="P13">
        <v>9747760929.2834606</v>
      </c>
      <c r="Q13">
        <v>6053549741.4881897</v>
      </c>
      <c r="R13">
        <v>15801310670.7717</v>
      </c>
      <c r="S13">
        <v>564843.79721153295</v>
      </c>
      <c r="T13">
        <v>66189411345.3339</v>
      </c>
      <c r="U13">
        <v>81846134431.1884</v>
      </c>
      <c r="V13">
        <v>313425259789.59198</v>
      </c>
      <c r="W13">
        <v>104004261156.024</v>
      </c>
      <c r="X13">
        <v>395091245724.24597</v>
      </c>
      <c r="Y13">
        <v>0.16752943038259799</v>
      </c>
      <c r="Z13">
        <v>0.20715754984941601</v>
      </c>
      <c r="AA13">
        <v>400263.03778938699</v>
      </c>
    </row>
    <row r="14" spans="1:27" x14ac:dyDescent="0.25">
      <c r="A14">
        <v>2013</v>
      </c>
      <c r="B14" t="s">
        <v>23</v>
      </c>
      <c r="C14" t="s">
        <v>23</v>
      </c>
      <c r="D14">
        <v>4.2</v>
      </c>
      <c r="E14">
        <v>1.82166757075506</v>
      </c>
      <c r="F14">
        <v>1.7983936124708899</v>
      </c>
      <c r="G14">
        <v>565213208309.63098</v>
      </c>
      <c r="H14">
        <v>245071350946.01801</v>
      </c>
      <c r="I14">
        <v>228714264435.95401</v>
      </c>
      <c r="J14">
        <v>20311802708.117001</v>
      </c>
      <c r="K14">
        <v>133295248216.71899</v>
      </c>
      <c r="L14">
        <v>302951406304.58502</v>
      </c>
      <c r="M14">
        <v>302951406304.58502</v>
      </c>
      <c r="N14">
        <v>52497097422.556396</v>
      </c>
      <c r="O14">
        <v>29095723096.333</v>
      </c>
      <c r="P14">
        <v>7721324713.4902496</v>
      </c>
      <c r="Q14">
        <v>14040362434.900101</v>
      </c>
      <c r="R14">
        <v>21761687148.3904</v>
      </c>
      <c r="S14">
        <v>592299.20796363696</v>
      </c>
      <c r="T14">
        <v>75107213511.117706</v>
      </c>
      <c r="U14">
        <v>91464300021.1819</v>
      </c>
      <c r="V14">
        <v>320141857363.61401</v>
      </c>
      <c r="W14">
        <v>107961215614.36501</v>
      </c>
      <c r="X14">
        <v>410912621918.95001</v>
      </c>
      <c r="Y14">
        <v>0.18278147105914899</v>
      </c>
      <c r="Z14">
        <v>0.22258819793377599</v>
      </c>
      <c r="AA14">
        <v>413762.75310005702</v>
      </c>
    </row>
    <row r="15" spans="1:27" x14ac:dyDescent="0.25">
      <c r="A15">
        <v>2014</v>
      </c>
      <c r="B15" t="s">
        <v>23</v>
      </c>
      <c r="C15" t="s">
        <v>23</v>
      </c>
      <c r="D15">
        <v>4.2</v>
      </c>
      <c r="E15">
        <v>1.9923987435385999</v>
      </c>
      <c r="F15">
        <v>1.9580343139584599</v>
      </c>
      <c r="G15">
        <v>601944759840.70801</v>
      </c>
      <c r="H15">
        <v>263663009526.84</v>
      </c>
      <c r="I15">
        <v>246172934480.685</v>
      </c>
      <c r="J15">
        <v>22243944890.983398</v>
      </c>
      <c r="K15">
        <v>143473806184.35999</v>
      </c>
      <c r="L15">
        <v>339497553241.99298</v>
      </c>
      <c r="M15">
        <v>339497553241.99298</v>
      </c>
      <c r="N15">
        <v>79917724434.113098</v>
      </c>
      <c r="O15">
        <v>53158212331.118698</v>
      </c>
      <c r="P15">
        <v>8386956529.0026798</v>
      </c>
      <c r="Q15">
        <v>30396839738.620899</v>
      </c>
      <c r="R15">
        <v>38783796267.623596</v>
      </c>
      <c r="S15">
        <v>616859.34631394595</v>
      </c>
      <c r="T15">
        <v>80455183405.341507</v>
      </c>
      <c r="U15">
        <v>97945258451.496994</v>
      </c>
      <c r="V15">
        <v>338281750313.867</v>
      </c>
      <c r="W15">
        <v>114703703928.149</v>
      </c>
      <c r="X15">
        <v>454201257170.14203</v>
      </c>
      <c r="Y15">
        <v>0.177135536582637</v>
      </c>
      <c r="Z15">
        <v>0.21564286074797701</v>
      </c>
      <c r="AA15">
        <v>427428.08567684499</v>
      </c>
    </row>
    <row r="16" spans="1:27" x14ac:dyDescent="0.25">
      <c r="A16">
        <v>2015</v>
      </c>
      <c r="B16" t="s">
        <v>23</v>
      </c>
      <c r="C16" t="s">
        <v>23</v>
      </c>
      <c r="D16">
        <v>4.2</v>
      </c>
      <c r="E16">
        <v>2.1720390055257699</v>
      </c>
      <c r="F16">
        <v>2.1277030559384098</v>
      </c>
      <c r="G16">
        <v>616386171922.96802</v>
      </c>
      <c r="H16">
        <v>279556464827.35699</v>
      </c>
      <c r="I16">
        <v>261098284442.07199</v>
      </c>
      <c r="J16">
        <v>24580847510.709999</v>
      </c>
      <c r="K16">
        <v>149494533350.98801</v>
      </c>
      <c r="L16">
        <v>338880410942.50598</v>
      </c>
      <c r="M16">
        <v>338880410942.50598</v>
      </c>
      <c r="N16">
        <v>48445194629.505302</v>
      </c>
      <c r="O16">
        <v>27033154605.878799</v>
      </c>
      <c r="P16">
        <v>5752945558.3842897</v>
      </c>
      <c r="Q16">
        <v>7330917258.0096102</v>
      </c>
      <c r="R16">
        <v>13083862816.3939</v>
      </c>
      <c r="S16">
        <v>618979.93437246</v>
      </c>
      <c r="T16">
        <v>87022903580.374207</v>
      </c>
      <c r="U16">
        <v>105481083965.659</v>
      </c>
      <c r="V16">
        <v>336829707095.61102</v>
      </c>
      <c r="W16">
        <v>115791485820.619</v>
      </c>
      <c r="X16">
        <v>454671896763.125</v>
      </c>
      <c r="Y16">
        <v>0.19139714638160599</v>
      </c>
      <c r="Z16">
        <v>0.231993850327224</v>
      </c>
      <c r="AA16">
        <v>451640.593342949</v>
      </c>
    </row>
    <row r="17" spans="1:27" x14ac:dyDescent="0.25">
      <c r="A17">
        <v>2016</v>
      </c>
      <c r="B17" t="s">
        <v>23</v>
      </c>
      <c r="C17" t="s">
        <v>23</v>
      </c>
      <c r="D17">
        <v>4.2</v>
      </c>
      <c r="E17">
        <v>2.3315859340805098</v>
      </c>
      <c r="F17">
        <v>2.3328263865785801</v>
      </c>
      <c r="G17">
        <v>601568123482.20703</v>
      </c>
      <c r="H17">
        <v>279499353164.52301</v>
      </c>
      <c r="I17">
        <v>261573809001.54501</v>
      </c>
      <c r="J17">
        <v>23525871899.742699</v>
      </c>
      <c r="K17">
        <v>150434530297.62399</v>
      </c>
      <c r="L17">
        <v>345696658993.76801</v>
      </c>
      <c r="M17">
        <v>345696658993.76801</v>
      </c>
      <c r="N17">
        <v>44598128849.614799</v>
      </c>
      <c r="O17">
        <v>21169703935.2397</v>
      </c>
      <c r="P17">
        <v>4173182552.8534098</v>
      </c>
      <c r="Q17">
        <v>6825165143.4177904</v>
      </c>
      <c r="R17">
        <v>10998347696.2712</v>
      </c>
      <c r="S17">
        <v>614484.09328464395</v>
      </c>
      <c r="T17">
        <v>87613406804.178101</v>
      </c>
      <c r="U17">
        <v>105538950967.15601</v>
      </c>
      <c r="V17">
        <v>322068770317.68298</v>
      </c>
      <c r="W17">
        <v>112500785860.787</v>
      </c>
      <c r="X17">
        <v>458197444854.55499</v>
      </c>
      <c r="Y17">
        <v>0.191213215586545</v>
      </c>
      <c r="Z17">
        <v>0.23033509276913899</v>
      </c>
      <c r="AA17">
        <v>454852.05592629098</v>
      </c>
    </row>
    <row r="18" spans="1:27" x14ac:dyDescent="0.25">
      <c r="A18">
        <v>2017</v>
      </c>
      <c r="B18" t="s">
        <v>23</v>
      </c>
      <c r="C18" t="s">
        <v>23</v>
      </c>
      <c r="D18">
        <v>4.2</v>
      </c>
      <c r="E18">
        <v>2.4413193635633998</v>
      </c>
      <c r="F18">
        <v>2.4779240530392999</v>
      </c>
      <c r="G18">
        <v>609466606160.55005</v>
      </c>
      <c r="H18">
        <v>294471770135.14697</v>
      </c>
      <c r="I18">
        <v>276159361445.98499</v>
      </c>
      <c r="J18">
        <v>24665348810.811699</v>
      </c>
      <c r="K18">
        <v>155425216143.47</v>
      </c>
      <c r="L18">
        <v>344881559980.37</v>
      </c>
      <c r="M18">
        <v>344881559980.37</v>
      </c>
      <c r="N18">
        <v>39149523093.3181</v>
      </c>
      <c r="O18">
        <v>18395565006.582901</v>
      </c>
      <c r="P18">
        <v>4218282656.7715302</v>
      </c>
      <c r="Q18">
        <v>6401126068.3322601</v>
      </c>
      <c r="R18">
        <v>10619408725.1038</v>
      </c>
      <c r="S18">
        <v>619826.20172948099</v>
      </c>
      <c r="T18">
        <v>96068796491.703293</v>
      </c>
      <c r="U18">
        <v>114381205180.86501</v>
      </c>
      <c r="V18">
        <v>314994836025.40302</v>
      </c>
      <c r="W18">
        <v>112004774325.922</v>
      </c>
      <c r="X18">
        <v>456886334306.29199</v>
      </c>
      <c r="Y18">
        <v>0.21026848316128399</v>
      </c>
      <c r="Z18">
        <v>0.25034936830521498</v>
      </c>
      <c r="AA18">
        <v>475087.64442918397</v>
      </c>
    </row>
    <row r="19" spans="1:27" x14ac:dyDescent="0.25">
      <c r="A19">
        <v>2018</v>
      </c>
      <c r="B19" t="s">
        <v>23</v>
      </c>
      <c r="C19" t="s">
        <v>23</v>
      </c>
      <c r="D19">
        <v>4.2</v>
      </c>
      <c r="E19">
        <v>2.5769357028766602</v>
      </c>
      <c r="F19">
        <v>2.6663656670310298</v>
      </c>
      <c r="G19">
        <v>643665142084.61401</v>
      </c>
      <c r="H19">
        <v>306535203538.70697</v>
      </c>
      <c r="I19">
        <v>289255781450.758</v>
      </c>
      <c r="J19">
        <v>24113812005.1446</v>
      </c>
      <c r="K19">
        <v>158489302740.16501</v>
      </c>
      <c r="L19">
        <v>348604065964.29102</v>
      </c>
      <c r="M19">
        <v>348604065964.29102</v>
      </c>
      <c r="N19">
        <v>37889268972.3284</v>
      </c>
      <c r="O19">
        <v>19223632127.184898</v>
      </c>
      <c r="P19">
        <v>4886142193.9530096</v>
      </c>
      <c r="Q19">
        <v>5327596178.39188</v>
      </c>
      <c r="R19">
        <v>10213738372.3449</v>
      </c>
      <c r="S19">
        <v>620093.69589388894</v>
      </c>
      <c r="T19">
        <v>106652666705.448</v>
      </c>
      <c r="U19">
        <v>123932088793.39799</v>
      </c>
      <c r="V19">
        <v>337129938545.90698</v>
      </c>
      <c r="W19">
        <v>118004581258.588</v>
      </c>
      <c r="X19">
        <v>466608647222.88</v>
      </c>
      <c r="Y19">
        <v>0.22856984614454601</v>
      </c>
      <c r="Z19">
        <v>0.26560178327385497</v>
      </c>
      <c r="AA19">
        <v>494336.91322538798</v>
      </c>
    </row>
    <row r="20" spans="1:27" x14ac:dyDescent="0.25">
      <c r="A20">
        <v>2019</v>
      </c>
      <c r="B20" t="s">
        <v>23</v>
      </c>
      <c r="C20" t="s">
        <v>23</v>
      </c>
      <c r="D20">
        <v>4.2</v>
      </c>
      <c r="E20">
        <v>2.7745329798963199</v>
      </c>
      <c r="F20">
        <v>2.8765267810465298</v>
      </c>
      <c r="G20">
        <v>645334969488.41797</v>
      </c>
      <c r="H20">
        <v>297100553648.78101</v>
      </c>
      <c r="I20">
        <v>279737475280.61603</v>
      </c>
      <c r="J20">
        <v>24769737899.284</v>
      </c>
      <c r="K20">
        <v>158616531178.61899</v>
      </c>
      <c r="L20">
        <v>358978312146.86798</v>
      </c>
      <c r="M20">
        <v>358978312146.86798</v>
      </c>
      <c r="N20">
        <v>46453406233.728104</v>
      </c>
      <c r="O20">
        <v>16185745838.4503</v>
      </c>
      <c r="P20">
        <v>5946154470.1539297</v>
      </c>
      <c r="Q20">
        <v>5347858946.8972397</v>
      </c>
      <c r="R20">
        <v>11294013417.051201</v>
      </c>
      <c r="S20">
        <v>611937</v>
      </c>
      <c r="T20">
        <v>96351206202.712494</v>
      </c>
      <c r="U20">
        <v>113714284570.87801</v>
      </c>
      <c r="V20">
        <v>348234415839.63599</v>
      </c>
      <c r="W20">
        <v>120678796909.108</v>
      </c>
      <c r="X20">
        <v>479657109055.97601</v>
      </c>
      <c r="Y20">
        <v>0.200875176003006</v>
      </c>
      <c r="Z20">
        <v>0.237074114870687</v>
      </c>
      <c r="AA20">
        <v>485508.39980060299</v>
      </c>
    </row>
    <row r="21" spans="1:27" x14ac:dyDescent="0.25">
      <c r="A21">
        <v>2020</v>
      </c>
      <c r="B21" t="s">
        <v>23</v>
      </c>
      <c r="C21" t="s">
        <v>23</v>
      </c>
      <c r="D21">
        <v>4.2</v>
      </c>
      <c r="E21">
        <v>3.0720570809110601</v>
      </c>
      <c r="F21">
        <v>3.1471888218240598</v>
      </c>
      <c r="G21">
        <v>587584826815.64404</v>
      </c>
      <c r="H21">
        <v>272887536854.19501</v>
      </c>
      <c r="I21">
        <v>255648452296.867</v>
      </c>
      <c r="J21">
        <v>23590077148.2075</v>
      </c>
      <c r="K21">
        <v>141640226606.94299</v>
      </c>
      <c r="L21">
        <v>339498352861.14099</v>
      </c>
      <c r="M21">
        <v>339498352861.14099</v>
      </c>
      <c r="N21">
        <v>38075006920.264397</v>
      </c>
      <c r="O21">
        <v>14733284815.027</v>
      </c>
      <c r="P21">
        <v>3615727472.5865598</v>
      </c>
      <c r="Q21">
        <v>4249851651.0415001</v>
      </c>
      <c r="R21">
        <v>7865579123.6280603</v>
      </c>
      <c r="S21">
        <v>570247.15523390495</v>
      </c>
      <c r="T21">
        <v>90418148541.716904</v>
      </c>
      <c r="U21">
        <v>107657233099.045</v>
      </c>
      <c r="V21">
        <v>314697289961.45001</v>
      </c>
      <c r="W21">
        <v>108651789659.14101</v>
      </c>
      <c r="X21">
        <v>448150142520.28198</v>
      </c>
      <c r="Y21">
        <v>0.20175860713382399</v>
      </c>
      <c r="Z21">
        <v>0.24022581470934701</v>
      </c>
      <c r="AA21">
        <v>478542.56588489399</v>
      </c>
    </row>
    <row r="22" spans="1:27" x14ac:dyDescent="0.25">
      <c r="A22">
        <v>2021</v>
      </c>
      <c r="B22" t="s">
        <v>23</v>
      </c>
      <c r="C22" t="s">
        <v>23</v>
      </c>
      <c r="D22">
        <v>4.2</v>
      </c>
      <c r="E22">
        <v>3.4122569293530698</v>
      </c>
      <c r="F22">
        <v>3.3976997291003301</v>
      </c>
      <c r="G22">
        <v>637013287233.88098</v>
      </c>
      <c r="H22">
        <v>297794919014.51898</v>
      </c>
      <c r="I22">
        <v>292738558987.25598</v>
      </c>
      <c r="J22">
        <v>21627784354.981998</v>
      </c>
      <c r="K22">
        <v>138387691284.77701</v>
      </c>
      <c r="L22">
        <v>343875283418.48602</v>
      </c>
      <c r="M22">
        <v>343875283418.48602</v>
      </c>
      <c r="N22">
        <v>54896667456.244301</v>
      </c>
      <c r="O22">
        <v>19309715357.474201</v>
      </c>
      <c r="P22">
        <v>5725537137.9598103</v>
      </c>
      <c r="Q22">
        <v>6413976142.5977898</v>
      </c>
      <c r="R22">
        <v>12139513280.5576</v>
      </c>
      <c r="S22">
        <v>602974.92250321002</v>
      </c>
      <c r="T22">
        <v>132723083347.496</v>
      </c>
      <c r="U22">
        <v>137779443374.76001</v>
      </c>
      <c r="V22">
        <v>339218368219.362</v>
      </c>
      <c r="W22">
        <v>113715728453.367</v>
      </c>
      <c r="X22">
        <v>457591011871.85199</v>
      </c>
      <c r="Y22">
        <v>0.29004740019820402</v>
      </c>
      <c r="Z22">
        <v>0.30109735506200203</v>
      </c>
      <c r="AA22">
        <v>493876.126354051</v>
      </c>
    </row>
    <row r="23" spans="1:27" x14ac:dyDescent="0.25">
      <c r="A23">
        <v>2022</v>
      </c>
      <c r="B23" t="s">
        <v>23</v>
      </c>
      <c r="C23" t="s">
        <v>23</v>
      </c>
      <c r="D23">
        <v>4.2</v>
      </c>
      <c r="E23">
        <v>3.6166176585179901</v>
      </c>
      <c r="F23">
        <v>3.7001093103939899</v>
      </c>
      <c r="G23">
        <v>675188049217.07898</v>
      </c>
      <c r="H23">
        <v>299334834599.41901</v>
      </c>
      <c r="I23">
        <v>286398391985.888</v>
      </c>
      <c r="J23">
        <v>20595519999.271301</v>
      </c>
      <c r="K23">
        <v>141145739475.65601</v>
      </c>
      <c r="L23">
        <v>333367018458.71802</v>
      </c>
      <c r="M23">
        <v>333367018458.71802</v>
      </c>
      <c r="N23">
        <v>50608980244.593498</v>
      </c>
      <c r="O23">
        <v>21255020352.7104</v>
      </c>
      <c r="P23">
        <v>4920949138.8989096</v>
      </c>
      <c r="Q23">
        <v>5601208726.6561499</v>
      </c>
      <c r="R23">
        <v>10522157865.555099</v>
      </c>
      <c r="S23">
        <v>627085.34358451201</v>
      </c>
      <c r="T23">
        <v>124657132510.961</v>
      </c>
      <c r="U23">
        <v>137593575124.492</v>
      </c>
      <c r="V23">
        <v>375853214617.65997</v>
      </c>
      <c r="W23">
        <v>123094989069.83701</v>
      </c>
      <c r="X23">
        <v>456462007528.55499</v>
      </c>
      <c r="Y23">
        <v>0.273094212563054</v>
      </c>
      <c r="Z23">
        <v>0.30143489021018899</v>
      </c>
      <c r="AA23">
        <v>477343.05651026202</v>
      </c>
    </row>
    <row r="24" spans="1:27" x14ac:dyDescent="0.25">
      <c r="A24">
        <v>2023</v>
      </c>
      <c r="B24" t="s">
        <v>23</v>
      </c>
      <c r="C24" t="s">
        <v>23</v>
      </c>
      <c r="D24">
        <v>4.2</v>
      </c>
      <c r="E24">
        <v>3.7632011320453098</v>
      </c>
      <c r="F24">
        <v>3.8887885556770101</v>
      </c>
      <c r="G24">
        <v>669344175407.33301</v>
      </c>
      <c r="H24">
        <v>303932409821.64099</v>
      </c>
      <c r="I24">
        <v>290896985872.80798</v>
      </c>
      <c r="J24">
        <v>22789685813.5172</v>
      </c>
      <c r="K24">
        <v>157459433731.539</v>
      </c>
      <c r="L24">
        <v>341396161593.06598</v>
      </c>
      <c r="M24">
        <v>341396161593.06598</v>
      </c>
      <c r="N24">
        <v>50446908380.573196</v>
      </c>
      <c r="O24">
        <v>26599064796.936501</v>
      </c>
      <c r="P24">
        <v>4060057107.11025</v>
      </c>
      <c r="Q24">
        <v>7055573353.4534903</v>
      </c>
      <c r="R24">
        <v>11115630460.5637</v>
      </c>
      <c r="S24">
        <v>664124.696887556</v>
      </c>
      <c r="T24">
        <v>110647866327.752</v>
      </c>
      <c r="U24">
        <v>123683290276.586</v>
      </c>
      <c r="V24">
        <v>365411765585.69098</v>
      </c>
      <c r="W24">
        <v>124493142694.57899</v>
      </c>
      <c r="X24">
        <v>465889304287.64502</v>
      </c>
      <c r="Y24">
        <v>0.237498189611662</v>
      </c>
      <c r="Z24">
        <v>0.26547784879006903</v>
      </c>
      <c r="AA24">
        <v>457643.58899169299</v>
      </c>
    </row>
    <row r="25" spans="1:27" x14ac:dyDescent="0.25">
      <c r="A25">
        <v>2024</v>
      </c>
      <c r="B25" t="s">
        <v>23</v>
      </c>
      <c r="C25" t="s">
        <v>23</v>
      </c>
      <c r="D25">
        <v>4.2</v>
      </c>
      <c r="E25">
        <v>3.9207675323421101</v>
      </c>
      <c r="F25">
        <v>4.1023240340287996</v>
      </c>
      <c r="G25">
        <v>694652800660.422</v>
      </c>
      <c r="H25">
        <v>320611447753.72101</v>
      </c>
      <c r="I25">
        <v>307145971920.85199</v>
      </c>
      <c r="J25">
        <v>23648096287.206299</v>
      </c>
      <c r="K25">
        <v>163893999773.547</v>
      </c>
      <c r="L25">
        <v>355909572431.638</v>
      </c>
      <c r="M25">
        <v>355909572431.638</v>
      </c>
      <c r="N25">
        <v>42705327743.949203</v>
      </c>
      <c r="O25">
        <v>22498033679.569901</v>
      </c>
      <c r="P25">
        <v>3972534444.1879902</v>
      </c>
      <c r="Q25">
        <v>6142618046.2974796</v>
      </c>
      <c r="R25">
        <v>10115152490.4855</v>
      </c>
      <c r="S25">
        <v>680610.40008904005</v>
      </c>
      <c r="T25">
        <v>119603875860.099</v>
      </c>
      <c r="U25">
        <v>133069351692.968</v>
      </c>
      <c r="V25">
        <v>374041352906.70001</v>
      </c>
      <c r="W25">
        <v>128079845876.24899</v>
      </c>
      <c r="X25">
        <v>483989418307.88702</v>
      </c>
      <c r="Y25">
        <v>0.24712084879511501</v>
      </c>
      <c r="Z25">
        <v>0.27494268812364098</v>
      </c>
      <c r="AA25">
        <v>471064.57337674801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C25"/>
  <sheetViews>
    <sheetView topLeftCell="O1" workbookViewId="0">
      <pane ySplit="1" topLeftCell="A2" activePane="bottomLeft" state="frozen"/>
      <selection pane="bottomLeft" activeCell="AC14" sqref="AC14"/>
    </sheetView>
  </sheetViews>
  <sheetFormatPr baseColWidth="10" defaultRowHeight="15" x14ac:dyDescent="0.25"/>
  <sheetData>
    <row r="1" spans="1:29" x14ac:dyDescent="0.25">
      <c r="A1" t="s">
        <v>52</v>
      </c>
      <c r="B1" t="s">
        <v>61</v>
      </c>
      <c r="C1" t="s">
        <v>57</v>
      </c>
      <c r="D1" t="s">
        <v>71</v>
      </c>
      <c r="E1" t="s">
        <v>166</v>
      </c>
      <c r="F1" t="s">
        <v>171</v>
      </c>
      <c r="G1" t="s">
        <v>75</v>
      </c>
      <c r="H1" t="s">
        <v>82</v>
      </c>
      <c r="I1" t="s">
        <v>196</v>
      </c>
      <c r="J1" t="s">
        <v>123</v>
      </c>
      <c r="K1" t="s">
        <v>111</v>
      </c>
      <c r="L1" t="s">
        <v>174</v>
      </c>
      <c r="M1" t="s">
        <v>117</v>
      </c>
      <c r="N1" t="s">
        <v>120</v>
      </c>
      <c r="O1" t="s">
        <v>96</v>
      </c>
      <c r="P1" t="s">
        <v>99</v>
      </c>
      <c r="Q1" t="s">
        <v>102</v>
      </c>
      <c r="R1" t="s">
        <v>104</v>
      </c>
      <c r="S1" t="s">
        <v>107</v>
      </c>
      <c r="T1" t="s">
        <v>89</v>
      </c>
      <c r="U1" t="s">
        <v>178</v>
      </c>
      <c r="V1" t="s">
        <v>181</v>
      </c>
      <c r="W1" t="s">
        <v>184</v>
      </c>
      <c r="X1" t="s">
        <v>187</v>
      </c>
      <c r="Y1" t="s">
        <v>144</v>
      </c>
      <c r="Z1" t="s">
        <v>190</v>
      </c>
      <c r="AA1" t="s">
        <v>193</v>
      </c>
      <c r="AB1" t="s">
        <v>201</v>
      </c>
      <c r="AC1" t="s">
        <v>204</v>
      </c>
    </row>
    <row r="2" spans="1:29" x14ac:dyDescent="0.25">
      <c r="A2">
        <v>2001</v>
      </c>
      <c r="B2" t="s">
        <v>236</v>
      </c>
      <c r="C2" t="s">
        <v>217</v>
      </c>
      <c r="D2">
        <v>6.6</v>
      </c>
      <c r="E2">
        <v>0.68734765358136096</v>
      </c>
      <c r="F2">
        <v>0.64312532674302503</v>
      </c>
      <c r="G2">
        <v>129832719345.185</v>
      </c>
      <c r="H2">
        <v>46600659554.311699</v>
      </c>
      <c r="I2">
        <v>154165794336.93701</v>
      </c>
      <c r="J2">
        <v>38563123831.889397</v>
      </c>
      <c r="K2">
        <v>4549969704.1299496</v>
      </c>
      <c r="L2">
        <v>17823056445.388699</v>
      </c>
      <c r="M2">
        <v>41641755596.117699</v>
      </c>
      <c r="N2">
        <v>41641755596.117699</v>
      </c>
      <c r="O2">
        <v>5149714240.7586803</v>
      </c>
      <c r="P2">
        <v>2992837742.70788</v>
      </c>
      <c r="Q2">
        <v>1564738010.51929</v>
      </c>
      <c r="R2" t="s">
        <v>219</v>
      </c>
      <c r="S2" t="s">
        <v>219</v>
      </c>
      <c r="T2">
        <v>113817</v>
      </c>
      <c r="U2">
        <v>16190097682.3708</v>
      </c>
      <c r="V2">
        <v>24227633404.793098</v>
      </c>
      <c r="W2">
        <v>83232059790.872894</v>
      </c>
      <c r="X2">
        <v>15311381247.9184</v>
      </c>
      <c r="Y2">
        <v>56953136844.036102</v>
      </c>
      <c r="Z2">
        <v>0.284270517473106</v>
      </c>
      <c r="AA2">
        <v>0.42539594388171198</v>
      </c>
      <c r="AB2">
        <v>0.302276258846783</v>
      </c>
      <c r="AC2">
        <v>409434.96625558299</v>
      </c>
    </row>
    <row r="3" spans="1:29" x14ac:dyDescent="0.25">
      <c r="A3">
        <v>2002</v>
      </c>
      <c r="B3" t="s">
        <v>236</v>
      </c>
      <c r="C3" t="s">
        <v>217</v>
      </c>
      <c r="D3">
        <v>6.6</v>
      </c>
      <c r="E3">
        <v>0.77406533491190999</v>
      </c>
      <c r="F3">
        <v>0.73294995485005499</v>
      </c>
      <c r="G3">
        <v>135563341636.97099</v>
      </c>
      <c r="H3">
        <v>50876205157.128899</v>
      </c>
      <c r="I3">
        <v>137396409153.37399</v>
      </c>
      <c r="J3">
        <v>42101236727.8703</v>
      </c>
      <c r="K3">
        <v>4855494456.9733496</v>
      </c>
      <c r="L3">
        <v>12853644771.5961</v>
      </c>
      <c r="M3" t="s">
        <v>219</v>
      </c>
      <c r="N3">
        <v>49205136092.440399</v>
      </c>
      <c r="O3" t="s">
        <v>219</v>
      </c>
      <c r="P3" t="s">
        <v>219</v>
      </c>
      <c r="Q3" t="s">
        <v>219</v>
      </c>
      <c r="R3" t="s">
        <v>219</v>
      </c>
      <c r="S3" t="s">
        <v>219</v>
      </c>
      <c r="T3">
        <v>76575</v>
      </c>
      <c r="U3">
        <v>24392097499.3009</v>
      </c>
      <c r="V3">
        <v>33167065928.559399</v>
      </c>
      <c r="W3">
        <v>84687136479.842606</v>
      </c>
      <c r="X3">
        <v>14778906250.218</v>
      </c>
      <c r="Y3">
        <v>63984042342.658401</v>
      </c>
      <c r="Z3">
        <v>0.381221576602993</v>
      </c>
      <c r="AA3">
        <v>0.51836465334492998</v>
      </c>
      <c r="AB3">
        <v>0.37028773510620999</v>
      </c>
      <c r="AC3">
        <v>664397.06375617196</v>
      </c>
    </row>
    <row r="4" spans="1:29" x14ac:dyDescent="0.25">
      <c r="A4">
        <v>2003</v>
      </c>
      <c r="B4" t="s">
        <v>236</v>
      </c>
      <c r="C4" t="s">
        <v>217</v>
      </c>
      <c r="D4">
        <v>6.6</v>
      </c>
      <c r="E4">
        <v>0.90210839846924895</v>
      </c>
      <c r="F4">
        <v>0.87495841452402501</v>
      </c>
      <c r="G4">
        <v>154471398932.16501</v>
      </c>
      <c r="H4">
        <v>46000416407.180298</v>
      </c>
      <c r="I4">
        <v>130229029534.974</v>
      </c>
      <c r="J4">
        <v>38066408741.7286</v>
      </c>
      <c r="K4">
        <v>5226190759.3366804</v>
      </c>
      <c r="L4">
        <v>12433493347.1301</v>
      </c>
      <c r="M4">
        <v>53323485449.891602</v>
      </c>
      <c r="N4">
        <v>53323485449.891602</v>
      </c>
      <c r="O4">
        <v>7648246826.7755404</v>
      </c>
      <c r="P4">
        <v>6161619818.00846</v>
      </c>
      <c r="Q4">
        <v>5826740224.2560701</v>
      </c>
      <c r="R4" t="s">
        <v>219</v>
      </c>
      <c r="S4" t="s">
        <v>219</v>
      </c>
      <c r="T4">
        <v>83356</v>
      </c>
      <c r="U4">
        <v>20406724635.261799</v>
      </c>
      <c r="V4">
        <v>28340732300.713501</v>
      </c>
      <c r="W4">
        <v>108470982524.985</v>
      </c>
      <c r="X4">
        <v>18318859980.623501</v>
      </c>
      <c r="Y4">
        <v>71642345430.515106</v>
      </c>
      <c r="Z4">
        <v>0.28484166051004001</v>
      </c>
      <c r="AA4">
        <v>0.39558632719807801</v>
      </c>
      <c r="AB4">
        <v>0.35322705368718499</v>
      </c>
      <c r="AC4">
        <v>551854.89235544298</v>
      </c>
    </row>
    <row r="5" spans="1:29" x14ac:dyDescent="0.25">
      <c r="A5">
        <v>2004</v>
      </c>
      <c r="B5" t="s">
        <v>236</v>
      </c>
      <c r="C5" t="s">
        <v>217</v>
      </c>
      <c r="D5">
        <v>6.6</v>
      </c>
      <c r="E5">
        <v>0.99326695734614601</v>
      </c>
      <c r="F5">
        <v>0.95508768594648497</v>
      </c>
      <c r="G5">
        <v>180223904763.013</v>
      </c>
      <c r="H5">
        <v>52977755220.605797</v>
      </c>
      <c r="I5">
        <v>138179041145.90399</v>
      </c>
      <c r="J5">
        <v>43840318022.252502</v>
      </c>
      <c r="K5">
        <v>5171742278.3549004</v>
      </c>
      <c r="L5">
        <v>12710283606.0229</v>
      </c>
      <c r="M5">
        <v>50868074093.591599</v>
      </c>
      <c r="N5">
        <v>50868074093.591599</v>
      </c>
      <c r="O5">
        <v>6439484518.9348202</v>
      </c>
      <c r="P5">
        <v>3175905982.4444299</v>
      </c>
      <c r="Q5">
        <v>1610540856.2811201</v>
      </c>
      <c r="R5">
        <v>1754901153.3185899</v>
      </c>
      <c r="S5">
        <v>3365442009.59971</v>
      </c>
      <c r="T5">
        <v>88653</v>
      </c>
      <c r="U5">
        <v>25958292137.874699</v>
      </c>
      <c r="V5">
        <v>35095729336.227898</v>
      </c>
      <c r="W5">
        <v>127246149542.408</v>
      </c>
      <c r="X5">
        <v>21205520174.004601</v>
      </c>
      <c r="Y5">
        <v>72073594267.596207</v>
      </c>
      <c r="Z5">
        <v>0.36016369658901998</v>
      </c>
      <c r="AA5">
        <v>0.48694296007944099</v>
      </c>
      <c r="AB5">
        <v>0.383399354788302</v>
      </c>
      <c r="AC5">
        <v>597585.58898859296</v>
      </c>
    </row>
    <row r="6" spans="1:29" x14ac:dyDescent="0.25">
      <c r="A6">
        <v>2005</v>
      </c>
      <c r="B6" t="s">
        <v>236</v>
      </c>
      <c r="C6" t="s">
        <v>217</v>
      </c>
      <c r="D6">
        <v>6.6</v>
      </c>
      <c r="E6">
        <v>1</v>
      </c>
      <c r="F6">
        <v>1</v>
      </c>
      <c r="G6">
        <v>184862461743</v>
      </c>
      <c r="H6">
        <v>53991760706</v>
      </c>
      <c r="I6">
        <v>152188634950</v>
      </c>
      <c r="J6">
        <v>44679431019.224098</v>
      </c>
      <c r="K6">
        <v>5058292667</v>
      </c>
      <c r="L6">
        <v>14615233399</v>
      </c>
      <c r="M6">
        <v>52418214093</v>
      </c>
      <c r="N6">
        <v>52418214093</v>
      </c>
      <c r="O6">
        <v>6464007473</v>
      </c>
      <c r="P6">
        <v>2747259075</v>
      </c>
      <c r="Q6">
        <v>2116008436</v>
      </c>
      <c r="R6">
        <v>2111494326</v>
      </c>
      <c r="S6">
        <v>4227502762</v>
      </c>
      <c r="T6">
        <v>102414</v>
      </c>
      <c r="U6">
        <v>25005904953.224098</v>
      </c>
      <c r="V6">
        <v>34318234640</v>
      </c>
      <c r="W6">
        <v>130870701037</v>
      </c>
      <c r="X6">
        <v>22043323399.393902</v>
      </c>
      <c r="Y6">
        <v>74461537492.393906</v>
      </c>
      <c r="Z6">
        <v>0.335823108081517</v>
      </c>
      <c r="AA6">
        <v>0.46088538856057798</v>
      </c>
      <c r="AB6">
        <v>0.35476867719944</v>
      </c>
      <c r="AC6">
        <v>527191.21122112195</v>
      </c>
    </row>
    <row r="7" spans="1:29" x14ac:dyDescent="0.25">
      <c r="A7">
        <v>2006</v>
      </c>
      <c r="B7" t="s">
        <v>236</v>
      </c>
      <c r="C7" t="s">
        <v>217</v>
      </c>
      <c r="D7">
        <v>6.6</v>
      </c>
      <c r="E7">
        <v>1.0653333463425101</v>
      </c>
      <c r="F7">
        <v>1.06397034361485</v>
      </c>
      <c r="G7">
        <v>173691735436.98801</v>
      </c>
      <c r="H7">
        <v>50704812615.248299</v>
      </c>
      <c r="I7">
        <v>123257339581.55701</v>
      </c>
      <c r="J7">
        <v>41959405434.502098</v>
      </c>
      <c r="K7">
        <v>3995851280.1006999</v>
      </c>
      <c r="L7">
        <v>13141636045.3125</v>
      </c>
      <c r="M7">
        <v>53678669715.375298</v>
      </c>
      <c r="N7">
        <v>53678669715.375298</v>
      </c>
      <c r="O7">
        <v>6116523942.4484997</v>
      </c>
      <c r="P7">
        <v>3968548993.8924699</v>
      </c>
      <c r="Q7">
        <v>2048895036.84846</v>
      </c>
      <c r="R7">
        <v>1338427181.97154</v>
      </c>
      <c r="S7">
        <v>3387322218.8200002</v>
      </c>
      <c r="T7">
        <v>63928.852765380201</v>
      </c>
      <c r="U7">
        <v>24821918109.088902</v>
      </c>
      <c r="V7">
        <v>33567325289.835098</v>
      </c>
      <c r="W7">
        <v>122986922821.74001</v>
      </c>
      <c r="X7">
        <v>20625539222.280701</v>
      </c>
      <c r="Y7">
        <v>74304208937.656006</v>
      </c>
      <c r="Z7">
        <v>0.33405803606516299</v>
      </c>
      <c r="AA7">
        <v>0.45175536850138998</v>
      </c>
      <c r="AB7">
        <v>0.41137357651385997</v>
      </c>
      <c r="AC7">
        <v>793144.41636135301</v>
      </c>
    </row>
    <row r="8" spans="1:29" x14ac:dyDescent="0.25">
      <c r="A8">
        <v>2007</v>
      </c>
      <c r="B8" t="s">
        <v>236</v>
      </c>
      <c r="C8" t="s">
        <v>217</v>
      </c>
      <c r="D8">
        <v>6.6</v>
      </c>
      <c r="E8">
        <v>1.1656608316719199</v>
      </c>
      <c r="F8">
        <v>1.1503255548690701</v>
      </c>
      <c r="G8">
        <v>201940388385.203</v>
      </c>
      <c r="H8">
        <v>60619389518.223099</v>
      </c>
      <c r="I8">
        <v>168915945027.38</v>
      </c>
      <c r="J8">
        <v>50163947183.629097</v>
      </c>
      <c r="K8">
        <v>5091387463.95679</v>
      </c>
      <c r="L8">
        <v>17365372900.628201</v>
      </c>
      <c r="M8">
        <v>75740910364.973602</v>
      </c>
      <c r="N8">
        <v>75740910364.973602</v>
      </c>
      <c r="O8">
        <v>14892230272.1798</v>
      </c>
      <c r="P8">
        <v>5108499763.6144104</v>
      </c>
      <c r="Q8">
        <v>1758781491.02703</v>
      </c>
      <c r="R8">
        <v>2196463510.6491899</v>
      </c>
      <c r="S8">
        <v>3955245001.6762199</v>
      </c>
      <c r="T8">
        <v>100576.012248596</v>
      </c>
      <c r="U8">
        <v>27707186819.044201</v>
      </c>
      <c r="V8">
        <v>38162629153.6381</v>
      </c>
      <c r="W8">
        <v>141320998866.98001</v>
      </c>
      <c r="X8">
        <v>24043389661.758701</v>
      </c>
      <c r="Y8">
        <v>99784300026.7323</v>
      </c>
      <c r="Z8">
        <v>0.27767080404052902</v>
      </c>
      <c r="AA8">
        <v>0.38245123875614001</v>
      </c>
      <c r="AB8">
        <v>0.35887310406603201</v>
      </c>
      <c r="AC8">
        <v>602722.14182034205</v>
      </c>
    </row>
    <row r="9" spans="1:29" x14ac:dyDescent="0.25">
      <c r="A9">
        <v>2008</v>
      </c>
      <c r="B9" t="s">
        <v>236</v>
      </c>
      <c r="C9" t="s">
        <v>217</v>
      </c>
      <c r="D9">
        <v>6.6</v>
      </c>
      <c r="E9">
        <v>1.25918805295632</v>
      </c>
      <c r="F9">
        <v>1.24091060310822</v>
      </c>
      <c r="G9">
        <v>226332907662.81601</v>
      </c>
      <c r="H9">
        <v>63765067620.1427</v>
      </c>
      <c r="I9">
        <v>163510317643.125</v>
      </c>
      <c r="J9">
        <v>52767068584.479897</v>
      </c>
      <c r="K9">
        <v>6431456356.08148</v>
      </c>
      <c r="L9">
        <v>19575266915.304001</v>
      </c>
      <c r="M9">
        <v>85746693745.863403</v>
      </c>
      <c r="N9">
        <v>85746693745.863403</v>
      </c>
      <c r="O9">
        <v>13852518787.2152</v>
      </c>
      <c r="P9">
        <v>8095960045.9042301</v>
      </c>
      <c r="Q9">
        <v>2902770045.4969001</v>
      </c>
      <c r="R9">
        <v>2975004800.4872398</v>
      </c>
      <c r="S9">
        <v>5877774845.9841299</v>
      </c>
      <c r="T9">
        <v>103902.68580704</v>
      </c>
      <c r="U9">
        <v>26760345313.094501</v>
      </c>
      <c r="V9">
        <v>37758344348.757301</v>
      </c>
      <c r="W9">
        <v>162567840042.67401</v>
      </c>
      <c r="X9">
        <v>27597440448.178398</v>
      </c>
      <c r="Y9">
        <v>113344134194.04201</v>
      </c>
      <c r="Z9">
        <v>0.23609819337700799</v>
      </c>
      <c r="AA9">
        <v>0.33313011403056902</v>
      </c>
      <c r="AB9">
        <v>0.38997580421386802</v>
      </c>
      <c r="AC9">
        <v>613699.89740748599</v>
      </c>
    </row>
    <row r="10" spans="1:29" x14ac:dyDescent="0.25">
      <c r="A10">
        <v>2009</v>
      </c>
      <c r="B10" t="s">
        <v>236</v>
      </c>
      <c r="C10" t="s">
        <v>217</v>
      </c>
      <c r="D10">
        <v>6.6</v>
      </c>
      <c r="E10">
        <v>1.35674417719499</v>
      </c>
      <c r="F10">
        <v>1.32854902333539</v>
      </c>
      <c r="G10">
        <v>193365237409.13901</v>
      </c>
      <c r="H10">
        <v>57663696069.488701</v>
      </c>
      <c r="I10">
        <v>172952578954.61899</v>
      </c>
      <c r="J10">
        <v>47718042478.357597</v>
      </c>
      <c r="K10">
        <v>5751428197.5951796</v>
      </c>
      <c r="L10">
        <v>22387860809.471802</v>
      </c>
      <c r="M10">
        <v>68688054177.513901</v>
      </c>
      <c r="N10">
        <v>68688054177.513901</v>
      </c>
      <c r="O10">
        <v>5867786661.8034601</v>
      </c>
      <c r="P10">
        <v>4275978993.3085098</v>
      </c>
      <c r="Q10">
        <v>1780620990.17448</v>
      </c>
      <c r="R10">
        <v>1089266887.33146</v>
      </c>
      <c r="S10">
        <v>2869887877.50594</v>
      </c>
      <c r="T10">
        <v>104036.64779083501</v>
      </c>
      <c r="U10">
        <v>19578753471.2906</v>
      </c>
      <c r="V10">
        <v>29524407062.4217</v>
      </c>
      <c r="W10">
        <v>135701541339.651</v>
      </c>
      <c r="X10">
        <v>23952939719.563999</v>
      </c>
      <c r="Y10">
        <v>92640993897.077896</v>
      </c>
      <c r="Z10">
        <v>0.211340062834841</v>
      </c>
      <c r="AA10">
        <v>0.31869700248707</v>
      </c>
      <c r="AB10">
        <v>0.333407552625272</v>
      </c>
      <c r="AC10">
        <v>554263.30330655095</v>
      </c>
    </row>
    <row r="11" spans="1:29" x14ac:dyDescent="0.25">
      <c r="A11">
        <v>2010</v>
      </c>
      <c r="B11" t="s">
        <v>236</v>
      </c>
      <c r="C11" t="s">
        <v>217</v>
      </c>
      <c r="D11">
        <v>6.6</v>
      </c>
      <c r="E11">
        <v>1.4233199568561401</v>
      </c>
      <c r="F11">
        <v>1.4175181787937801</v>
      </c>
      <c r="G11">
        <v>209801516290.358</v>
      </c>
      <c r="H11">
        <v>67141678489.730698</v>
      </c>
      <c r="I11">
        <v>216609946771.758</v>
      </c>
      <c r="J11">
        <v>55561292192.930496</v>
      </c>
      <c r="K11">
        <v>5729453598.1442604</v>
      </c>
      <c r="L11">
        <v>24078597928.383301</v>
      </c>
      <c r="M11">
        <v>70074061407.636398</v>
      </c>
      <c r="N11">
        <v>70074061407.636398</v>
      </c>
      <c r="O11">
        <v>7434258672.0187302</v>
      </c>
      <c r="P11">
        <v>4585944695.6401196</v>
      </c>
      <c r="Q11">
        <v>1849872353.73031</v>
      </c>
      <c r="R11">
        <v>1280801131.5094099</v>
      </c>
      <c r="S11">
        <v>3130673485.2397099</v>
      </c>
      <c r="T11">
        <v>112274.193929867</v>
      </c>
      <c r="U11">
        <v>25753240666.402901</v>
      </c>
      <c r="V11">
        <v>37333626963.203201</v>
      </c>
      <c r="W11">
        <v>142659837800.62701</v>
      </c>
      <c r="X11">
        <v>25263399352.880299</v>
      </c>
      <c r="Y11">
        <v>95337460760.516693</v>
      </c>
      <c r="Z11">
        <v>0.27012719303583999</v>
      </c>
      <c r="AA11">
        <v>0.39159451767845499</v>
      </c>
      <c r="AB11">
        <v>0.30996581408368101</v>
      </c>
      <c r="AC11">
        <v>598015.23519885202</v>
      </c>
    </row>
    <row r="12" spans="1:29" x14ac:dyDescent="0.25">
      <c r="A12">
        <v>2011</v>
      </c>
      <c r="B12" t="s">
        <v>236</v>
      </c>
      <c r="C12" t="s">
        <v>217</v>
      </c>
      <c r="D12">
        <v>6.6</v>
      </c>
      <c r="E12">
        <v>1.5515564668378901</v>
      </c>
      <c r="F12">
        <v>1.5322465662278399</v>
      </c>
      <c r="G12">
        <v>207997657614.53201</v>
      </c>
      <c r="H12">
        <v>62973273811.531403</v>
      </c>
      <c r="I12">
        <v>212502171084.89999</v>
      </c>
      <c r="J12">
        <v>52111840890.6483</v>
      </c>
      <c r="K12">
        <v>5275226380.0368605</v>
      </c>
      <c r="L12">
        <v>24957312769.007401</v>
      </c>
      <c r="M12" t="s">
        <v>219</v>
      </c>
      <c r="N12">
        <v>78727492352.490204</v>
      </c>
      <c r="O12" t="s">
        <v>219</v>
      </c>
      <c r="P12" t="s">
        <v>219</v>
      </c>
      <c r="Q12" t="s">
        <v>219</v>
      </c>
      <c r="R12" t="s">
        <v>219</v>
      </c>
      <c r="S12" t="s">
        <v>219</v>
      </c>
      <c r="T12">
        <v>109399.623065035</v>
      </c>
      <c r="U12">
        <v>21879301741.604</v>
      </c>
      <c r="V12">
        <v>32740734662.487099</v>
      </c>
      <c r="W12">
        <v>145024383803.00101</v>
      </c>
      <c r="X12">
        <v>25754802510.9104</v>
      </c>
      <c r="Y12">
        <v>104482294863.401</v>
      </c>
      <c r="Z12">
        <v>0.20940678772617799</v>
      </c>
      <c r="AA12">
        <v>0.31336155762363499</v>
      </c>
      <c r="AB12">
        <v>0.29634179025103702</v>
      </c>
      <c r="AC12">
        <v>575626.05836489296</v>
      </c>
    </row>
    <row r="13" spans="1:29" x14ac:dyDescent="0.25">
      <c r="A13">
        <v>2012</v>
      </c>
      <c r="B13" t="s">
        <v>236</v>
      </c>
      <c r="C13" t="s">
        <v>217</v>
      </c>
      <c r="D13">
        <v>6.6</v>
      </c>
      <c r="E13">
        <v>1.68433171334606</v>
      </c>
      <c r="F13">
        <v>1.65633762653866</v>
      </c>
      <c r="G13">
        <v>217591032898.27301</v>
      </c>
      <c r="H13">
        <v>58950486858.863403</v>
      </c>
      <c r="I13">
        <v>226086094148.38101</v>
      </c>
      <c r="J13">
        <v>48782891624.935799</v>
      </c>
      <c r="K13">
        <v>5462487601.3161001</v>
      </c>
      <c r="L13">
        <v>26436563408.229099</v>
      </c>
      <c r="M13">
        <v>70099151735.945602</v>
      </c>
      <c r="N13">
        <v>70099151735.945602</v>
      </c>
      <c r="O13">
        <v>10178890721.044399</v>
      </c>
      <c r="P13">
        <v>7045892660.1647396</v>
      </c>
      <c r="Q13">
        <v>3546918068.4943099</v>
      </c>
      <c r="R13">
        <v>1871729595.10691</v>
      </c>
      <c r="S13">
        <v>5418647663.6012201</v>
      </c>
      <c r="T13">
        <v>110138.749533575</v>
      </c>
      <c r="U13">
        <v>16883840615.3906</v>
      </c>
      <c r="V13">
        <v>27051435849.318199</v>
      </c>
      <c r="W13">
        <v>158640546039.41</v>
      </c>
      <c r="X13">
        <v>28041986279.945301</v>
      </c>
      <c r="Y13">
        <v>98141138015.8909</v>
      </c>
      <c r="Z13">
        <v>0.17203632397921401</v>
      </c>
      <c r="AA13">
        <v>0.27563809016498297</v>
      </c>
      <c r="AB13">
        <v>0.26074353259503902</v>
      </c>
      <c r="AC13">
        <v>535238.38892771001</v>
      </c>
    </row>
    <row r="14" spans="1:29" x14ac:dyDescent="0.25">
      <c r="A14">
        <v>2013</v>
      </c>
      <c r="B14" t="s">
        <v>236</v>
      </c>
      <c r="C14" t="s">
        <v>217</v>
      </c>
      <c r="D14">
        <v>6.6</v>
      </c>
      <c r="E14">
        <v>1.82166757075506</v>
      </c>
      <c r="F14">
        <v>1.7983936124708899</v>
      </c>
      <c r="G14">
        <v>216008445513.02701</v>
      </c>
      <c r="H14">
        <v>61425057496.826797</v>
      </c>
      <c r="I14">
        <v>245071350946.01801</v>
      </c>
      <c r="J14">
        <v>50830656074.091797</v>
      </c>
      <c r="K14">
        <v>5288811619.0650902</v>
      </c>
      <c r="L14">
        <v>27906393169.154598</v>
      </c>
      <c r="M14">
        <v>71529663377.222595</v>
      </c>
      <c r="N14">
        <v>71529663377.222595</v>
      </c>
      <c r="O14">
        <v>15804570094.732</v>
      </c>
      <c r="P14">
        <v>10043354594.7547</v>
      </c>
      <c r="Q14">
        <v>1361276127.6454301</v>
      </c>
      <c r="R14">
        <v>8947193200.6249104</v>
      </c>
      <c r="S14">
        <v>10308469328.2703</v>
      </c>
      <c r="T14">
        <v>109797.749814658</v>
      </c>
      <c r="U14">
        <v>17635451285.872101</v>
      </c>
      <c r="V14">
        <v>28229852708.607101</v>
      </c>
      <c r="W14">
        <v>154583388016.20001</v>
      </c>
      <c r="X14">
        <v>27649966846.2659</v>
      </c>
      <c r="Y14">
        <v>99179630223.488495</v>
      </c>
      <c r="Z14">
        <v>0.17781323892953499</v>
      </c>
      <c r="AA14">
        <v>0.284633574908424</v>
      </c>
      <c r="AB14">
        <v>0.25064152647673998</v>
      </c>
      <c r="AC14">
        <v>559438.21800095297</v>
      </c>
    </row>
    <row r="15" spans="1:29" x14ac:dyDescent="0.25">
      <c r="A15">
        <v>2014</v>
      </c>
      <c r="B15" t="s">
        <v>236</v>
      </c>
      <c r="C15" t="s">
        <v>217</v>
      </c>
      <c r="D15">
        <v>6.6</v>
      </c>
      <c r="E15">
        <v>1.9923987435385999</v>
      </c>
      <c r="F15">
        <v>1.9580343139584599</v>
      </c>
      <c r="G15">
        <v>227685808724.07401</v>
      </c>
      <c r="H15">
        <v>65639537452.672096</v>
      </c>
      <c r="I15">
        <v>263663009526.84</v>
      </c>
      <c r="J15">
        <v>54318235734.522598</v>
      </c>
      <c r="K15">
        <v>6141000574.8739405</v>
      </c>
      <c r="L15">
        <v>29027911288.636398</v>
      </c>
      <c r="M15">
        <v>99593225606.192307</v>
      </c>
      <c r="N15">
        <v>99593225606.192307</v>
      </c>
      <c r="O15">
        <v>39237441655.367401</v>
      </c>
      <c r="P15">
        <v>26406338047.6418</v>
      </c>
      <c r="Q15">
        <v>1112788840.2832</v>
      </c>
      <c r="R15">
        <v>24163793101.0583</v>
      </c>
      <c r="S15">
        <v>25276581941.341499</v>
      </c>
      <c r="T15">
        <v>107700.426949954</v>
      </c>
      <c r="U15">
        <v>19149323871.012199</v>
      </c>
      <c r="V15">
        <v>30470625589.161701</v>
      </c>
      <c r="W15">
        <v>162046271271.40201</v>
      </c>
      <c r="X15">
        <v>28950633721.217999</v>
      </c>
      <c r="Y15">
        <v>128543859327.41</v>
      </c>
      <c r="Z15">
        <v>0.148971129163296</v>
      </c>
      <c r="AA15">
        <v>0.23704458344875801</v>
      </c>
      <c r="AB15">
        <v>0.24895239408238001</v>
      </c>
      <c r="AC15">
        <v>609464.04124445398</v>
      </c>
    </row>
    <row r="16" spans="1:29" x14ac:dyDescent="0.25">
      <c r="A16">
        <v>2015</v>
      </c>
      <c r="B16" t="s">
        <v>236</v>
      </c>
      <c r="C16" t="s">
        <v>217</v>
      </c>
      <c r="D16">
        <v>6.6</v>
      </c>
      <c r="E16">
        <v>2.1720390055257699</v>
      </c>
      <c r="F16">
        <v>2.1277030559384098</v>
      </c>
      <c r="G16">
        <v>220113434890.875</v>
      </c>
      <c r="H16">
        <v>69952553115.321793</v>
      </c>
      <c r="I16">
        <v>279556464827.35699</v>
      </c>
      <c r="J16">
        <v>57887355971.840103</v>
      </c>
      <c r="K16">
        <v>6900705197.5329304</v>
      </c>
      <c r="L16">
        <v>28718233243.322498</v>
      </c>
      <c r="M16">
        <v>95676824090.395203</v>
      </c>
      <c r="N16">
        <v>95676824090.395203</v>
      </c>
      <c r="O16">
        <v>12341708555.103901</v>
      </c>
      <c r="P16">
        <v>7555527573.4936104</v>
      </c>
      <c r="Q16">
        <v>641452909.95807397</v>
      </c>
      <c r="R16">
        <v>2892554070.3003998</v>
      </c>
      <c r="S16">
        <v>3534006980.2584701</v>
      </c>
      <c r="T16">
        <v>103791.208900956</v>
      </c>
      <c r="U16">
        <v>22268417530.984699</v>
      </c>
      <c r="V16">
        <v>34333614674.4664</v>
      </c>
      <c r="W16">
        <v>150160881775.55301</v>
      </c>
      <c r="X16">
        <v>27102896214.981201</v>
      </c>
      <c r="Y16">
        <v>122779720305.37601</v>
      </c>
      <c r="Z16">
        <v>0.18136885697083299</v>
      </c>
      <c r="AA16">
        <v>0.27963587625930603</v>
      </c>
      <c r="AB16">
        <v>0.25022691984076101</v>
      </c>
      <c r="AC16">
        <v>673973.77731744596</v>
      </c>
    </row>
    <row r="17" spans="1:29" x14ac:dyDescent="0.25">
      <c r="A17">
        <v>2016</v>
      </c>
      <c r="B17" t="s">
        <v>236</v>
      </c>
      <c r="C17" t="s">
        <v>217</v>
      </c>
      <c r="D17">
        <v>6.6</v>
      </c>
      <c r="E17">
        <v>2.3315859340805098</v>
      </c>
      <c r="F17">
        <v>2.3328263865785801</v>
      </c>
      <c r="G17">
        <v>209420913815.767</v>
      </c>
      <c r="H17">
        <v>66642552985.689598</v>
      </c>
      <c r="I17">
        <v>279499353164.52301</v>
      </c>
      <c r="J17">
        <v>55148254291.663002</v>
      </c>
      <c r="K17">
        <v>6924862413.6217299</v>
      </c>
      <c r="L17">
        <v>28229293977.3046</v>
      </c>
      <c r="M17">
        <v>93852212283.917496</v>
      </c>
      <c r="N17">
        <v>93852212283.917496</v>
      </c>
      <c r="O17">
        <v>7466751070.8802404</v>
      </c>
      <c r="P17">
        <v>3412870936.8966799</v>
      </c>
      <c r="Q17">
        <v>726850237.26254201</v>
      </c>
      <c r="R17">
        <v>1848486823.9566901</v>
      </c>
      <c r="S17">
        <v>2575337061.2192402</v>
      </c>
      <c r="T17">
        <v>100240.446716766</v>
      </c>
      <c r="U17">
        <v>19994097900.736698</v>
      </c>
      <c r="V17">
        <v>31488396594.763302</v>
      </c>
      <c r="W17">
        <v>142778360830.077</v>
      </c>
      <c r="X17">
        <v>25910250728.391201</v>
      </c>
      <c r="Y17">
        <v>119762463012.30901</v>
      </c>
      <c r="Z17">
        <v>0.16694795178587599</v>
      </c>
      <c r="AA17">
        <v>0.26292375593116402</v>
      </c>
      <c r="AB17">
        <v>0.238435446204634</v>
      </c>
      <c r="AC17">
        <v>664826.97522280097</v>
      </c>
    </row>
    <row r="18" spans="1:29" x14ac:dyDescent="0.25">
      <c r="A18">
        <v>2017</v>
      </c>
      <c r="B18" t="s">
        <v>236</v>
      </c>
      <c r="C18" t="s">
        <v>217</v>
      </c>
      <c r="D18">
        <v>6.6</v>
      </c>
      <c r="E18">
        <v>2.4413193635633998</v>
      </c>
      <c r="F18">
        <v>2.4779240530392999</v>
      </c>
      <c r="G18">
        <v>198311426453.34698</v>
      </c>
      <c r="H18">
        <v>67350701562.397797</v>
      </c>
      <c r="I18">
        <v>294471770135.14697</v>
      </c>
      <c r="J18">
        <v>55734263621.061996</v>
      </c>
      <c r="K18">
        <v>6520521976.1312904</v>
      </c>
      <c r="L18">
        <v>28485528934.268799</v>
      </c>
      <c r="M18">
        <v>85926118620.159103</v>
      </c>
      <c r="N18">
        <v>85926118620.159103</v>
      </c>
      <c r="O18">
        <v>6978292236.2576799</v>
      </c>
      <c r="P18">
        <v>3473956584.9102602</v>
      </c>
      <c r="Q18">
        <v>707119039.01841497</v>
      </c>
      <c r="R18">
        <v>1186715941.9205401</v>
      </c>
      <c r="S18">
        <v>1893834980.9389601</v>
      </c>
      <c r="T18">
        <v>97466.997226108302</v>
      </c>
      <c r="U18">
        <v>20728212710.6619</v>
      </c>
      <c r="V18">
        <v>32344650651.9977</v>
      </c>
      <c r="W18">
        <v>130960724890.94901</v>
      </c>
      <c r="X18">
        <v>24158523306.851299</v>
      </c>
      <c r="Y18">
        <v>110084641927.00999</v>
      </c>
      <c r="Z18">
        <v>0.18829341085022</v>
      </c>
      <c r="AA18">
        <v>0.29381619530036901</v>
      </c>
      <c r="AB18">
        <v>0.228717005815149</v>
      </c>
      <c r="AC18">
        <v>691010.32635851705</v>
      </c>
    </row>
    <row r="19" spans="1:29" x14ac:dyDescent="0.25">
      <c r="A19">
        <v>2018</v>
      </c>
      <c r="B19" t="s">
        <v>236</v>
      </c>
      <c r="C19" t="s">
        <v>217</v>
      </c>
      <c r="D19">
        <v>6.6</v>
      </c>
      <c r="E19">
        <v>2.5769357028766602</v>
      </c>
      <c r="F19">
        <v>2.6663656670310298</v>
      </c>
      <c r="G19">
        <v>221207245838.15799</v>
      </c>
      <c r="H19">
        <v>76790945831.816803</v>
      </c>
      <c r="I19">
        <v>306535203538.70697</v>
      </c>
      <c r="J19">
        <v>64996082066.318001</v>
      </c>
      <c r="K19">
        <v>6385155809.8774204</v>
      </c>
      <c r="L19">
        <v>28548479139.048599</v>
      </c>
      <c r="M19">
        <v>89619874029.488403</v>
      </c>
      <c r="N19">
        <v>89619874029.488403</v>
      </c>
      <c r="O19">
        <v>8305944008.3502998</v>
      </c>
      <c r="P19">
        <v>3647262609.7235098</v>
      </c>
      <c r="Q19">
        <v>909724335.57328498</v>
      </c>
      <c r="R19">
        <v>1503954681.2929499</v>
      </c>
      <c r="S19">
        <v>2413679016.86623</v>
      </c>
      <c r="T19">
        <v>94566.085657075993</v>
      </c>
      <c r="U19">
        <v>30062447117.392101</v>
      </c>
      <c r="V19">
        <v>41857310882.8908</v>
      </c>
      <c r="W19">
        <v>144416300006.341</v>
      </c>
      <c r="X19">
        <v>26206784718.998402</v>
      </c>
      <c r="Y19">
        <v>115826658748.487</v>
      </c>
      <c r="Z19">
        <v>0.25954687325196502</v>
      </c>
      <c r="AA19">
        <v>0.36137890305359099</v>
      </c>
      <c r="AB19">
        <v>0.25051264893991199</v>
      </c>
      <c r="AC19">
        <v>812034.72998008004</v>
      </c>
    </row>
    <row r="20" spans="1:29" x14ac:dyDescent="0.25">
      <c r="A20">
        <v>2019</v>
      </c>
      <c r="B20" t="s">
        <v>236</v>
      </c>
      <c r="C20" t="s">
        <v>217</v>
      </c>
      <c r="D20">
        <v>6.6</v>
      </c>
      <c r="E20">
        <v>2.7745329798963199</v>
      </c>
      <c r="F20">
        <v>2.8765267810465298</v>
      </c>
      <c r="G20">
        <v>216847818662.254</v>
      </c>
      <c r="H20">
        <v>68758427966.182907</v>
      </c>
      <c r="I20">
        <v>297100553648.78101</v>
      </c>
      <c r="J20">
        <v>57065843245.415901</v>
      </c>
      <c r="K20">
        <v>6657109761.2246904</v>
      </c>
      <c r="L20">
        <v>28158775284.731098</v>
      </c>
      <c r="M20">
        <v>93366401759.866699</v>
      </c>
      <c r="N20">
        <v>93366401759.866699</v>
      </c>
      <c r="O20">
        <v>11086207389.450199</v>
      </c>
      <c r="P20">
        <v>3814291497.2290101</v>
      </c>
      <c r="Q20">
        <v>3861942906.2978401</v>
      </c>
      <c r="R20">
        <v>1411847995.0980401</v>
      </c>
      <c r="S20">
        <v>5273790901.3958797</v>
      </c>
      <c r="T20">
        <v>90481</v>
      </c>
      <c r="U20">
        <v>22249958199.460098</v>
      </c>
      <c r="V20">
        <v>33942542920.2272</v>
      </c>
      <c r="W20">
        <v>148089390696.07101</v>
      </c>
      <c r="X20">
        <v>26704267572.848801</v>
      </c>
      <c r="Y20">
        <v>120070669332.715</v>
      </c>
      <c r="Z20">
        <v>0.185307188867296</v>
      </c>
      <c r="AA20">
        <v>0.28268804620529298</v>
      </c>
      <c r="AB20">
        <v>0.231431503986579</v>
      </c>
      <c r="AC20">
        <v>759921.17644790502</v>
      </c>
    </row>
    <row r="21" spans="1:29" x14ac:dyDescent="0.25">
      <c r="A21">
        <v>2020</v>
      </c>
      <c r="B21" t="s">
        <v>236</v>
      </c>
      <c r="C21" t="s">
        <v>217</v>
      </c>
      <c r="D21">
        <v>6.6</v>
      </c>
      <c r="E21">
        <v>3.0720570809110601</v>
      </c>
      <c r="F21">
        <v>3.1471888218240598</v>
      </c>
      <c r="G21">
        <v>195574988539.379</v>
      </c>
      <c r="H21">
        <v>59557197640.594704</v>
      </c>
      <c r="I21">
        <v>272887536854.19501</v>
      </c>
      <c r="J21">
        <v>49283163317.278397</v>
      </c>
      <c r="K21">
        <v>6428762644.4393501</v>
      </c>
      <c r="L21">
        <v>24872424541.700901</v>
      </c>
      <c r="M21">
        <v>96457387673.009399</v>
      </c>
      <c r="N21">
        <v>96457387673.009399</v>
      </c>
      <c r="O21">
        <v>13327083093.0541</v>
      </c>
      <c r="P21">
        <v>3192813408.7729998</v>
      </c>
      <c r="Q21">
        <v>1066207056.5371799</v>
      </c>
      <c r="R21">
        <v>881934004.41217196</v>
      </c>
      <c r="S21">
        <v>1948141060.9493501</v>
      </c>
      <c r="T21">
        <v>84764.464740720796</v>
      </c>
      <c r="U21">
        <v>17981976131.138199</v>
      </c>
      <c r="V21">
        <v>28256010454.454399</v>
      </c>
      <c r="W21">
        <v>136017790898.784</v>
      </c>
      <c r="X21">
        <v>24377305369.770401</v>
      </c>
      <c r="Y21">
        <v>120834693042.78</v>
      </c>
      <c r="Z21">
        <v>0.14881467961169001</v>
      </c>
      <c r="AA21">
        <v>0.23384021379067699</v>
      </c>
      <c r="AB21">
        <v>0.21824814107364801</v>
      </c>
      <c r="AC21">
        <v>702619.875236272</v>
      </c>
    </row>
    <row r="22" spans="1:29" x14ac:dyDescent="0.25">
      <c r="A22">
        <v>2021</v>
      </c>
      <c r="B22" t="s">
        <v>236</v>
      </c>
      <c r="C22" t="s">
        <v>217</v>
      </c>
      <c r="D22">
        <v>6.6</v>
      </c>
      <c r="E22">
        <v>3.4122569293530698</v>
      </c>
      <c r="F22">
        <v>3.3976997291003301</v>
      </c>
      <c r="G22">
        <v>216997552005.52899</v>
      </c>
      <c r="H22">
        <v>65931342445.577797</v>
      </c>
      <c r="I22">
        <v>297794919014.51898</v>
      </c>
      <c r="J22">
        <v>62727489228.561897</v>
      </c>
      <c r="K22">
        <v>6370954532.1364498</v>
      </c>
      <c r="L22">
        <v>24758544187.228699</v>
      </c>
      <c r="M22">
        <v>110540909913.194</v>
      </c>
      <c r="N22">
        <v>110540909913.194</v>
      </c>
      <c r="O22">
        <v>24600428784.675201</v>
      </c>
      <c r="P22">
        <v>5458822322.7108898</v>
      </c>
      <c r="Q22">
        <v>970725646.183761</v>
      </c>
      <c r="R22">
        <v>1759477237.11585</v>
      </c>
      <c r="S22">
        <v>2730202883.2996101</v>
      </c>
      <c r="T22">
        <v>86333.094378265305</v>
      </c>
      <c r="U22">
        <v>31597990509.196701</v>
      </c>
      <c r="V22">
        <v>34801843726.212601</v>
      </c>
      <c r="W22">
        <v>151066209559.952</v>
      </c>
      <c r="X22">
        <v>26640114204.118198</v>
      </c>
      <c r="Y22">
        <v>137181024117.312</v>
      </c>
      <c r="Z22">
        <v>0.23033791089192701</v>
      </c>
      <c r="AA22">
        <v>0.25369284090233502</v>
      </c>
      <c r="AB22">
        <v>0.22139848008072699</v>
      </c>
      <c r="AC22">
        <v>763685.61697443598</v>
      </c>
    </row>
    <row r="23" spans="1:29" x14ac:dyDescent="0.25">
      <c r="A23">
        <v>2022</v>
      </c>
      <c r="B23" t="s">
        <v>236</v>
      </c>
      <c r="C23" t="s">
        <v>217</v>
      </c>
      <c r="D23">
        <v>6.6</v>
      </c>
      <c r="E23">
        <v>3.6166176585179901</v>
      </c>
      <c r="F23">
        <v>3.7001093103939899</v>
      </c>
      <c r="G23">
        <v>245380682520.02499</v>
      </c>
      <c r="H23">
        <v>73421100951.151199</v>
      </c>
      <c r="I23">
        <v>299334834599.41901</v>
      </c>
      <c r="J23">
        <v>62298329349.386597</v>
      </c>
      <c r="K23">
        <v>5951262672.8985796</v>
      </c>
      <c r="L23">
        <v>25839753913.5667</v>
      </c>
      <c r="M23">
        <v>108555428018.28999</v>
      </c>
      <c r="N23">
        <v>108555428018.28999</v>
      </c>
      <c r="O23">
        <v>19268559834.662102</v>
      </c>
      <c r="P23">
        <v>4767700474.2145205</v>
      </c>
      <c r="Q23">
        <v>1144875495.18241</v>
      </c>
      <c r="R23">
        <v>1432382556.76267</v>
      </c>
      <c r="S23">
        <v>2577258051.9450798</v>
      </c>
      <c r="T23">
        <v>89467.506088785594</v>
      </c>
      <c r="U23">
        <v>30507312762.921299</v>
      </c>
      <c r="V23">
        <v>41630084364.685898</v>
      </c>
      <c r="W23">
        <v>171959581568.87399</v>
      </c>
      <c r="X23">
        <v>29969596285.2183</v>
      </c>
      <c r="Y23">
        <v>138525024303.508</v>
      </c>
      <c r="Z23">
        <v>0.22022961494725901</v>
      </c>
      <c r="AA23">
        <v>0.30052392752860602</v>
      </c>
      <c r="AB23">
        <v>0.24528084427395799</v>
      </c>
      <c r="AC23">
        <v>820645.44057246496</v>
      </c>
    </row>
    <row r="24" spans="1:29" x14ac:dyDescent="0.25">
      <c r="A24">
        <v>2023</v>
      </c>
      <c r="B24" t="s">
        <v>236</v>
      </c>
      <c r="C24" t="s">
        <v>217</v>
      </c>
      <c r="D24">
        <v>6.6</v>
      </c>
      <c r="E24">
        <v>3.7632011320453098</v>
      </c>
      <c r="F24">
        <v>3.8887885556770101</v>
      </c>
      <c r="G24">
        <v>215133997424.44699</v>
      </c>
      <c r="H24">
        <v>63809281335.219597</v>
      </c>
      <c r="I24">
        <v>303932409821.64099</v>
      </c>
      <c r="J24">
        <v>52731349214.1726</v>
      </c>
      <c r="K24">
        <v>6559395292.7675695</v>
      </c>
      <c r="L24">
        <v>26902928344.786999</v>
      </c>
      <c r="M24">
        <v>106946925737.8</v>
      </c>
      <c r="N24">
        <v>106946925737.8</v>
      </c>
      <c r="O24">
        <v>15002596630.993999</v>
      </c>
      <c r="P24">
        <v>10280650525.106899</v>
      </c>
      <c r="Q24">
        <v>810068809.06526506</v>
      </c>
      <c r="R24">
        <v>1326170212.5053699</v>
      </c>
      <c r="S24">
        <v>2136239021.5706401</v>
      </c>
      <c r="T24">
        <v>89501.941393681205</v>
      </c>
      <c r="U24">
        <v>19269025576.618</v>
      </c>
      <c r="V24">
        <v>30346957697.665001</v>
      </c>
      <c r="W24">
        <v>151324716089.228</v>
      </c>
      <c r="X24">
        <v>27004188550.608299</v>
      </c>
      <c r="Y24">
        <v>133951114288.408</v>
      </c>
      <c r="Z24">
        <v>0.143851177938917</v>
      </c>
      <c r="AA24">
        <v>0.22655248415720899</v>
      </c>
      <c r="AB24">
        <v>0.20994563025596799</v>
      </c>
      <c r="AC24">
        <v>712937.39936377003</v>
      </c>
    </row>
    <row r="25" spans="1:29" x14ac:dyDescent="0.25">
      <c r="A25">
        <v>2024</v>
      </c>
      <c r="B25" t="s">
        <v>236</v>
      </c>
      <c r="C25" t="s">
        <v>217</v>
      </c>
      <c r="D25">
        <v>6.6</v>
      </c>
      <c r="E25">
        <v>3.9207675323421101</v>
      </c>
      <c r="F25">
        <v>4.1023240340287996</v>
      </c>
      <c r="G25">
        <v>218852967067.022</v>
      </c>
      <c r="H25">
        <v>67326186301.583504</v>
      </c>
      <c r="I25">
        <v>320611447753.72101</v>
      </c>
      <c r="J25">
        <v>55754572590.045303</v>
      </c>
      <c r="K25">
        <v>7017952212.7411699</v>
      </c>
      <c r="L25">
        <v>27526900531.303699</v>
      </c>
      <c r="M25">
        <v>111449085921.908</v>
      </c>
      <c r="N25">
        <v>111449085921.908</v>
      </c>
      <c r="O25">
        <v>11171551784.995501</v>
      </c>
      <c r="P25">
        <v>5721026353.3098097</v>
      </c>
      <c r="Q25">
        <v>564507182.51904202</v>
      </c>
      <c r="R25">
        <v>1578967213.6854801</v>
      </c>
      <c r="S25">
        <v>2143474396.20452</v>
      </c>
      <c r="T25">
        <v>90863.927158021295</v>
      </c>
      <c r="U25">
        <v>21209719846.0005</v>
      </c>
      <c r="V25">
        <v>32781333557.538601</v>
      </c>
      <c r="W25">
        <v>151526780765.439</v>
      </c>
      <c r="X25">
        <v>27129345651.021599</v>
      </c>
      <c r="Y25">
        <v>138578431572.92999</v>
      </c>
      <c r="Z25">
        <v>0.153052099127262</v>
      </c>
      <c r="AA25">
        <v>0.236554369864453</v>
      </c>
      <c r="AB25">
        <v>0.20999308282123599</v>
      </c>
      <c r="AC25">
        <v>740956.15727126296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25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5"/>
  <sheetData>
    <row r="1" spans="1:24" x14ac:dyDescent="0.25">
      <c r="A1" t="s">
        <v>52</v>
      </c>
      <c r="B1" t="s">
        <v>61</v>
      </c>
      <c r="C1" t="s">
        <v>57</v>
      </c>
      <c r="D1" t="s">
        <v>237</v>
      </c>
      <c r="E1" t="s">
        <v>238</v>
      </c>
      <c r="F1" t="s">
        <v>239</v>
      </c>
      <c r="G1" t="s">
        <v>240</v>
      </c>
      <c r="H1" t="s">
        <v>241</v>
      </c>
      <c r="I1" t="s">
        <v>242</v>
      </c>
      <c r="J1" t="s">
        <v>243</v>
      </c>
      <c r="K1" t="s">
        <v>244</v>
      </c>
      <c r="L1" t="s">
        <v>245</v>
      </c>
      <c r="M1" t="s">
        <v>246</v>
      </c>
      <c r="N1" t="s">
        <v>247</v>
      </c>
      <c r="O1" t="s">
        <v>248</v>
      </c>
      <c r="P1" t="s">
        <v>249</v>
      </c>
      <c r="Q1" t="s">
        <v>250</v>
      </c>
      <c r="R1" t="s">
        <v>251</v>
      </c>
      <c r="S1" t="s">
        <v>252</v>
      </c>
      <c r="T1" t="s">
        <v>253</v>
      </c>
      <c r="U1" t="s">
        <v>254</v>
      </c>
      <c r="V1" t="s">
        <v>255</v>
      </c>
      <c r="W1" t="s">
        <v>256</v>
      </c>
      <c r="X1" t="s">
        <v>257</v>
      </c>
    </row>
    <row r="2" spans="1:24" x14ac:dyDescent="0.25">
      <c r="A2">
        <v>2001</v>
      </c>
      <c r="B2" t="s">
        <v>23</v>
      </c>
      <c r="C2" t="s">
        <v>23</v>
      </c>
      <c r="D2" t="s">
        <v>219</v>
      </c>
      <c r="E2" t="s">
        <v>219</v>
      </c>
      <c r="F2" t="s">
        <v>219</v>
      </c>
      <c r="G2" t="s">
        <v>219</v>
      </c>
      <c r="H2" t="s">
        <v>219</v>
      </c>
      <c r="I2" t="s">
        <v>219</v>
      </c>
      <c r="J2" t="s">
        <v>219</v>
      </c>
      <c r="K2" t="s">
        <v>219</v>
      </c>
      <c r="L2" t="s">
        <v>219</v>
      </c>
      <c r="M2" t="s">
        <v>219</v>
      </c>
      <c r="N2" t="s">
        <v>219</v>
      </c>
      <c r="O2" t="s">
        <v>219</v>
      </c>
      <c r="P2" t="s">
        <v>219</v>
      </c>
      <c r="Q2" t="s">
        <v>219</v>
      </c>
      <c r="R2" t="s">
        <v>219</v>
      </c>
      <c r="S2" t="s">
        <v>219</v>
      </c>
      <c r="T2" t="s">
        <v>219</v>
      </c>
      <c r="U2" t="s">
        <v>219</v>
      </c>
      <c r="V2" t="s">
        <v>219</v>
      </c>
      <c r="W2" t="s">
        <v>219</v>
      </c>
      <c r="X2" t="s">
        <v>219</v>
      </c>
    </row>
    <row r="3" spans="1:24" x14ac:dyDescent="0.25">
      <c r="A3">
        <v>2002</v>
      </c>
      <c r="B3" t="s">
        <v>23</v>
      </c>
      <c r="C3" t="s">
        <v>23</v>
      </c>
      <c r="D3">
        <v>-9.8211866476765692</v>
      </c>
      <c r="E3">
        <v>-10.877500586746599</v>
      </c>
      <c r="F3">
        <v>-11.4670856185912</v>
      </c>
      <c r="G3">
        <v>4.6320854870236303</v>
      </c>
      <c r="H3">
        <v>-23.551662186795099</v>
      </c>
      <c r="I3" t="s">
        <v>219</v>
      </c>
      <c r="J3">
        <v>-11.956808627072901</v>
      </c>
      <c r="K3" t="s">
        <v>219</v>
      </c>
      <c r="L3" t="s">
        <v>219</v>
      </c>
      <c r="M3" t="s">
        <v>219</v>
      </c>
      <c r="N3" t="s">
        <v>219</v>
      </c>
      <c r="O3" t="s">
        <v>219</v>
      </c>
      <c r="P3">
        <v>-36.876745187737598</v>
      </c>
      <c r="Q3">
        <v>1.65931599608957</v>
      </c>
      <c r="R3">
        <v>0.78882730030023196</v>
      </c>
      <c r="S3">
        <v>-8.8792279890676191</v>
      </c>
      <c r="T3">
        <v>-13.362458412633</v>
      </c>
      <c r="U3">
        <v>-12.304748147087601</v>
      </c>
      <c r="V3">
        <v>15.9233981864817</v>
      </c>
      <c r="W3">
        <v>14.9307689649482</v>
      </c>
      <c r="X3">
        <v>41.188060847490298</v>
      </c>
    </row>
    <row r="4" spans="1:24" x14ac:dyDescent="0.25">
      <c r="A4">
        <v>2003</v>
      </c>
      <c r="B4" t="s">
        <v>23</v>
      </c>
      <c r="C4" t="s">
        <v>23</v>
      </c>
      <c r="D4">
        <v>6.2783167599403704</v>
      </c>
      <c r="E4">
        <v>-5.2165698234505697</v>
      </c>
      <c r="F4">
        <v>-5.0271092266170596</v>
      </c>
      <c r="G4">
        <v>18.273223845135298</v>
      </c>
      <c r="H4">
        <v>-12.569918305120099</v>
      </c>
      <c r="I4" t="s">
        <v>219</v>
      </c>
      <c r="J4">
        <v>-9.9603690728924299</v>
      </c>
      <c r="K4" t="s">
        <v>219</v>
      </c>
      <c r="L4" t="s">
        <v>219</v>
      </c>
      <c r="M4" t="s">
        <v>219</v>
      </c>
      <c r="N4" t="s">
        <v>219</v>
      </c>
      <c r="O4" t="s">
        <v>219</v>
      </c>
      <c r="P4">
        <v>1.5358959049638601</v>
      </c>
      <c r="Q4">
        <v>-3.1275835338502098</v>
      </c>
      <c r="R4">
        <v>-3.84609919086795</v>
      </c>
      <c r="S4">
        <v>16.303988697915301</v>
      </c>
      <c r="T4">
        <v>8.5190289662953909</v>
      </c>
      <c r="U4">
        <v>-5.4413467142747498</v>
      </c>
      <c r="V4">
        <v>2.4469079243684999</v>
      </c>
      <c r="W4">
        <v>1.6870455193418199</v>
      </c>
      <c r="X4">
        <v>-6.65032367935635</v>
      </c>
    </row>
    <row r="5" spans="1:24" x14ac:dyDescent="0.25">
      <c r="A5">
        <v>2004</v>
      </c>
      <c r="B5" t="s">
        <v>23</v>
      </c>
      <c r="C5" t="s">
        <v>23</v>
      </c>
      <c r="D5">
        <v>10.006403750787999</v>
      </c>
      <c r="E5">
        <v>6.1046386042482803</v>
      </c>
      <c r="F5">
        <v>5.48200871982334</v>
      </c>
      <c r="G5">
        <v>2.3535275587306201</v>
      </c>
      <c r="H5">
        <v>-1.1363133392873399</v>
      </c>
      <c r="I5">
        <v>32.040894127457499</v>
      </c>
      <c r="J5">
        <v>32.040894127457499</v>
      </c>
      <c r="K5">
        <v>27.406895185608398</v>
      </c>
      <c r="L5">
        <v>5.2920020643961498</v>
      </c>
      <c r="M5">
        <v>-62.625732149853199</v>
      </c>
      <c r="N5" t="s">
        <v>219</v>
      </c>
      <c r="O5" t="s">
        <v>219</v>
      </c>
      <c r="P5">
        <v>0.90377412598958695</v>
      </c>
      <c r="Q5">
        <v>12.933852809670199</v>
      </c>
      <c r="R5">
        <v>13.0378394984693</v>
      </c>
      <c r="S5">
        <v>12.779773257280301</v>
      </c>
      <c r="T5">
        <v>9.7568792134184807</v>
      </c>
      <c r="U5">
        <v>25.786939427624599</v>
      </c>
      <c r="V5">
        <v>-10.218140831186901</v>
      </c>
      <c r="W5">
        <v>-10.1354719235306</v>
      </c>
      <c r="X5">
        <v>5.1542814164362598</v>
      </c>
    </row>
    <row r="6" spans="1:24" x14ac:dyDescent="0.25">
      <c r="A6">
        <v>2005</v>
      </c>
      <c r="B6" t="s">
        <v>23</v>
      </c>
      <c r="C6" t="s">
        <v>23</v>
      </c>
      <c r="D6">
        <v>7.3836352779991703</v>
      </c>
      <c r="E6">
        <v>10.13872558958</v>
      </c>
      <c r="F6">
        <v>10.5752310233848</v>
      </c>
      <c r="G6">
        <v>-0.934552769777242</v>
      </c>
      <c r="H6">
        <v>12.880390221113601</v>
      </c>
      <c r="I6">
        <v>26.7575156572255</v>
      </c>
      <c r="J6">
        <v>26.7575156572255</v>
      </c>
      <c r="K6">
        <v>5.7349740854483402</v>
      </c>
      <c r="L6">
        <v>-44.046908591428704</v>
      </c>
      <c r="M6">
        <v>58.5263165692946</v>
      </c>
      <c r="N6">
        <v>4.4506428058838301</v>
      </c>
      <c r="O6">
        <v>25.271454489050001</v>
      </c>
      <c r="P6">
        <v>12.3859229084311</v>
      </c>
      <c r="Q6">
        <v>12.015288598752299</v>
      </c>
      <c r="R6">
        <v>10.926776229144201</v>
      </c>
      <c r="S6">
        <v>5.5412281546579196</v>
      </c>
      <c r="T6">
        <v>6.9772377168361199</v>
      </c>
      <c r="U6">
        <v>21.913674643486399</v>
      </c>
      <c r="V6">
        <v>-8.1191761905956099</v>
      </c>
      <c r="W6">
        <v>-9.0120312150965702</v>
      </c>
      <c r="X6">
        <v>-1.99953629484554</v>
      </c>
    </row>
    <row r="7" spans="1:24" x14ac:dyDescent="0.25">
      <c r="A7">
        <v>2006</v>
      </c>
      <c r="B7" t="s">
        <v>23</v>
      </c>
      <c r="C7" t="s">
        <v>23</v>
      </c>
      <c r="D7">
        <v>-14.7077504452574</v>
      </c>
      <c r="E7">
        <v>-19.0101549816439</v>
      </c>
      <c r="F7">
        <v>-19.384466807761001</v>
      </c>
      <c r="G7">
        <v>-7.1076741354911297</v>
      </c>
      <c r="H7">
        <v>-21.545360734079601</v>
      </c>
      <c r="I7">
        <v>-9.0337952946942792</v>
      </c>
      <c r="J7">
        <v>-9.0337952946942792</v>
      </c>
      <c r="K7">
        <v>-19.420528886094701</v>
      </c>
      <c r="L7">
        <v>51.313039951264599</v>
      </c>
      <c r="M7">
        <v>-19.884450355087498</v>
      </c>
      <c r="N7">
        <v>-30.946020594509601</v>
      </c>
      <c r="O7">
        <v>-25.556355904650399</v>
      </c>
      <c r="P7">
        <v>-47.391729588810001</v>
      </c>
      <c r="Q7">
        <v>-20.740308447804399</v>
      </c>
      <c r="R7">
        <v>-19.8037378031181</v>
      </c>
      <c r="S7">
        <v>-11.705278827966501</v>
      </c>
      <c r="T7">
        <v>-13.736871742638799</v>
      </c>
      <c r="U7">
        <v>-10.044393416110401</v>
      </c>
      <c r="V7">
        <v>-11.8902150047972</v>
      </c>
      <c r="W7">
        <v>-10.849067398491099</v>
      </c>
      <c r="X7">
        <v>53.9488836742469</v>
      </c>
    </row>
    <row r="8" spans="1:24" x14ac:dyDescent="0.25">
      <c r="A8">
        <v>2007</v>
      </c>
      <c r="B8" t="s">
        <v>23</v>
      </c>
      <c r="C8" t="s">
        <v>23</v>
      </c>
      <c r="D8">
        <v>30.7616179292122</v>
      </c>
      <c r="E8">
        <v>37.043315717204699</v>
      </c>
      <c r="F8">
        <v>37.660342559187697</v>
      </c>
      <c r="G8">
        <v>17.206778689820801</v>
      </c>
      <c r="H8">
        <v>48.351971318663601</v>
      </c>
      <c r="I8">
        <v>15.1670046243211</v>
      </c>
      <c r="J8">
        <v>15.1670046243211</v>
      </c>
      <c r="K8">
        <v>85.448246668507807</v>
      </c>
      <c r="L8">
        <v>57.688222022413498</v>
      </c>
      <c r="M8">
        <v>14.446846733141101</v>
      </c>
      <c r="N8">
        <v>67.851391903737706</v>
      </c>
      <c r="O8">
        <v>39.847887778779203</v>
      </c>
      <c r="P8">
        <v>86.662959842869597</v>
      </c>
      <c r="Q8">
        <v>34.852077617891098</v>
      </c>
      <c r="R8">
        <v>34.096546803660097</v>
      </c>
      <c r="S8">
        <v>26.740558099740301</v>
      </c>
      <c r="T8">
        <v>30.798581713626699</v>
      </c>
      <c r="U8">
        <v>18.388045321880099</v>
      </c>
      <c r="V8">
        <v>13.906836835803499</v>
      </c>
      <c r="W8">
        <v>13.268655157765901</v>
      </c>
      <c r="X8">
        <v>-26.582480084658499</v>
      </c>
    </row>
    <row r="9" spans="1:24" x14ac:dyDescent="0.25">
      <c r="A9">
        <v>2008</v>
      </c>
      <c r="B9" t="s">
        <v>23</v>
      </c>
      <c r="C9" t="s">
        <v>23</v>
      </c>
      <c r="D9">
        <v>7.5294148513103103</v>
      </c>
      <c r="E9">
        <v>-3.2001877521856801</v>
      </c>
      <c r="F9">
        <v>-3.9123040418015198</v>
      </c>
      <c r="G9">
        <v>6.5975741854709096</v>
      </c>
      <c r="H9">
        <v>14.971380382949301</v>
      </c>
      <c r="I9">
        <v>5.7296862075958597</v>
      </c>
      <c r="J9">
        <v>5.7296862075958597</v>
      </c>
      <c r="K9">
        <v>3.1757006926377498</v>
      </c>
      <c r="L9">
        <v>43.526915851360201</v>
      </c>
      <c r="M9">
        <v>106.173454725036</v>
      </c>
      <c r="N9">
        <v>26.7351498569274</v>
      </c>
      <c r="O9">
        <v>60.823975991052102</v>
      </c>
      <c r="P9">
        <v>13.527909512877301</v>
      </c>
      <c r="Q9">
        <v>-24.339163654929902</v>
      </c>
      <c r="R9">
        <v>-19.673565128996501</v>
      </c>
      <c r="S9">
        <v>14.956003611460799</v>
      </c>
      <c r="T9">
        <v>14.9592784270555</v>
      </c>
      <c r="U9">
        <v>7.8309042130912703</v>
      </c>
      <c r="V9">
        <v>-29.833810726884</v>
      </c>
      <c r="W9">
        <v>-25.507037655674701</v>
      </c>
      <c r="X9">
        <v>-14.7347884206091</v>
      </c>
    </row>
    <row r="10" spans="1:24" x14ac:dyDescent="0.25">
      <c r="A10">
        <v>2009</v>
      </c>
      <c r="B10" t="s">
        <v>23</v>
      </c>
      <c r="C10" t="s">
        <v>23</v>
      </c>
      <c r="D10">
        <v>-4.9694139780791602</v>
      </c>
      <c r="E10">
        <v>5.7747189581653302</v>
      </c>
      <c r="F10">
        <v>7.0101237234822404</v>
      </c>
      <c r="G10">
        <v>-2.0075988297297398</v>
      </c>
      <c r="H10">
        <v>16.098451616529399</v>
      </c>
      <c r="I10">
        <v>-3.5880529367357501</v>
      </c>
      <c r="J10">
        <v>-3.5880529367357501</v>
      </c>
      <c r="K10">
        <v>-19.651178156828301</v>
      </c>
      <c r="L10">
        <v>-25.593368435120301</v>
      </c>
      <c r="M10">
        <v>-0.337631850082942</v>
      </c>
      <c r="N10">
        <v>-46.816722019282601</v>
      </c>
      <c r="O10">
        <v>-21.247256521395901</v>
      </c>
      <c r="P10">
        <v>9.3979251124273908</v>
      </c>
      <c r="Q10">
        <v>-2.5003709849184301</v>
      </c>
      <c r="R10">
        <v>-3.5216587259715899</v>
      </c>
      <c r="S10">
        <v>-11.231513559854699</v>
      </c>
      <c r="T10">
        <v>-5.4103944707699201</v>
      </c>
      <c r="U10">
        <v>-4.0303551940855904</v>
      </c>
      <c r="V10">
        <v>1.5942376490621899</v>
      </c>
      <c r="W10">
        <v>0.53005975914859305</v>
      </c>
      <c r="X10">
        <v>-3.31195143832801</v>
      </c>
    </row>
    <row r="11" spans="1:24" x14ac:dyDescent="0.25">
      <c r="A11">
        <v>2010</v>
      </c>
      <c r="B11" t="s">
        <v>23</v>
      </c>
      <c r="C11" t="s">
        <v>23</v>
      </c>
      <c r="D11">
        <v>18.115575052191701</v>
      </c>
      <c r="E11">
        <v>25.242391920963499</v>
      </c>
      <c r="F11">
        <v>25.6885381485666</v>
      </c>
      <c r="G11">
        <v>13.5099202181416</v>
      </c>
      <c r="H11">
        <v>15.793648486720899</v>
      </c>
      <c r="I11">
        <v>23.584629715399299</v>
      </c>
      <c r="J11">
        <v>23.584629715399299</v>
      </c>
      <c r="K11">
        <v>55.272470980794502</v>
      </c>
      <c r="L11">
        <v>54.9009294149784</v>
      </c>
      <c r="M11">
        <v>-7.9666288313828897</v>
      </c>
      <c r="N11">
        <v>233.33147185300999</v>
      </c>
      <c r="O11">
        <v>65.341465896368902</v>
      </c>
      <c r="P11">
        <v>9.38752157547491</v>
      </c>
      <c r="Q11">
        <v>46.993890173237197</v>
      </c>
      <c r="R11">
        <v>41.5729895714585</v>
      </c>
      <c r="S11">
        <v>13.1660074437597</v>
      </c>
      <c r="T11">
        <v>13.8529437271617</v>
      </c>
      <c r="U11">
        <v>21.256608164555999</v>
      </c>
      <c r="V11">
        <v>21.225467542151101</v>
      </c>
      <c r="W11">
        <v>16.754865334292798</v>
      </c>
      <c r="X11">
        <v>14.494222117053001</v>
      </c>
    </row>
    <row r="12" spans="1:24" x14ac:dyDescent="0.25">
      <c r="A12">
        <v>2011</v>
      </c>
      <c r="B12" t="s">
        <v>23</v>
      </c>
      <c r="C12" t="s">
        <v>23</v>
      </c>
      <c r="D12">
        <v>-0.23834053116498199</v>
      </c>
      <c r="E12">
        <v>-1.8963929164279201</v>
      </c>
      <c r="F12">
        <v>-1.7717530926789999</v>
      </c>
      <c r="G12">
        <v>-9.0927854547778004</v>
      </c>
      <c r="H12">
        <v>10.5978041664423</v>
      </c>
      <c r="I12" t="s">
        <v>219</v>
      </c>
      <c r="J12">
        <v>-4.9587520407372701</v>
      </c>
      <c r="K12" t="s">
        <v>219</v>
      </c>
      <c r="L12" t="s">
        <v>219</v>
      </c>
      <c r="M12" t="s">
        <v>219</v>
      </c>
      <c r="N12" t="s">
        <v>219</v>
      </c>
      <c r="O12" t="s">
        <v>219</v>
      </c>
      <c r="P12">
        <v>3.8628503498551598</v>
      </c>
      <c r="Q12">
        <v>-16.100413077475601</v>
      </c>
      <c r="R12">
        <v>-13.983732779261601</v>
      </c>
      <c r="S12">
        <v>1.03605801871323</v>
      </c>
      <c r="T12">
        <v>3.5783656606952698</v>
      </c>
      <c r="U12">
        <v>-3.0411917552088399</v>
      </c>
      <c r="V12">
        <v>-13.468834403674</v>
      </c>
      <c r="W12">
        <v>-11.2857627090736</v>
      </c>
      <c r="X12">
        <v>-5.5450464212020503</v>
      </c>
    </row>
    <row r="13" spans="1:24" x14ac:dyDescent="0.25">
      <c r="A13">
        <v>2012</v>
      </c>
      <c r="B13" t="s">
        <v>23</v>
      </c>
      <c r="C13" t="s">
        <v>23</v>
      </c>
      <c r="D13">
        <v>8.5008255619046604</v>
      </c>
      <c r="E13">
        <v>6.3923690728100704</v>
      </c>
      <c r="F13">
        <v>6.5245098973587803</v>
      </c>
      <c r="G13">
        <v>2.7062327568496198</v>
      </c>
      <c r="H13">
        <v>9.3064116505730006</v>
      </c>
      <c r="I13" t="s">
        <v>219</v>
      </c>
      <c r="J13">
        <v>-2.9325077418147898</v>
      </c>
      <c r="K13" t="s">
        <v>219</v>
      </c>
      <c r="L13" t="s">
        <v>219</v>
      </c>
      <c r="M13" t="s">
        <v>219</v>
      </c>
      <c r="N13" t="s">
        <v>219</v>
      </c>
      <c r="O13" t="s">
        <v>219</v>
      </c>
      <c r="P13">
        <v>4.1267778622639204</v>
      </c>
      <c r="Q13">
        <v>2.8490586928761701</v>
      </c>
      <c r="R13">
        <v>3.1883237630462502</v>
      </c>
      <c r="S13">
        <v>10.0743744713123</v>
      </c>
      <c r="T13">
        <v>9.8563483449268805</v>
      </c>
      <c r="U13">
        <v>0.13616971536147801</v>
      </c>
      <c r="V13">
        <v>2.7091998677661699</v>
      </c>
      <c r="W13">
        <v>3.0480035898722502</v>
      </c>
      <c r="X13">
        <v>2.1758007469922802</v>
      </c>
    </row>
    <row r="14" spans="1:24" x14ac:dyDescent="0.25">
      <c r="A14">
        <v>2013</v>
      </c>
      <c r="B14" t="s">
        <v>23</v>
      </c>
      <c r="C14" t="s">
        <v>23</v>
      </c>
      <c r="D14">
        <v>4.7639135273163502</v>
      </c>
      <c r="E14">
        <v>8.3973571524380297</v>
      </c>
      <c r="F14">
        <v>8.6893256778275596</v>
      </c>
      <c r="G14">
        <v>-2.5687708312434299</v>
      </c>
      <c r="H14">
        <v>8.02528528970217</v>
      </c>
      <c r="I14">
        <v>4.0759025189536704</v>
      </c>
      <c r="J14">
        <v>4.0759025189536704</v>
      </c>
      <c r="K14">
        <v>25.595581811328401</v>
      </c>
      <c r="L14">
        <v>22.778691157429002</v>
      </c>
      <c r="M14">
        <v>-20.788735284895498</v>
      </c>
      <c r="N14">
        <v>131.93602158208199</v>
      </c>
      <c r="O14">
        <v>37.720772673901003</v>
      </c>
      <c r="P14">
        <v>4.8607085512212898</v>
      </c>
      <c r="Q14">
        <v>13.473155274423499</v>
      </c>
      <c r="R14">
        <v>11.751520895687401</v>
      </c>
      <c r="S14">
        <v>2.1429662620462602</v>
      </c>
      <c r="T14">
        <v>3.80460801736267</v>
      </c>
      <c r="U14">
        <v>4.0044866511028196</v>
      </c>
      <c r="V14">
        <v>9.1040963021957495</v>
      </c>
      <c r="W14">
        <v>7.4487500434216898</v>
      </c>
      <c r="X14">
        <v>3.3727109515850899</v>
      </c>
    </row>
    <row r="15" spans="1:24" x14ac:dyDescent="0.25">
      <c r="A15">
        <v>2014</v>
      </c>
      <c r="B15" t="s">
        <v>23</v>
      </c>
      <c r="C15" t="s">
        <v>23</v>
      </c>
      <c r="D15">
        <v>6.4987072119082798</v>
      </c>
      <c r="E15">
        <v>7.5862227506623201</v>
      </c>
      <c r="F15">
        <v>7.6333979814450403</v>
      </c>
      <c r="G15">
        <v>9.5124111366749808</v>
      </c>
      <c r="H15">
        <v>7.6360996388197897</v>
      </c>
      <c r="I15">
        <v>12.0633692984626</v>
      </c>
      <c r="J15">
        <v>12.0633692984626</v>
      </c>
      <c r="K15">
        <v>52.2326535329072</v>
      </c>
      <c r="L15">
        <v>82.701121244236703</v>
      </c>
      <c r="M15">
        <v>8.6206945078928694</v>
      </c>
      <c r="N15">
        <v>116.496118811459</v>
      </c>
      <c r="O15">
        <v>78.220539626185598</v>
      </c>
      <c r="P15">
        <v>4.14657626079702</v>
      </c>
      <c r="Q15">
        <v>7.1204477495789202</v>
      </c>
      <c r="R15">
        <v>7.0857792918266798</v>
      </c>
      <c r="S15">
        <v>5.666204694268</v>
      </c>
      <c r="T15">
        <v>6.2452875094223304</v>
      </c>
      <c r="U15">
        <v>10.534754335127399</v>
      </c>
      <c r="V15">
        <v>-3.0888986962387999</v>
      </c>
      <c r="W15">
        <v>-3.1202630014844899</v>
      </c>
      <c r="X15">
        <v>3.3026976146118998</v>
      </c>
    </row>
    <row r="16" spans="1:24" x14ac:dyDescent="0.25">
      <c r="A16">
        <v>2015</v>
      </c>
      <c r="B16" t="s">
        <v>23</v>
      </c>
      <c r="C16" t="s">
        <v>23</v>
      </c>
      <c r="D16">
        <v>2.3991258078369699</v>
      </c>
      <c r="E16">
        <v>6.0279427626344102</v>
      </c>
      <c r="F16">
        <v>6.06295326205273</v>
      </c>
      <c r="G16">
        <v>10.505792165821401</v>
      </c>
      <c r="H16">
        <v>4.1963946777098897</v>
      </c>
      <c r="I16">
        <v>-0.18178107429443999</v>
      </c>
      <c r="J16">
        <v>-0.18178107429443999</v>
      </c>
      <c r="K16">
        <v>-39.3811635997655</v>
      </c>
      <c r="L16">
        <v>-49.145854571836999</v>
      </c>
      <c r="M16">
        <v>-31.406040576337801</v>
      </c>
      <c r="N16">
        <v>-75.882633454505907</v>
      </c>
      <c r="O16">
        <v>-66.264615443753797</v>
      </c>
      <c r="P16">
        <v>0.34377173194921601</v>
      </c>
      <c r="Q16">
        <v>8.1632032854165502</v>
      </c>
      <c r="R16">
        <v>7.6939155945912301</v>
      </c>
      <c r="S16">
        <v>-0.42924077840715802</v>
      </c>
      <c r="T16">
        <v>0.94834068579931996</v>
      </c>
      <c r="U16">
        <v>0.103619174441549</v>
      </c>
      <c r="V16">
        <v>8.0512414810200497</v>
      </c>
      <c r="W16">
        <v>7.5824395588762501</v>
      </c>
      <c r="X16">
        <v>5.6646974023155696</v>
      </c>
    </row>
    <row r="17" spans="1:24" x14ac:dyDescent="0.25">
      <c r="A17">
        <v>2016</v>
      </c>
      <c r="B17" t="s">
        <v>23</v>
      </c>
      <c r="C17" t="s">
        <v>23</v>
      </c>
      <c r="D17">
        <v>-2.4040202580361298</v>
      </c>
      <c r="E17">
        <v>-2.0429383691544799E-2</v>
      </c>
      <c r="F17">
        <v>0.18212473532290799</v>
      </c>
      <c r="G17">
        <v>-4.2918601993180996</v>
      </c>
      <c r="H17">
        <v>0.62878349165398395</v>
      </c>
      <c r="I17">
        <v>2.0114022030084402</v>
      </c>
      <c r="J17">
        <v>2.0114022030084402</v>
      </c>
      <c r="K17">
        <v>-7.9410678588696699</v>
      </c>
      <c r="L17">
        <v>-21.689849949528298</v>
      </c>
      <c r="M17">
        <v>-27.460072227322701</v>
      </c>
      <c r="N17">
        <v>-6.8988926868496296</v>
      </c>
      <c r="O17">
        <v>-15.939597880142699</v>
      </c>
      <c r="P17">
        <v>-0.72633066730573004</v>
      </c>
      <c r="Q17">
        <v>0.67856070012470804</v>
      </c>
      <c r="R17">
        <v>5.4860074736984302E-2</v>
      </c>
      <c r="S17">
        <v>-4.3823144060560901</v>
      </c>
      <c r="T17">
        <v>-2.8419187615651902</v>
      </c>
      <c r="U17">
        <v>0.77540488350593695</v>
      </c>
      <c r="V17">
        <v>-9.6099026834139997E-2</v>
      </c>
      <c r="W17">
        <v>-0.71500065874394703</v>
      </c>
      <c r="X17">
        <v>0.71106597384700299</v>
      </c>
    </row>
    <row r="18" spans="1:24" x14ac:dyDescent="0.25">
      <c r="A18">
        <v>2017</v>
      </c>
      <c r="B18" t="s">
        <v>23</v>
      </c>
      <c r="C18" t="s">
        <v>23</v>
      </c>
      <c r="D18">
        <v>1.3129822492294001</v>
      </c>
      <c r="E18">
        <v>5.3568699895382403</v>
      </c>
      <c r="F18">
        <v>5.5760752577311399</v>
      </c>
      <c r="G18">
        <v>4.8435055496556698</v>
      </c>
      <c r="H18">
        <v>3.3175134963842101</v>
      </c>
      <c r="I18">
        <v>-0.23578446368844899</v>
      </c>
      <c r="J18">
        <v>-0.23578446368844899</v>
      </c>
      <c r="K18">
        <v>-12.217117392232799</v>
      </c>
      <c r="L18">
        <v>-13.104287793269</v>
      </c>
      <c r="M18">
        <v>1.08071246217794</v>
      </c>
      <c r="N18">
        <v>-6.2128764092173503</v>
      </c>
      <c r="O18">
        <v>-3.4454172720496801</v>
      </c>
      <c r="P18">
        <v>0.86936480589456799</v>
      </c>
      <c r="Q18">
        <v>9.6507943201245894</v>
      </c>
      <c r="R18">
        <v>8.3781903578525707</v>
      </c>
      <c r="S18">
        <v>-2.1964049123118898</v>
      </c>
      <c r="T18">
        <v>-0.44089606225424799</v>
      </c>
      <c r="U18">
        <v>-0.28614532075332799</v>
      </c>
      <c r="V18">
        <v>9.9654553249821198</v>
      </c>
      <c r="W18">
        <v>8.6891994161461206</v>
      </c>
      <c r="X18">
        <v>4.4488286332317903</v>
      </c>
    </row>
    <row r="19" spans="1:24" x14ac:dyDescent="0.25">
      <c r="A19">
        <v>2018</v>
      </c>
      <c r="B19" t="s">
        <v>23</v>
      </c>
      <c r="C19" t="s">
        <v>23</v>
      </c>
      <c r="D19">
        <v>5.6112239092973102</v>
      </c>
      <c r="E19">
        <v>4.0966349331291996</v>
      </c>
      <c r="F19">
        <v>4.7423415002841898</v>
      </c>
      <c r="G19">
        <v>-2.2360794890736901</v>
      </c>
      <c r="H19">
        <v>1.971421801895</v>
      </c>
      <c r="I19">
        <v>1.0793577899997699</v>
      </c>
      <c r="J19">
        <v>1.0793577899997699</v>
      </c>
      <c r="K19">
        <v>-3.2190791136476902</v>
      </c>
      <c r="L19">
        <v>4.5014497804537896</v>
      </c>
      <c r="M19">
        <v>15.8324984720826</v>
      </c>
      <c r="N19">
        <v>-16.770953711587701</v>
      </c>
      <c r="O19">
        <v>-3.8200841803923802</v>
      </c>
      <c r="P19">
        <v>4.3156317635739697E-2</v>
      </c>
      <c r="Q19">
        <v>11.016969713635399</v>
      </c>
      <c r="R19">
        <v>8.3500463187376397</v>
      </c>
      <c r="S19">
        <v>7.0271318729549597</v>
      </c>
      <c r="T19">
        <v>5.3567421288733801</v>
      </c>
      <c r="U19">
        <v>2.1279500362707999</v>
      </c>
      <c r="V19">
        <v>8.7038070128771796</v>
      </c>
      <c r="W19">
        <v>6.0924519490081401</v>
      </c>
      <c r="X19">
        <v>4.0517300380085199</v>
      </c>
    </row>
    <row r="20" spans="1:24" x14ac:dyDescent="0.25">
      <c r="A20">
        <v>2019</v>
      </c>
      <c r="B20" t="s">
        <v>23</v>
      </c>
      <c r="C20" t="s">
        <v>23</v>
      </c>
      <c r="D20">
        <v>0.259424861566315</v>
      </c>
      <c r="E20">
        <v>-3.0778356877155901</v>
      </c>
      <c r="F20">
        <v>-3.29061916149197</v>
      </c>
      <c r="G20">
        <v>2.72012527094203</v>
      </c>
      <c r="H20">
        <v>8.0275726029976902E-2</v>
      </c>
      <c r="I20">
        <v>2.9759395243655198</v>
      </c>
      <c r="J20">
        <v>2.9759395243655198</v>
      </c>
      <c r="K20">
        <v>22.6030680815044</v>
      </c>
      <c r="L20">
        <v>-15.8028736122067</v>
      </c>
      <c r="M20">
        <v>21.6942576397545</v>
      </c>
      <c r="N20">
        <v>0.38033604325231601</v>
      </c>
      <c r="O20">
        <v>10.5766860803021</v>
      </c>
      <c r="P20">
        <v>-1.31539732590423</v>
      </c>
      <c r="Q20">
        <v>-9.6588869467148992</v>
      </c>
      <c r="R20">
        <v>-8.2446800679310304</v>
      </c>
      <c r="S20">
        <v>3.2938271046543299</v>
      </c>
      <c r="T20">
        <v>2.2661964662709999</v>
      </c>
      <c r="U20">
        <v>2.7964466391176699</v>
      </c>
      <c r="V20">
        <v>-12.1165020708925</v>
      </c>
      <c r="W20">
        <v>-10.7407668922742</v>
      </c>
      <c r="X20">
        <v>-1.7859304431024301</v>
      </c>
    </row>
    <row r="21" spans="1:24" x14ac:dyDescent="0.25">
      <c r="A21">
        <v>2020</v>
      </c>
      <c r="B21" t="s">
        <v>23</v>
      </c>
      <c r="C21" t="s">
        <v>23</v>
      </c>
      <c r="D21">
        <v>-8.9488630561201994</v>
      </c>
      <c r="E21">
        <v>-8.1497716841047794</v>
      </c>
      <c r="F21">
        <v>-8.6112963447547592</v>
      </c>
      <c r="G21">
        <v>-4.7625080082524702</v>
      </c>
      <c r="H21">
        <v>-10.702733470169999</v>
      </c>
      <c r="I21">
        <v>-5.4265003278964699</v>
      </c>
      <c r="J21">
        <v>-5.4265003278964699</v>
      </c>
      <c r="K21">
        <v>-18.036135544739601</v>
      </c>
      <c r="L21">
        <v>-8.9737046282594406</v>
      </c>
      <c r="M21">
        <v>-39.192170490435302</v>
      </c>
      <c r="N21">
        <v>-20.5317175856479</v>
      </c>
      <c r="O21">
        <v>-30.356208787985199</v>
      </c>
      <c r="P21">
        <v>-6.8127674525474102</v>
      </c>
      <c r="Q21">
        <v>-6.1577409301063302</v>
      </c>
      <c r="R21">
        <v>-5.3265528554226602</v>
      </c>
      <c r="S21">
        <v>-9.6306178690938697</v>
      </c>
      <c r="T21">
        <v>-9.9661312160957696</v>
      </c>
      <c r="U21">
        <v>-6.5686437125270798</v>
      </c>
      <c r="V21">
        <v>0.43979109235712199</v>
      </c>
      <c r="W21">
        <v>1.32941541946872</v>
      </c>
      <c r="X21">
        <v>-1.43475044274605</v>
      </c>
    </row>
    <row r="22" spans="1:24" x14ac:dyDescent="0.25">
      <c r="A22">
        <v>2021</v>
      </c>
      <c r="B22" t="s">
        <v>23</v>
      </c>
      <c r="C22" t="s">
        <v>23</v>
      </c>
      <c r="D22">
        <v>8.4121403689250602</v>
      </c>
      <c r="E22">
        <v>9.1273432445662994</v>
      </c>
      <c r="F22">
        <v>14.508246131417501</v>
      </c>
      <c r="G22">
        <v>-8.3182974811703794</v>
      </c>
      <c r="H22">
        <v>-2.2963358645217502</v>
      </c>
      <c r="I22">
        <v>1.28923469597375</v>
      </c>
      <c r="J22">
        <v>1.28923469597375</v>
      </c>
      <c r="K22">
        <v>44.180321677176202</v>
      </c>
      <c r="L22">
        <v>31.061848052916901</v>
      </c>
      <c r="M22">
        <v>58.350903970756598</v>
      </c>
      <c r="N22">
        <v>50.922353749122998</v>
      </c>
      <c r="O22">
        <v>54.337183438797503</v>
      </c>
      <c r="P22">
        <v>5.7392249954987902</v>
      </c>
      <c r="Q22">
        <v>46.788101158984503</v>
      </c>
      <c r="R22">
        <v>27.979736622065001</v>
      </c>
      <c r="S22">
        <v>7.7919572364021104</v>
      </c>
      <c r="T22">
        <v>4.6607044486906197</v>
      </c>
      <c r="U22">
        <v>2.1066308934942501</v>
      </c>
      <c r="V22">
        <v>43.759616662013599</v>
      </c>
      <c r="W22">
        <v>25.339300202313598</v>
      </c>
      <c r="X22">
        <v>3.2042208075685501</v>
      </c>
    </row>
    <row r="23" spans="1:24" x14ac:dyDescent="0.25">
      <c r="A23">
        <v>2022</v>
      </c>
      <c r="B23" t="s">
        <v>23</v>
      </c>
      <c r="C23" t="s">
        <v>23</v>
      </c>
      <c r="D23">
        <v>5.9927732667814304</v>
      </c>
      <c r="E23">
        <v>0.517106064131578</v>
      </c>
      <c r="F23">
        <v>-2.1658120554058602</v>
      </c>
      <c r="G23">
        <v>-4.7728622533305503</v>
      </c>
      <c r="H23">
        <v>1.9929866343406</v>
      </c>
      <c r="I23">
        <v>-3.0558360738535799</v>
      </c>
      <c r="J23">
        <v>-3.0558360738535799</v>
      </c>
      <c r="K23">
        <v>-7.8104690326936703</v>
      </c>
      <c r="L23">
        <v>10.074229263474001</v>
      </c>
      <c r="M23">
        <v>-14.052620386069</v>
      </c>
      <c r="N23">
        <v>-12.6718185080815</v>
      </c>
      <c r="O23">
        <v>-13.323066399975399</v>
      </c>
      <c r="P23">
        <v>3.9985777486747098</v>
      </c>
      <c r="Q23">
        <v>-6.0772780688168204</v>
      </c>
      <c r="R23">
        <v>-0.134902744353604</v>
      </c>
      <c r="S23">
        <v>10.799782626926399</v>
      </c>
      <c r="T23">
        <v>8.2479888613797208</v>
      </c>
      <c r="U23">
        <v>-0.24672782331967</v>
      </c>
      <c r="V23">
        <v>-5.8449714162461204</v>
      </c>
      <c r="W23">
        <v>0.112101664963937</v>
      </c>
      <c r="X23">
        <v>-3.3476147077285501</v>
      </c>
    </row>
    <row r="24" spans="1:24" x14ac:dyDescent="0.25">
      <c r="A24">
        <v>2023</v>
      </c>
      <c r="B24" t="s">
        <v>23</v>
      </c>
      <c r="C24" t="s">
        <v>23</v>
      </c>
      <c r="D24">
        <v>-0.865517957037643</v>
      </c>
      <c r="E24">
        <v>1.5359305669769601</v>
      </c>
      <c r="F24">
        <v>1.57074690808372</v>
      </c>
      <c r="G24">
        <v>10.653607261790301</v>
      </c>
      <c r="H24">
        <v>11.5580493725755</v>
      </c>
      <c r="I24">
        <v>2.4084995484767302</v>
      </c>
      <c r="J24">
        <v>2.4084995484767302</v>
      </c>
      <c r="K24">
        <v>-0.32024329128363899</v>
      </c>
      <c r="L24">
        <v>25.142504479157999</v>
      </c>
      <c r="M24">
        <v>-17.494430596396999</v>
      </c>
      <c r="N24">
        <v>25.965192474902999</v>
      </c>
      <c r="O24">
        <v>5.6402175541522004</v>
      </c>
      <c r="P24">
        <v>5.9065889008538504</v>
      </c>
      <c r="Q24">
        <v>-11.238238760206601</v>
      </c>
      <c r="R24">
        <v>-10.1096906852814</v>
      </c>
      <c r="S24">
        <v>-2.7780656452785801</v>
      </c>
      <c r="T24">
        <v>1.13583309548722</v>
      </c>
      <c r="U24">
        <v>2.06529713395707</v>
      </c>
      <c r="V24">
        <v>-13.034338083299</v>
      </c>
      <c r="W24">
        <v>-11.928626243314801</v>
      </c>
      <c r="X24">
        <v>-4.1268993546459596</v>
      </c>
    </row>
    <row r="25" spans="1:24" x14ac:dyDescent="0.25">
      <c r="A25">
        <v>2024</v>
      </c>
      <c r="B25" t="s">
        <v>23</v>
      </c>
      <c r="C25" t="s">
        <v>23</v>
      </c>
      <c r="D25">
        <v>3.7811078639306901</v>
      </c>
      <c r="E25">
        <v>5.4877457596139898</v>
      </c>
      <c r="F25">
        <v>5.5858213859764101</v>
      </c>
      <c r="G25">
        <v>3.76666216776007</v>
      </c>
      <c r="H25">
        <v>4.0864912882761404</v>
      </c>
      <c r="I25">
        <v>4.2511933265000801</v>
      </c>
      <c r="J25">
        <v>4.2511933265000801</v>
      </c>
      <c r="K25">
        <v>-15.3459961871622</v>
      </c>
      <c r="L25">
        <v>-15.417952280183</v>
      </c>
      <c r="M25">
        <v>-2.15570029221962</v>
      </c>
      <c r="N25">
        <v>-12.939491398089499</v>
      </c>
      <c r="O25">
        <v>-9.0006407970088702</v>
      </c>
      <c r="P25">
        <v>2.4823204555928902</v>
      </c>
      <c r="Q25">
        <v>8.0941547538005505</v>
      </c>
      <c r="R25">
        <v>7.5887869698427801</v>
      </c>
      <c r="S25">
        <v>2.3616063120401201</v>
      </c>
      <c r="T25">
        <v>2.8810447740644598</v>
      </c>
      <c r="U25">
        <v>3.88506751575208</v>
      </c>
      <c r="V25">
        <v>4.0516768566475996</v>
      </c>
      <c r="W25">
        <v>3.5652086894289101</v>
      </c>
      <c r="X25">
        <v>2.9326280773700901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25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5"/>
  <sheetData>
    <row r="1" spans="1:26" x14ac:dyDescent="0.25">
      <c r="A1" t="s">
        <v>52</v>
      </c>
      <c r="B1" t="s">
        <v>61</v>
      </c>
      <c r="C1" t="s">
        <v>57</v>
      </c>
      <c r="D1" t="s">
        <v>237</v>
      </c>
      <c r="E1" t="s">
        <v>238</v>
      </c>
      <c r="F1" t="s">
        <v>258</v>
      </c>
      <c r="G1" t="s">
        <v>239</v>
      </c>
      <c r="H1" t="s">
        <v>240</v>
      </c>
      <c r="I1" t="s">
        <v>241</v>
      </c>
      <c r="J1" t="s">
        <v>242</v>
      </c>
      <c r="K1" t="s">
        <v>243</v>
      </c>
      <c r="L1" t="s">
        <v>244</v>
      </c>
      <c r="M1" t="s">
        <v>245</v>
      </c>
      <c r="N1" t="s">
        <v>246</v>
      </c>
      <c r="O1" t="s">
        <v>247</v>
      </c>
      <c r="P1" t="s">
        <v>248</v>
      </c>
      <c r="Q1" t="s">
        <v>249</v>
      </c>
      <c r="R1" t="s">
        <v>250</v>
      </c>
      <c r="S1" t="s">
        <v>251</v>
      </c>
      <c r="T1" t="s">
        <v>252</v>
      </c>
      <c r="U1" t="s">
        <v>253</v>
      </c>
      <c r="V1" t="s">
        <v>254</v>
      </c>
      <c r="W1" t="s">
        <v>255</v>
      </c>
      <c r="X1" t="s">
        <v>256</v>
      </c>
      <c r="Y1" t="s">
        <v>259</v>
      </c>
      <c r="Z1" t="s">
        <v>257</v>
      </c>
    </row>
    <row r="2" spans="1:26" x14ac:dyDescent="0.25">
      <c r="A2">
        <v>2001</v>
      </c>
      <c r="B2" t="s">
        <v>236</v>
      </c>
      <c r="C2" t="s">
        <v>217</v>
      </c>
      <c r="D2" t="s">
        <v>219</v>
      </c>
      <c r="E2" t="s">
        <v>219</v>
      </c>
      <c r="F2" t="s">
        <v>219</v>
      </c>
      <c r="G2" t="s">
        <v>219</v>
      </c>
      <c r="H2" t="s">
        <v>219</v>
      </c>
      <c r="I2" t="s">
        <v>219</v>
      </c>
      <c r="J2" t="s">
        <v>219</v>
      </c>
      <c r="K2" t="s">
        <v>219</v>
      </c>
      <c r="L2" t="s">
        <v>219</v>
      </c>
      <c r="M2" t="s">
        <v>219</v>
      </c>
      <c r="N2" t="s">
        <v>219</v>
      </c>
      <c r="O2" t="s">
        <v>219</v>
      </c>
      <c r="P2" t="s">
        <v>219</v>
      </c>
      <c r="Q2" t="s">
        <v>219</v>
      </c>
      <c r="R2" t="s">
        <v>219</v>
      </c>
      <c r="S2" t="s">
        <v>219</v>
      </c>
      <c r="T2" t="s">
        <v>219</v>
      </c>
      <c r="U2" t="s">
        <v>219</v>
      </c>
      <c r="V2" t="s">
        <v>219</v>
      </c>
      <c r="W2" t="s">
        <v>219</v>
      </c>
      <c r="X2" t="s">
        <v>219</v>
      </c>
      <c r="Y2" t="s">
        <v>219</v>
      </c>
      <c r="Z2" t="s">
        <v>219</v>
      </c>
    </row>
    <row r="3" spans="1:26" x14ac:dyDescent="0.25">
      <c r="A3">
        <v>2002</v>
      </c>
      <c r="B3" t="s">
        <v>236</v>
      </c>
      <c r="C3" t="s">
        <v>217</v>
      </c>
      <c r="D3">
        <v>4.4138506230859704</v>
      </c>
      <c r="E3">
        <v>9.1748607073556894</v>
      </c>
      <c r="F3">
        <v>-10.877500586746599</v>
      </c>
      <c r="G3">
        <v>9.1748607073556698</v>
      </c>
      <c r="H3">
        <v>6.71487444336345</v>
      </c>
      <c r="I3">
        <v>-27.8819274854417</v>
      </c>
      <c r="J3" t="s">
        <v>219</v>
      </c>
      <c r="K3">
        <v>18.162972209144499</v>
      </c>
      <c r="L3" t="s">
        <v>219</v>
      </c>
      <c r="M3" t="s">
        <v>219</v>
      </c>
      <c r="N3" t="s">
        <v>219</v>
      </c>
      <c r="O3" t="s">
        <v>219</v>
      </c>
      <c r="P3" t="s">
        <v>219</v>
      </c>
      <c r="Q3">
        <v>-32.720946782993799</v>
      </c>
      <c r="R3">
        <v>50.660594999752398</v>
      </c>
      <c r="S3">
        <v>36.897671243439802</v>
      </c>
      <c r="T3">
        <v>1.7482166038252001</v>
      </c>
      <c r="U3">
        <v>-3.4776418213269999</v>
      </c>
      <c r="V3">
        <v>12.3450715592297</v>
      </c>
      <c r="W3">
        <v>34.105210766030098</v>
      </c>
      <c r="X3">
        <v>21.854629974814401</v>
      </c>
      <c r="Y3">
        <v>22.4997743848288</v>
      </c>
      <c r="Z3">
        <v>62.271695999074097</v>
      </c>
    </row>
    <row r="4" spans="1:26" x14ac:dyDescent="0.25">
      <c r="A4">
        <v>2003</v>
      </c>
      <c r="B4" t="s">
        <v>236</v>
      </c>
      <c r="C4" t="s">
        <v>217</v>
      </c>
      <c r="D4">
        <v>13.9477657210812</v>
      </c>
      <c r="E4">
        <v>-9.5836329279864607</v>
      </c>
      <c r="F4">
        <v>-5.2165698234505697</v>
      </c>
      <c r="G4">
        <v>-9.5836329279864696</v>
      </c>
      <c r="H4">
        <v>7.6345736906555901</v>
      </c>
      <c r="I4">
        <v>-3.2687337477568801</v>
      </c>
      <c r="J4" t="s">
        <v>219</v>
      </c>
      <c r="K4">
        <v>8.3697550388116504</v>
      </c>
      <c r="L4" t="s">
        <v>219</v>
      </c>
      <c r="M4" t="s">
        <v>219</v>
      </c>
      <c r="N4" t="s">
        <v>219</v>
      </c>
      <c r="O4" t="s">
        <v>219</v>
      </c>
      <c r="P4" t="s">
        <v>219</v>
      </c>
      <c r="Q4">
        <v>8.8553705517466597</v>
      </c>
      <c r="R4">
        <v>-16.338787036060801</v>
      </c>
      <c r="S4">
        <v>-14.551584509289</v>
      </c>
      <c r="T4">
        <v>28.084366804400499</v>
      </c>
      <c r="U4">
        <v>23.952745016927601</v>
      </c>
      <c r="V4">
        <v>11.969082926714099</v>
      </c>
      <c r="W4">
        <v>-25.281862834674602</v>
      </c>
      <c r="X4">
        <v>-23.6857056812383</v>
      </c>
      <c r="Y4">
        <v>-4.6074119668401297</v>
      </c>
      <c r="Z4">
        <v>-16.938992891460298</v>
      </c>
    </row>
    <row r="5" spans="1:26" x14ac:dyDescent="0.25">
      <c r="A5">
        <v>2004</v>
      </c>
      <c r="B5" t="s">
        <v>236</v>
      </c>
      <c r="C5" t="s">
        <v>217</v>
      </c>
      <c r="D5">
        <v>16.671374771557101</v>
      </c>
      <c r="E5">
        <v>15.1679905496167</v>
      </c>
      <c r="F5">
        <v>6.1046386042482803</v>
      </c>
      <c r="G5">
        <v>15.1679905496167</v>
      </c>
      <c r="H5">
        <v>-1.0418387596071399</v>
      </c>
      <c r="I5">
        <v>2.2261664615494499</v>
      </c>
      <c r="J5">
        <v>-4.6047465494493798</v>
      </c>
      <c r="K5">
        <v>-4.6047465494493798</v>
      </c>
      <c r="L5">
        <v>-15.804436431222401</v>
      </c>
      <c r="M5">
        <v>-48.4566384124794</v>
      </c>
      <c r="N5">
        <v>-72.359487564305496</v>
      </c>
      <c r="O5" t="s">
        <v>219</v>
      </c>
      <c r="P5" t="s">
        <v>219</v>
      </c>
      <c r="Q5">
        <v>6.3546715293440101</v>
      </c>
      <c r="R5">
        <v>27.204598493087101</v>
      </c>
      <c r="S5">
        <v>23.834941750409101</v>
      </c>
      <c r="T5">
        <v>17.308930536420899</v>
      </c>
      <c r="U5">
        <v>15.757859366982901</v>
      </c>
      <c r="V5">
        <v>0.60194684371324103</v>
      </c>
      <c r="W5">
        <v>26.4434759803421</v>
      </c>
      <c r="X5">
        <v>23.093981414483601</v>
      </c>
      <c r="Y5">
        <v>8.5418998307634304</v>
      </c>
      <c r="Z5">
        <v>8.2867248739901793</v>
      </c>
    </row>
    <row r="6" spans="1:26" x14ac:dyDescent="0.25">
      <c r="A6">
        <v>2005</v>
      </c>
      <c r="B6" t="s">
        <v>236</v>
      </c>
      <c r="C6" t="s">
        <v>217</v>
      </c>
      <c r="D6">
        <v>2.57377454233167</v>
      </c>
      <c r="E6">
        <v>1.9140212362184701</v>
      </c>
      <c r="F6">
        <v>10.13872558958</v>
      </c>
      <c r="G6">
        <v>1.9140212362184399</v>
      </c>
      <c r="H6">
        <v>-2.1936439452855101</v>
      </c>
      <c r="I6">
        <v>14.9874688246482</v>
      </c>
      <c r="J6">
        <v>3.0473730862236899</v>
      </c>
      <c r="K6">
        <v>3.0473730862236899</v>
      </c>
      <c r="L6">
        <v>0.38082169454824999</v>
      </c>
      <c r="M6">
        <v>-13.4968386915065</v>
      </c>
      <c r="N6">
        <v>31.384958521701499</v>
      </c>
      <c r="O6">
        <v>20.319843770521</v>
      </c>
      <c r="P6">
        <v>25.6150826530756</v>
      </c>
      <c r="Q6">
        <v>15.5223173496667</v>
      </c>
      <c r="R6">
        <v>-3.6689131148999898</v>
      </c>
      <c r="S6">
        <v>-2.2153541497294098</v>
      </c>
      <c r="T6">
        <v>2.84845671765048</v>
      </c>
      <c r="U6">
        <v>3.95087325618324</v>
      </c>
      <c r="V6">
        <v>3.3132012480628199</v>
      </c>
      <c r="W6">
        <v>-6.7582015450263899</v>
      </c>
      <c r="X6">
        <v>-5.3512574685569501</v>
      </c>
      <c r="Y6">
        <v>-7.4675862729790197</v>
      </c>
      <c r="Z6">
        <v>-11.779798419605999</v>
      </c>
    </row>
    <row r="7" spans="1:26" x14ac:dyDescent="0.25">
      <c r="A7">
        <v>2006</v>
      </c>
      <c r="B7" t="s">
        <v>236</v>
      </c>
      <c r="C7" t="s">
        <v>217</v>
      </c>
      <c r="D7">
        <v>-6.0427228982492798</v>
      </c>
      <c r="E7">
        <v>-6.0878697930412304</v>
      </c>
      <c r="F7">
        <v>-19.0101549816439</v>
      </c>
      <c r="G7">
        <v>-6.0878697930412198</v>
      </c>
      <c r="H7">
        <v>-21.003952456737199</v>
      </c>
      <c r="I7">
        <v>-10.0826125280235</v>
      </c>
      <c r="J7">
        <v>2.4046138240020598</v>
      </c>
      <c r="K7">
        <v>2.4046138240020598</v>
      </c>
      <c r="L7">
        <v>-5.3756672157779901</v>
      </c>
      <c r="M7">
        <v>44.454850654828299</v>
      </c>
      <c r="N7">
        <v>-3.1716980901270801</v>
      </c>
      <c r="O7">
        <v>-36.612324007185698</v>
      </c>
      <c r="P7">
        <v>-19.874157167493401</v>
      </c>
      <c r="Q7">
        <v>-37.578013977209999</v>
      </c>
      <c r="R7">
        <v>-0.73577358819623095</v>
      </c>
      <c r="S7">
        <v>-2.1880768578045902</v>
      </c>
      <c r="T7">
        <v>-6.0240971835483403</v>
      </c>
      <c r="U7">
        <v>-6.4318077243843002</v>
      </c>
      <c r="V7">
        <v>-0.21128835105510599</v>
      </c>
      <c r="W7">
        <v>-0.52559575975512596</v>
      </c>
      <c r="X7">
        <v>-1.9809740742057</v>
      </c>
      <c r="Y7">
        <v>15.9554388401087</v>
      </c>
      <c r="Z7">
        <v>50.447200082150303</v>
      </c>
    </row>
    <row r="8" spans="1:26" x14ac:dyDescent="0.25">
      <c r="A8">
        <v>2007</v>
      </c>
      <c r="B8" t="s">
        <v>236</v>
      </c>
      <c r="C8" t="s">
        <v>217</v>
      </c>
      <c r="D8">
        <v>16.263671312364899</v>
      </c>
      <c r="E8">
        <v>19.553522420459899</v>
      </c>
      <c r="F8">
        <v>37.043315717204699</v>
      </c>
      <c r="G8">
        <v>19.553522420459899</v>
      </c>
      <c r="H8">
        <v>27.416840794647602</v>
      </c>
      <c r="I8">
        <v>32.140114372001399</v>
      </c>
      <c r="J8">
        <v>41.1005726605758</v>
      </c>
      <c r="K8">
        <v>41.1005726605758</v>
      </c>
      <c r="L8">
        <v>143.47538589407199</v>
      </c>
      <c r="M8">
        <v>28.724623822871099</v>
      </c>
      <c r="N8">
        <v>-14.1595123519685</v>
      </c>
      <c r="O8">
        <v>64.107808047781702</v>
      </c>
      <c r="P8">
        <v>16.766128114438999</v>
      </c>
      <c r="Q8">
        <v>57.324913396634798</v>
      </c>
      <c r="R8">
        <v>11.623874904731201</v>
      </c>
      <c r="S8">
        <v>13.689812411698499</v>
      </c>
      <c r="T8">
        <v>14.9073378084378</v>
      </c>
      <c r="U8">
        <v>16.570962837111701</v>
      </c>
      <c r="V8">
        <v>34.291585165054499</v>
      </c>
      <c r="W8">
        <v>-16.879471809393699</v>
      </c>
      <c r="X8">
        <v>-15.341074966115601</v>
      </c>
      <c r="Y8">
        <v>-12.7622374029798</v>
      </c>
      <c r="Z8">
        <v>-24.0085248805755</v>
      </c>
    </row>
    <row r="9" spans="1:26" x14ac:dyDescent="0.25">
      <c r="A9">
        <v>2008</v>
      </c>
      <c r="B9" t="s">
        <v>236</v>
      </c>
      <c r="C9" t="s">
        <v>217</v>
      </c>
      <c r="D9">
        <v>12.0790692108034</v>
      </c>
      <c r="E9">
        <v>5.1892276166424196</v>
      </c>
      <c r="F9">
        <v>-3.2001877521856801</v>
      </c>
      <c r="G9">
        <v>5.18922761664244</v>
      </c>
      <c r="H9">
        <v>26.3203085919382</v>
      </c>
      <c r="I9">
        <v>12.725865590803799</v>
      </c>
      <c r="J9">
        <v>13.2105401594394</v>
      </c>
      <c r="K9">
        <v>13.2105401594394</v>
      </c>
      <c r="L9">
        <v>-6.9815700265318599</v>
      </c>
      <c r="M9">
        <v>58.480188323941498</v>
      </c>
      <c r="N9">
        <v>65.0443821649406</v>
      </c>
      <c r="O9">
        <v>35.445218464291699</v>
      </c>
      <c r="P9">
        <v>48.607098763620399</v>
      </c>
      <c r="Q9">
        <v>3.3076212548783301</v>
      </c>
      <c r="R9">
        <v>-3.4173137537690899</v>
      </c>
      <c r="S9">
        <v>-1.0593735647856499</v>
      </c>
      <c r="T9">
        <v>15.0344544307198</v>
      </c>
      <c r="U9">
        <v>14.7818208514602</v>
      </c>
      <c r="V9">
        <v>13.589145951494199</v>
      </c>
      <c r="W9">
        <v>-14.9719056013728</v>
      </c>
      <c r="X9">
        <v>-12.8960556869889</v>
      </c>
      <c r="Y9">
        <v>8.66676822404429</v>
      </c>
      <c r="Z9">
        <v>1.82136258574945</v>
      </c>
    </row>
    <row r="10" spans="1:26" x14ac:dyDescent="0.25">
      <c r="A10">
        <v>2009</v>
      </c>
      <c r="B10" t="s">
        <v>236</v>
      </c>
      <c r="C10" t="s">
        <v>217</v>
      </c>
      <c r="D10">
        <v>-14.566008360919099</v>
      </c>
      <c r="E10">
        <v>-9.56851733773855</v>
      </c>
      <c r="F10">
        <v>5.7747189581653302</v>
      </c>
      <c r="G10">
        <v>-9.5685173377385695</v>
      </c>
      <c r="H10">
        <v>-10.573470779184699</v>
      </c>
      <c r="I10">
        <v>14.368099839134</v>
      </c>
      <c r="J10">
        <v>-19.894224282172299</v>
      </c>
      <c r="K10">
        <v>-19.894224282172299</v>
      </c>
      <c r="L10">
        <v>-57.641012786649597</v>
      </c>
      <c r="M10">
        <v>-47.183793286236202</v>
      </c>
      <c r="N10">
        <v>-38.657869474132802</v>
      </c>
      <c r="O10">
        <v>-63.386046061066303</v>
      </c>
      <c r="P10">
        <v>-51.173905896263904</v>
      </c>
      <c r="Q10">
        <v>0.128930241557113</v>
      </c>
      <c r="R10">
        <v>-26.836693464825299</v>
      </c>
      <c r="S10">
        <v>-21.8069341448935</v>
      </c>
      <c r="T10">
        <v>-16.526207579537701</v>
      </c>
      <c r="U10">
        <v>-13.2059374689401</v>
      </c>
      <c r="V10">
        <v>-18.265735976703201</v>
      </c>
      <c r="W10">
        <v>-10.4863701784592</v>
      </c>
      <c r="X10">
        <v>-4.3325748515713096</v>
      </c>
      <c r="Y10">
        <v>-14.5055798276072</v>
      </c>
      <c r="Z10">
        <v>-9.6849607360239993</v>
      </c>
    </row>
    <row r="11" spans="1:26" x14ac:dyDescent="0.25">
      <c r="A11">
        <v>2010</v>
      </c>
      <c r="B11" t="s">
        <v>236</v>
      </c>
      <c r="C11" t="s">
        <v>217</v>
      </c>
      <c r="D11">
        <v>8.5001208601115792</v>
      </c>
      <c r="E11">
        <v>16.436654370577401</v>
      </c>
      <c r="F11">
        <v>25.242391920963499</v>
      </c>
      <c r="G11">
        <v>16.436654370577401</v>
      </c>
      <c r="H11">
        <v>-0.38207204708063902</v>
      </c>
      <c r="I11">
        <v>7.5520262221576502</v>
      </c>
      <c r="J11">
        <v>2.01782864097519</v>
      </c>
      <c r="K11">
        <v>2.01782864097519</v>
      </c>
      <c r="L11">
        <v>26.696130934893699</v>
      </c>
      <c r="M11">
        <v>7.2489996516978996</v>
      </c>
      <c r="N11">
        <v>3.8891692245546898</v>
      </c>
      <c r="O11">
        <v>17.5837755104418</v>
      </c>
      <c r="P11">
        <v>9.0869615422189494</v>
      </c>
      <c r="Q11">
        <v>7.9179273015339096</v>
      </c>
      <c r="R11">
        <v>31.536671648511099</v>
      </c>
      <c r="S11">
        <v>26.450048206797</v>
      </c>
      <c r="T11">
        <v>5.1276473297826097</v>
      </c>
      <c r="U11">
        <v>5.4709762085945801</v>
      </c>
      <c r="V11">
        <v>2.9106627098954601</v>
      </c>
      <c r="W11">
        <v>27.816368279846898</v>
      </c>
      <c r="X11">
        <v>22.873611807611201</v>
      </c>
      <c r="Y11">
        <v>-7.03095606473501</v>
      </c>
      <c r="Z11">
        <v>7.8937089342359297</v>
      </c>
    </row>
    <row r="12" spans="1:26" x14ac:dyDescent="0.25">
      <c r="A12">
        <v>2011</v>
      </c>
      <c r="B12" t="s">
        <v>236</v>
      </c>
      <c r="C12" t="s">
        <v>217</v>
      </c>
      <c r="D12">
        <v>-0.85979296418848805</v>
      </c>
      <c r="E12">
        <v>-6.2083712709638599</v>
      </c>
      <c r="F12">
        <v>-1.8963929164279201</v>
      </c>
      <c r="G12">
        <v>-6.2083712709638599</v>
      </c>
      <c r="H12">
        <v>-7.9279325737889499</v>
      </c>
      <c r="I12">
        <v>3.6493604953149199</v>
      </c>
      <c r="J12" t="s">
        <v>219</v>
      </c>
      <c r="K12">
        <v>12.3489787391013</v>
      </c>
      <c r="L12" t="s">
        <v>219</v>
      </c>
      <c r="M12" t="s">
        <v>219</v>
      </c>
      <c r="N12" t="s">
        <v>219</v>
      </c>
      <c r="O12" t="s">
        <v>219</v>
      </c>
      <c r="P12" t="s">
        <v>219</v>
      </c>
      <c r="Q12">
        <v>-2.56031307303516</v>
      </c>
      <c r="R12">
        <v>-15.0425298896568</v>
      </c>
      <c r="S12">
        <v>-12.302293332611301</v>
      </c>
      <c r="T12">
        <v>1.6574713940714401</v>
      </c>
      <c r="U12">
        <v>1.9451189096372199</v>
      </c>
      <c r="V12">
        <v>9.5920680390840598</v>
      </c>
      <c r="W12">
        <v>-22.478449735938401</v>
      </c>
      <c r="X12">
        <v>-19.978052940735701</v>
      </c>
      <c r="Y12">
        <v>-4.3953311022118404</v>
      </c>
      <c r="Z12">
        <v>-3.7439141206016702</v>
      </c>
    </row>
    <row r="13" spans="1:26" x14ac:dyDescent="0.25">
      <c r="A13">
        <v>2012</v>
      </c>
      <c r="B13" t="s">
        <v>236</v>
      </c>
      <c r="C13" t="s">
        <v>217</v>
      </c>
      <c r="D13">
        <v>4.6122515963711503</v>
      </c>
      <c r="E13">
        <v>-6.3880861025384998</v>
      </c>
      <c r="F13">
        <v>6.3923690728100704</v>
      </c>
      <c r="G13">
        <v>-6.3880861025384803</v>
      </c>
      <c r="H13">
        <v>3.5498234158804198</v>
      </c>
      <c r="I13">
        <v>5.9271230557269998</v>
      </c>
      <c r="J13" t="s">
        <v>219</v>
      </c>
      <c r="K13">
        <v>-10.959755428145099</v>
      </c>
      <c r="L13" t="s">
        <v>219</v>
      </c>
      <c r="M13" t="s">
        <v>219</v>
      </c>
      <c r="N13" t="s">
        <v>219</v>
      </c>
      <c r="O13" t="s">
        <v>219</v>
      </c>
      <c r="P13" t="s">
        <v>219</v>
      </c>
      <c r="Q13">
        <v>0.67562067202038301</v>
      </c>
      <c r="R13">
        <v>-22.831903802096502</v>
      </c>
      <c r="S13">
        <v>-17.376820868004199</v>
      </c>
      <c r="T13">
        <v>9.3888778420219605</v>
      </c>
      <c r="U13">
        <v>8.8806107834297396</v>
      </c>
      <c r="V13">
        <v>-6.0691209508750097</v>
      </c>
      <c r="W13">
        <v>-17.845870304753198</v>
      </c>
      <c r="X13">
        <v>-12.0383201260316</v>
      </c>
      <c r="Y13">
        <v>-12.012567524088301</v>
      </c>
      <c r="Z13">
        <v>-7.0163031798640798</v>
      </c>
    </row>
    <row r="14" spans="1:26" x14ac:dyDescent="0.25">
      <c r="A14">
        <v>2013</v>
      </c>
      <c r="B14" t="s">
        <v>236</v>
      </c>
      <c r="C14" t="s">
        <v>217</v>
      </c>
      <c r="D14">
        <v>-0.72732196918527903</v>
      </c>
      <c r="E14">
        <v>4.1977102646970001</v>
      </c>
      <c r="F14">
        <v>8.3973571524380297</v>
      </c>
      <c r="G14">
        <v>4.19771026469697</v>
      </c>
      <c r="H14">
        <v>-3.1794302326502701</v>
      </c>
      <c r="I14">
        <v>5.5598367239664697</v>
      </c>
      <c r="J14">
        <v>2.0406975061061599</v>
      </c>
      <c r="K14">
        <v>2.0406975061061599</v>
      </c>
      <c r="L14">
        <v>55.268098733555703</v>
      </c>
      <c r="M14">
        <v>42.541975575879</v>
      </c>
      <c r="N14">
        <v>-61.620874760625597</v>
      </c>
      <c r="O14">
        <v>378.01740294189699</v>
      </c>
      <c r="P14">
        <v>90.240627703395603</v>
      </c>
      <c r="Q14">
        <v>-0.309609215976414</v>
      </c>
      <c r="R14">
        <v>4.4516569873113099</v>
      </c>
      <c r="S14">
        <v>4.3562081726566904</v>
      </c>
      <c r="T14">
        <v>-2.5574533903846999</v>
      </c>
      <c r="U14">
        <v>-1.3979731313105901</v>
      </c>
      <c r="V14">
        <v>1.0581619783432701</v>
      </c>
      <c r="W14">
        <v>3.35796232836221</v>
      </c>
      <c r="X14">
        <v>3.2635129412112098</v>
      </c>
      <c r="Y14">
        <v>-3.8743074536726301</v>
      </c>
      <c r="Z14">
        <v>4.5213178975678696</v>
      </c>
    </row>
    <row r="15" spans="1:26" x14ac:dyDescent="0.25">
      <c r="A15">
        <v>2014</v>
      </c>
      <c r="B15" t="s">
        <v>236</v>
      </c>
      <c r="C15" t="s">
        <v>217</v>
      </c>
      <c r="D15">
        <v>5.4059753003236501</v>
      </c>
      <c r="E15">
        <v>6.8611738068996804</v>
      </c>
      <c r="F15">
        <v>7.5862227506623201</v>
      </c>
      <c r="G15">
        <v>6.8611738068996999</v>
      </c>
      <c r="H15">
        <v>16.113051800462699</v>
      </c>
      <c r="I15">
        <v>4.0188573015646201</v>
      </c>
      <c r="J15">
        <v>39.233460502913701</v>
      </c>
      <c r="K15">
        <v>39.233460502913701</v>
      </c>
      <c r="L15">
        <v>148.266428129204</v>
      </c>
      <c r="M15">
        <v>162.92348635617199</v>
      </c>
      <c r="N15">
        <v>-18.2539958143566</v>
      </c>
      <c r="O15">
        <v>170.07121182283799</v>
      </c>
      <c r="P15">
        <v>145.20208710348501</v>
      </c>
      <c r="Q15">
        <v>-1.91016925961075</v>
      </c>
      <c r="R15">
        <v>8.5842577011504098</v>
      </c>
      <c r="S15">
        <v>7.9376003257409797</v>
      </c>
      <c r="T15">
        <v>4.8277394815669803</v>
      </c>
      <c r="U15">
        <v>4.7040449711344099</v>
      </c>
      <c r="V15">
        <v>29.607116943018799</v>
      </c>
      <c r="W15">
        <v>-16.220451266662302</v>
      </c>
      <c r="X15">
        <v>-16.719387891951001</v>
      </c>
      <c r="Y15">
        <v>-0.673923598417414</v>
      </c>
      <c r="Z15">
        <v>8.9421533305783996</v>
      </c>
    </row>
    <row r="16" spans="1:26" x14ac:dyDescent="0.25">
      <c r="A16">
        <v>2015</v>
      </c>
      <c r="B16" t="s">
        <v>236</v>
      </c>
      <c r="C16" t="s">
        <v>217</v>
      </c>
      <c r="D16">
        <v>-3.3257996515611601</v>
      </c>
      <c r="E16">
        <v>6.5707587683100996</v>
      </c>
      <c r="F16">
        <v>6.0279427626344102</v>
      </c>
      <c r="G16">
        <v>6.5707587683100801</v>
      </c>
      <c r="H16">
        <v>12.371023474046501</v>
      </c>
      <c r="I16">
        <v>-1.0668285507514501</v>
      </c>
      <c r="J16">
        <v>-3.9323975018975998</v>
      </c>
      <c r="K16">
        <v>-3.9323975018975998</v>
      </c>
      <c r="L16">
        <v>-68.546092623712894</v>
      </c>
      <c r="M16">
        <v>-71.387446605197198</v>
      </c>
      <c r="N16">
        <v>-42.3562776029612</v>
      </c>
      <c r="O16">
        <v>-88.029387363965995</v>
      </c>
      <c r="P16">
        <v>-86.018651618087702</v>
      </c>
      <c r="Q16">
        <v>-3.6297145328999099</v>
      </c>
      <c r="R16">
        <v>16.288270442248301</v>
      </c>
      <c r="S16">
        <v>12.6777478657303</v>
      </c>
      <c r="T16">
        <v>-7.3345652464553996</v>
      </c>
      <c r="U16">
        <v>-6.3823732634999901</v>
      </c>
      <c r="V16">
        <v>-4.4841807708233601</v>
      </c>
      <c r="W16">
        <v>21.747655394371002</v>
      </c>
      <c r="X16">
        <v>17.967629629366499</v>
      </c>
      <c r="Y16">
        <v>0.511955614276971</v>
      </c>
      <c r="Z16">
        <v>10.5846664786443</v>
      </c>
    </row>
    <row r="17" spans="1:26" x14ac:dyDescent="0.25">
      <c r="A17">
        <v>2016</v>
      </c>
      <c r="B17" t="s">
        <v>236</v>
      </c>
      <c r="C17" t="s">
        <v>217</v>
      </c>
      <c r="D17">
        <v>-4.8577321417973103</v>
      </c>
      <c r="E17">
        <v>-4.7317788732819803</v>
      </c>
      <c r="F17">
        <v>-2.0429383691544799E-2</v>
      </c>
      <c r="G17">
        <v>-4.7317788732819803</v>
      </c>
      <c r="H17">
        <v>0.350068803075954</v>
      </c>
      <c r="I17">
        <v>-1.70253950469444</v>
      </c>
      <c r="J17">
        <v>-1.90705724591543</v>
      </c>
      <c r="K17">
        <v>-1.90705724591543</v>
      </c>
      <c r="L17">
        <v>-39.499859054827901</v>
      </c>
      <c r="M17">
        <v>-54.829482075219303</v>
      </c>
      <c r="N17">
        <v>13.3131093457896</v>
      </c>
      <c r="O17">
        <v>-36.094994975678297</v>
      </c>
      <c r="P17">
        <v>-27.12699562832</v>
      </c>
      <c r="Q17">
        <v>-3.4210625560583301</v>
      </c>
      <c r="R17">
        <v>-10.213207234342001</v>
      </c>
      <c r="S17">
        <v>-8.2869750437872192</v>
      </c>
      <c r="T17">
        <v>-4.9164075611321199</v>
      </c>
      <c r="U17">
        <v>-4.40043557385847</v>
      </c>
      <c r="V17">
        <v>-2.45745574722205</v>
      </c>
      <c r="W17">
        <v>-7.9511474162711604</v>
      </c>
      <c r="X17">
        <v>-5.9763863463087299</v>
      </c>
      <c r="Y17">
        <v>-4.71231218592765</v>
      </c>
      <c r="Z17">
        <v>-1.3571451000736601</v>
      </c>
    </row>
    <row r="18" spans="1:26" x14ac:dyDescent="0.25">
      <c r="A18">
        <v>2017</v>
      </c>
      <c r="B18" t="s">
        <v>236</v>
      </c>
      <c r="C18" t="s">
        <v>217</v>
      </c>
      <c r="D18">
        <v>-5.3048605127341002</v>
      </c>
      <c r="E18">
        <v>1.06260721563325</v>
      </c>
      <c r="F18">
        <v>5.3568699895382403</v>
      </c>
      <c r="G18">
        <v>1.06260721563325</v>
      </c>
      <c r="H18">
        <v>-5.8389670918959</v>
      </c>
      <c r="I18">
        <v>0.90769169491167201</v>
      </c>
      <c r="J18">
        <v>-8.4452923067820596</v>
      </c>
      <c r="K18">
        <v>-8.4452923067820596</v>
      </c>
      <c r="L18">
        <v>-6.5417854430358497</v>
      </c>
      <c r="M18">
        <v>1.7898610625200799</v>
      </c>
      <c r="N18">
        <v>-2.71461674394418</v>
      </c>
      <c r="O18">
        <v>-35.800681587744698</v>
      </c>
      <c r="P18">
        <v>-26.462636310512099</v>
      </c>
      <c r="Q18">
        <v>-2.7667968185474798</v>
      </c>
      <c r="R18">
        <v>3.6716575739992998</v>
      </c>
      <c r="S18">
        <v>2.7192685237481999</v>
      </c>
      <c r="T18">
        <v>-8.2769096594350504</v>
      </c>
      <c r="U18">
        <v>-6.7607505612458896</v>
      </c>
      <c r="V18">
        <v>-8.0808467376825099</v>
      </c>
      <c r="W18">
        <v>12.7856968809783</v>
      </c>
      <c r="X18">
        <v>11.749580885073501</v>
      </c>
      <c r="Y18">
        <v>-4.0759209858183896</v>
      </c>
      <c r="Z18">
        <v>3.9383707508169601</v>
      </c>
    </row>
    <row r="19" spans="1:26" x14ac:dyDescent="0.25">
      <c r="A19">
        <v>2018</v>
      </c>
      <c r="B19" t="s">
        <v>236</v>
      </c>
      <c r="C19" t="s">
        <v>217</v>
      </c>
      <c r="D19">
        <v>11.545385858135001</v>
      </c>
      <c r="E19">
        <v>14.016549271833499</v>
      </c>
      <c r="F19">
        <v>4.0966349331291996</v>
      </c>
      <c r="G19">
        <v>16.617817915792799</v>
      </c>
      <c r="H19">
        <v>-2.0760019941560599</v>
      </c>
      <c r="I19">
        <v>0.22099012072065399</v>
      </c>
      <c r="J19">
        <v>4.2987574309713201</v>
      </c>
      <c r="K19">
        <v>4.2987574309713201</v>
      </c>
      <c r="L19">
        <v>19.025453895359099</v>
      </c>
      <c r="M19">
        <v>4.9887216658385896</v>
      </c>
      <c r="N19">
        <v>28.652219127930099</v>
      </c>
      <c r="O19">
        <v>26.732491590110101</v>
      </c>
      <c r="P19">
        <v>27.449278377440098</v>
      </c>
      <c r="Q19">
        <v>-2.97630136517146</v>
      </c>
      <c r="R19">
        <v>45.031544866041003</v>
      </c>
      <c r="S19">
        <v>29.410304452633198</v>
      </c>
      <c r="T19">
        <v>10.274511787099501</v>
      </c>
      <c r="U19">
        <v>8.4784214090034808</v>
      </c>
      <c r="V19">
        <v>5.2160017246398702</v>
      </c>
      <c r="W19">
        <v>37.841718454196901</v>
      </c>
      <c r="X19">
        <v>22.994888925082101</v>
      </c>
      <c r="Y19">
        <v>9.5295245087190494</v>
      </c>
      <c r="Z19">
        <v>17.514123741006401</v>
      </c>
    </row>
    <row r="20" spans="1:26" x14ac:dyDescent="0.25">
      <c r="A20">
        <v>2019</v>
      </c>
      <c r="B20" t="s">
        <v>236</v>
      </c>
      <c r="C20" t="s">
        <v>217</v>
      </c>
      <c r="D20">
        <v>-1.9707433901570699</v>
      </c>
      <c r="E20">
        <v>-10.4602408247793</v>
      </c>
      <c r="F20">
        <v>-3.0778356877155901</v>
      </c>
      <c r="G20">
        <v>-12.2011028492619</v>
      </c>
      <c r="H20">
        <v>4.2591592037045398</v>
      </c>
      <c r="I20">
        <v>-1.36505994739473</v>
      </c>
      <c r="J20">
        <v>4.1804652940547102</v>
      </c>
      <c r="K20">
        <v>4.1804652940547102</v>
      </c>
      <c r="L20">
        <v>33.4731775016161</v>
      </c>
      <c r="M20">
        <v>4.57956844292511</v>
      </c>
      <c r="N20">
        <v>324.51792870464902</v>
      </c>
      <c r="O20">
        <v>-6.1242993117137701</v>
      </c>
      <c r="P20">
        <v>118.495950146803</v>
      </c>
      <c r="Q20">
        <v>-4.31982103170653</v>
      </c>
      <c r="R20">
        <v>-25.987534838480201</v>
      </c>
      <c r="S20">
        <v>-18.908926053103901</v>
      </c>
      <c r="T20">
        <v>2.5434045115188701</v>
      </c>
      <c r="U20">
        <v>1.89829793767</v>
      </c>
      <c r="V20">
        <v>3.6641051637726898</v>
      </c>
      <c r="W20">
        <v>-28.603574935999301</v>
      </c>
      <c r="X20">
        <v>-21.7751662267424</v>
      </c>
      <c r="Y20">
        <v>-7.61683892373423</v>
      </c>
      <c r="Z20">
        <v>-6.4176508230692102</v>
      </c>
    </row>
    <row r="21" spans="1:26" x14ac:dyDescent="0.25">
      <c r="A21">
        <v>2020</v>
      </c>
      <c r="B21" t="s">
        <v>236</v>
      </c>
      <c r="C21" t="s">
        <v>217</v>
      </c>
      <c r="D21">
        <v>-9.8100272597200195</v>
      </c>
      <c r="E21">
        <v>-13.381967269690399</v>
      </c>
      <c r="F21">
        <v>-8.1497716841047794</v>
      </c>
      <c r="G21">
        <v>-13.638070491077199</v>
      </c>
      <c r="H21">
        <v>-3.43012395732717</v>
      </c>
      <c r="I21">
        <v>-11.6707872050536</v>
      </c>
      <c r="J21">
        <v>3.3105976613434702</v>
      </c>
      <c r="K21">
        <v>3.3105976613434702</v>
      </c>
      <c r="L21">
        <v>20.213185852325498</v>
      </c>
      <c r="M21">
        <v>-16.2934083277983</v>
      </c>
      <c r="N21">
        <v>-72.391951864475601</v>
      </c>
      <c r="O21">
        <v>-37.533360002332799</v>
      </c>
      <c r="P21">
        <v>-63.059948766006002</v>
      </c>
      <c r="Q21">
        <v>-6.3179399644999199</v>
      </c>
      <c r="R21">
        <v>-19.1819779168192</v>
      </c>
      <c r="S21">
        <v>-16.7534073069817</v>
      </c>
      <c r="T21">
        <v>-8.1515628773583408</v>
      </c>
      <c r="U21">
        <v>-8.7138214771495193</v>
      </c>
      <c r="V21">
        <v>0.63631169403013399</v>
      </c>
      <c r="W21">
        <v>-19.692980870666201</v>
      </c>
      <c r="X21">
        <v>-17.279765830332501</v>
      </c>
      <c r="Y21">
        <v>-5.6964426561802997</v>
      </c>
      <c r="Z21">
        <v>-7.5404269531580104</v>
      </c>
    </row>
    <row r="22" spans="1:26" x14ac:dyDescent="0.25">
      <c r="A22">
        <v>2021</v>
      </c>
      <c r="B22" t="s">
        <v>236</v>
      </c>
      <c r="C22" t="s">
        <v>217</v>
      </c>
      <c r="D22">
        <v>10.953631456732801</v>
      </c>
      <c r="E22">
        <v>10.7025599885486</v>
      </c>
      <c r="F22">
        <v>9.1273432445662994</v>
      </c>
      <c r="G22">
        <v>27.279754395493399</v>
      </c>
      <c r="H22">
        <v>-0.89921055574993003</v>
      </c>
      <c r="I22">
        <v>-0.45785787501821901</v>
      </c>
      <c r="J22">
        <v>14.6007709517569</v>
      </c>
      <c r="K22">
        <v>14.6007709517569</v>
      </c>
      <c r="L22">
        <v>84.5897456548213</v>
      </c>
      <c r="M22">
        <v>70.972168549264694</v>
      </c>
      <c r="N22">
        <v>-8.9552408950961695</v>
      </c>
      <c r="O22">
        <v>99.502142826273698</v>
      </c>
      <c r="P22">
        <v>40.144003841752003</v>
      </c>
      <c r="Q22">
        <v>1.85057458021192</v>
      </c>
      <c r="R22">
        <v>75.720345076426696</v>
      </c>
      <c r="S22">
        <v>23.166162407496699</v>
      </c>
      <c r="T22">
        <v>11.0635664362215</v>
      </c>
      <c r="U22">
        <v>9.2824403683019892</v>
      </c>
      <c r="V22">
        <v>13.527845904937999</v>
      </c>
      <c r="W22">
        <v>54.781713398812499</v>
      </c>
      <c r="X22">
        <v>8.4898259327753607</v>
      </c>
      <c r="Y22">
        <v>1.44346659338355</v>
      </c>
      <c r="Z22">
        <v>8.6911492103222105</v>
      </c>
    </row>
    <row r="23" spans="1:26" x14ac:dyDescent="0.25">
      <c r="A23">
        <v>2022</v>
      </c>
      <c r="B23" t="s">
        <v>236</v>
      </c>
      <c r="C23" t="s">
        <v>217</v>
      </c>
      <c r="D23">
        <v>13.07993120299</v>
      </c>
      <c r="E23">
        <v>11.359936303065099</v>
      </c>
      <c r="F23">
        <v>0.517106064131578</v>
      </c>
      <c r="G23">
        <v>-0.68416556194608202</v>
      </c>
      <c r="H23">
        <v>-6.5875820824155804</v>
      </c>
      <c r="I23">
        <v>4.3670165667321097</v>
      </c>
      <c r="J23">
        <v>-1.7961512135759199</v>
      </c>
      <c r="K23">
        <v>-1.7961512135759199</v>
      </c>
      <c r="L23">
        <v>-21.673886242725199</v>
      </c>
      <c r="M23">
        <v>-12.6606401095164</v>
      </c>
      <c r="N23">
        <v>17.940171837767501</v>
      </c>
      <c r="O23">
        <v>-18.5904468357516</v>
      </c>
      <c r="P23">
        <v>-5.6019584584748303</v>
      </c>
      <c r="Q23">
        <v>3.6306027637409199</v>
      </c>
      <c r="R23">
        <v>-3.4517313560111198</v>
      </c>
      <c r="S23">
        <v>19.620341646814101</v>
      </c>
      <c r="T23">
        <v>13.8306058448039</v>
      </c>
      <c r="U23">
        <v>12.498002281782099</v>
      </c>
      <c r="V23">
        <v>0.97972747677330696</v>
      </c>
      <c r="W23">
        <v>-4.3884638466703398</v>
      </c>
      <c r="X23">
        <v>18.459758840534001</v>
      </c>
      <c r="Y23">
        <v>10.787049750532701</v>
      </c>
      <c r="Z23">
        <v>7.4585434545292504</v>
      </c>
    </row>
    <row r="24" spans="1:26" x14ac:dyDescent="0.25">
      <c r="A24">
        <v>2023</v>
      </c>
      <c r="B24" t="s">
        <v>236</v>
      </c>
      <c r="C24" t="s">
        <v>217</v>
      </c>
      <c r="D24">
        <v>-12.326432865435301</v>
      </c>
      <c r="E24">
        <v>-13.091358603198501</v>
      </c>
      <c r="F24">
        <v>1.5359305669769601</v>
      </c>
      <c r="G24">
        <v>-15.3567202124469</v>
      </c>
      <c r="H24">
        <v>10.2185477821095</v>
      </c>
      <c r="I24">
        <v>4.1144913174350402</v>
      </c>
      <c r="J24">
        <v>-1.48173362664032</v>
      </c>
      <c r="K24">
        <v>-1.48173362664032</v>
      </c>
      <c r="L24">
        <v>-22.139502071110002</v>
      </c>
      <c r="M24">
        <v>115.631216363286</v>
      </c>
      <c r="N24">
        <v>-29.2439385353251</v>
      </c>
      <c r="O24">
        <v>-7.4150822177948799</v>
      </c>
      <c r="P24">
        <v>-17.1119469407266</v>
      </c>
      <c r="Q24">
        <v>3.8489174898170803E-2</v>
      </c>
      <c r="R24">
        <v>-36.838010852146702</v>
      </c>
      <c r="S24">
        <v>-27.103300027400699</v>
      </c>
      <c r="T24">
        <v>-11.999834665439399</v>
      </c>
      <c r="U24">
        <v>-9.8947203238523294</v>
      </c>
      <c r="V24">
        <v>-3.3018655207588199</v>
      </c>
      <c r="W24">
        <v>-34.681274372037997</v>
      </c>
      <c r="X24">
        <v>-24.614161001990698</v>
      </c>
      <c r="Y24">
        <v>-14.4060226645845</v>
      </c>
      <c r="Z24">
        <v>-13.1247961523505</v>
      </c>
    </row>
    <row r="25" spans="1:26" x14ac:dyDescent="0.25">
      <c r="A25">
        <v>2024</v>
      </c>
      <c r="B25" t="s">
        <v>236</v>
      </c>
      <c r="C25" t="s">
        <v>217</v>
      </c>
      <c r="D25">
        <v>1.72867593550896</v>
      </c>
      <c r="E25">
        <v>5.51158842847319</v>
      </c>
      <c r="F25">
        <v>5.4877457596139898</v>
      </c>
      <c r="G25">
        <v>5.7332562525446802</v>
      </c>
      <c r="H25">
        <v>6.9908413734296904</v>
      </c>
      <c r="I25">
        <v>2.3193467213675101</v>
      </c>
      <c r="J25">
        <v>4.2097144476563697</v>
      </c>
      <c r="K25">
        <v>4.2097144476563697</v>
      </c>
      <c r="L25">
        <v>-25.535878489753401</v>
      </c>
      <c r="M25">
        <v>-44.351514144574999</v>
      </c>
      <c r="N25">
        <v>-30.313675060464998</v>
      </c>
      <c r="O25">
        <v>19.062183631958501</v>
      </c>
      <c r="P25">
        <v>0.33869686682181899</v>
      </c>
      <c r="Q25">
        <v>1.52173879485957</v>
      </c>
      <c r="R25">
        <v>10.071574515617399</v>
      </c>
      <c r="S25">
        <v>8.0218118868004709</v>
      </c>
      <c r="T25">
        <v>0.13353051730944401</v>
      </c>
      <c r="U25">
        <v>0.46347291709480898</v>
      </c>
      <c r="V25">
        <v>3.4544821139440098</v>
      </c>
      <c r="W25">
        <v>6.3961389264752802</v>
      </c>
      <c r="X25">
        <v>4.4148205853720404</v>
      </c>
      <c r="Y25">
        <v>2.2602311469932499E-2</v>
      </c>
      <c r="Z25">
        <v>3.9300446199761501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X25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5"/>
  <sheetData>
    <row r="1" spans="1:24" x14ac:dyDescent="0.25">
      <c r="A1" t="s">
        <v>52</v>
      </c>
      <c r="B1" t="s">
        <v>61</v>
      </c>
      <c r="C1" t="s">
        <v>57</v>
      </c>
      <c r="D1" t="s">
        <v>260</v>
      </c>
      <c r="E1" t="s">
        <v>261</v>
      </c>
      <c r="F1" t="s">
        <v>262</v>
      </c>
      <c r="G1" t="s">
        <v>263</v>
      </c>
      <c r="H1" t="s">
        <v>264</v>
      </c>
      <c r="I1" t="s">
        <v>265</v>
      </c>
      <c r="J1" t="s">
        <v>266</v>
      </c>
      <c r="K1" t="s">
        <v>267</v>
      </c>
      <c r="L1" t="s">
        <v>268</v>
      </c>
      <c r="M1" t="s">
        <v>269</v>
      </c>
      <c r="N1" t="s">
        <v>270</v>
      </c>
      <c r="O1" t="s">
        <v>271</v>
      </c>
      <c r="P1" t="s">
        <v>272</v>
      </c>
      <c r="Q1" t="s">
        <v>273</v>
      </c>
      <c r="R1" t="s">
        <v>274</v>
      </c>
      <c r="S1" t="s">
        <v>275</v>
      </c>
      <c r="T1" t="s">
        <v>276</v>
      </c>
      <c r="U1" t="s">
        <v>277</v>
      </c>
      <c r="V1" t="s">
        <v>278</v>
      </c>
      <c r="W1" t="s">
        <v>279</v>
      </c>
      <c r="X1" t="s">
        <v>280</v>
      </c>
    </row>
    <row r="2" spans="1:24" x14ac:dyDescent="0.25">
      <c r="A2">
        <v>2001</v>
      </c>
      <c r="B2" t="s">
        <v>23</v>
      </c>
      <c r="C2" t="s">
        <v>23</v>
      </c>
      <c r="D2">
        <v>0.88327257677780702</v>
      </c>
      <c r="E2">
        <v>1.0129915048360001</v>
      </c>
      <c r="F2">
        <v>1.01966927917156</v>
      </c>
      <c r="G2">
        <v>0.79693640088800699</v>
      </c>
      <c r="H2">
        <v>1.3406510885696901</v>
      </c>
      <c r="I2" t="s">
        <v>219</v>
      </c>
      <c r="J2">
        <v>0.753682345142201</v>
      </c>
      <c r="K2" t="s">
        <v>219</v>
      </c>
      <c r="L2" t="s">
        <v>219</v>
      </c>
      <c r="M2" t="s">
        <v>219</v>
      </c>
      <c r="N2" t="s">
        <v>219</v>
      </c>
      <c r="O2" t="s">
        <v>219</v>
      </c>
      <c r="P2">
        <v>1.3758518866671401</v>
      </c>
      <c r="Q2">
        <v>0.80269625484668505</v>
      </c>
      <c r="R2">
        <v>0.82292538715014696</v>
      </c>
      <c r="S2">
        <v>0.79274705868061102</v>
      </c>
      <c r="T2">
        <v>0.90586785946901904</v>
      </c>
      <c r="U2">
        <v>0.78638400257595398</v>
      </c>
      <c r="V2">
        <v>1.0207433673845101</v>
      </c>
      <c r="W2">
        <v>1.0464676092780301</v>
      </c>
      <c r="X2">
        <v>0.73626493858278697</v>
      </c>
    </row>
    <row r="3" spans="1:24" x14ac:dyDescent="0.25">
      <c r="A3">
        <v>2002</v>
      </c>
      <c r="B3" t="s">
        <v>23</v>
      </c>
      <c r="C3" t="s">
        <v>23</v>
      </c>
      <c r="D3">
        <v>0.796524728404716</v>
      </c>
      <c r="E3">
        <v>0.90280334795376704</v>
      </c>
      <c r="F3">
        <v>0.90274292990248695</v>
      </c>
      <c r="G3">
        <v>0.83385117625434901</v>
      </c>
      <c r="H3">
        <v>1.02490547308616</v>
      </c>
      <c r="I3" t="s">
        <v>219</v>
      </c>
      <c r="J3">
        <v>0.663565989477513</v>
      </c>
      <c r="K3" t="s">
        <v>219</v>
      </c>
      <c r="L3" t="s">
        <v>219</v>
      </c>
      <c r="M3" t="s">
        <v>219</v>
      </c>
      <c r="N3" t="s">
        <v>219</v>
      </c>
      <c r="O3" t="s">
        <v>219</v>
      </c>
      <c r="P3">
        <v>0.86848249226022001</v>
      </c>
      <c r="Q3">
        <v>0.81601552220336804</v>
      </c>
      <c r="R3">
        <v>0.82941684726508802</v>
      </c>
      <c r="S3">
        <v>0.72235723996373202</v>
      </c>
      <c r="T3">
        <v>0.78482164347406203</v>
      </c>
      <c r="U3">
        <v>0.689621431589996</v>
      </c>
      <c r="V3">
        <v>1.18328039823524</v>
      </c>
      <c r="W3">
        <v>1.20271327031235</v>
      </c>
      <c r="X3">
        <v>1.0395181894850001</v>
      </c>
    </row>
    <row r="4" spans="1:24" x14ac:dyDescent="0.25">
      <c r="A4">
        <v>2003</v>
      </c>
      <c r="B4" t="s">
        <v>23</v>
      </c>
      <c r="C4" t="s">
        <v>23</v>
      </c>
      <c r="D4">
        <v>0.84653307392521904</v>
      </c>
      <c r="E4">
        <v>0.855707980939309</v>
      </c>
      <c r="F4">
        <v>0.85736105678072605</v>
      </c>
      <c r="G4">
        <v>0.98622266822659999</v>
      </c>
      <c r="H4">
        <v>0.896075692414528</v>
      </c>
      <c r="I4">
        <v>0.597472367883362</v>
      </c>
      <c r="J4">
        <v>0.597472367883362</v>
      </c>
      <c r="K4">
        <v>0.74231528709920602</v>
      </c>
      <c r="L4">
        <v>1.69738566497901</v>
      </c>
      <c r="M4">
        <v>1.6878192567882899</v>
      </c>
      <c r="N4" t="s">
        <v>219</v>
      </c>
      <c r="O4" t="s">
        <v>219</v>
      </c>
      <c r="P4">
        <v>0.88182147929417298</v>
      </c>
      <c r="Q4">
        <v>0.79049395509727405</v>
      </c>
      <c r="R4">
        <v>0.79751665261350302</v>
      </c>
      <c r="S4">
        <v>0.84013028272599199</v>
      </c>
      <c r="T4">
        <v>0.85168082661537303</v>
      </c>
      <c r="U4">
        <v>0.65209673848123895</v>
      </c>
      <c r="V4">
        <v>1.2122341800671601</v>
      </c>
      <c r="W4">
        <v>1.2230035906496799</v>
      </c>
      <c r="X4">
        <v>0.97038686517846495</v>
      </c>
    </row>
    <row r="5" spans="1:24" x14ac:dyDescent="0.25">
      <c r="A5">
        <v>2004</v>
      </c>
      <c r="B5" t="s">
        <v>23</v>
      </c>
      <c r="C5" t="s">
        <v>23</v>
      </c>
      <c r="D5">
        <v>0.931240591186133</v>
      </c>
      <c r="E5">
        <v>0.90794586068336403</v>
      </c>
      <c r="F5">
        <v>0.90436166467381496</v>
      </c>
      <c r="G5">
        <v>1.00943369051376</v>
      </c>
      <c r="H5">
        <v>0.88589346479150999</v>
      </c>
      <c r="I5">
        <v>0.78890785671768404</v>
      </c>
      <c r="J5">
        <v>0.78890785671768404</v>
      </c>
      <c r="K5">
        <v>0.94576085978123303</v>
      </c>
      <c r="L5">
        <v>1.78721134941047</v>
      </c>
      <c r="M5">
        <v>0.63081008985841303</v>
      </c>
      <c r="N5">
        <v>0.95738999123102497</v>
      </c>
      <c r="O5">
        <v>0.79826645589671097</v>
      </c>
      <c r="P5">
        <v>0.88979115366145201</v>
      </c>
      <c r="Q5">
        <v>0.89273527971889599</v>
      </c>
      <c r="R5">
        <v>0.90149559375481703</v>
      </c>
      <c r="S5">
        <v>0.94749702792412205</v>
      </c>
      <c r="T5">
        <v>0.93477829615207897</v>
      </c>
      <c r="U5">
        <v>0.82025252944291205</v>
      </c>
      <c r="V5">
        <v>1.08836638434411</v>
      </c>
      <c r="W5">
        <v>1.0990464050956099</v>
      </c>
      <c r="X5">
        <v>1.0204033350379</v>
      </c>
    </row>
    <row r="6" spans="1:24" x14ac:dyDescent="0.25">
      <c r="A6">
        <v>2005</v>
      </c>
      <c r="B6" t="s">
        <v>23</v>
      </c>
      <c r="C6" t="s">
        <v>23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</row>
    <row r="7" spans="1:24" x14ac:dyDescent="0.25">
      <c r="A7">
        <v>2006</v>
      </c>
      <c r="B7" t="s">
        <v>23</v>
      </c>
      <c r="C7" t="s">
        <v>23</v>
      </c>
      <c r="D7">
        <v>0.85292249554742605</v>
      </c>
      <c r="E7">
        <v>0.80989845018356099</v>
      </c>
      <c r="F7">
        <v>0.80615533192238997</v>
      </c>
      <c r="G7">
        <v>0.92892325864508896</v>
      </c>
      <c r="H7">
        <v>0.78454639265920401</v>
      </c>
      <c r="I7">
        <v>0.90966204705305698</v>
      </c>
      <c r="J7">
        <v>0.90966204705305698</v>
      </c>
      <c r="K7">
        <v>0.80579471113905299</v>
      </c>
      <c r="L7">
        <v>1.5131303995126499</v>
      </c>
      <c r="M7">
        <v>0.80115549644912498</v>
      </c>
      <c r="N7">
        <v>0.69053979405490395</v>
      </c>
      <c r="O7">
        <v>0.74443644095349604</v>
      </c>
      <c r="P7">
        <v>0.52608270411189995</v>
      </c>
      <c r="Q7">
        <v>0.79259691552195599</v>
      </c>
      <c r="R7">
        <v>0.80196262196881896</v>
      </c>
      <c r="S7">
        <v>0.88294721172033497</v>
      </c>
      <c r="T7">
        <v>0.86263128257361199</v>
      </c>
      <c r="U7">
        <v>0.89955606583889602</v>
      </c>
      <c r="V7">
        <v>0.881097849952028</v>
      </c>
      <c r="W7">
        <v>0.89150932601508903</v>
      </c>
      <c r="X7">
        <v>1.5394888367424699</v>
      </c>
    </row>
    <row r="8" spans="1:24" x14ac:dyDescent="0.25">
      <c r="A8">
        <v>2007</v>
      </c>
      <c r="B8" t="s">
        <v>23</v>
      </c>
      <c r="C8" t="s">
        <v>23</v>
      </c>
      <c r="D8">
        <v>1.1152952548600299</v>
      </c>
      <c r="E8">
        <v>1.10991169007381</v>
      </c>
      <c r="F8">
        <v>1.1097561914835199</v>
      </c>
      <c r="G8">
        <v>1.0887610279584199</v>
      </c>
      <c r="H8">
        <v>1.1638900394193901</v>
      </c>
      <c r="I8">
        <v>1.0476305317952901</v>
      </c>
      <c r="J8">
        <v>1.0476305317952901</v>
      </c>
      <c r="K8">
        <v>1.49433216355494</v>
      </c>
      <c r="L8">
        <v>2.3860284238721299</v>
      </c>
      <c r="M8">
        <v>0.91689720311526501</v>
      </c>
      <c r="N8">
        <v>1.1590806559703599</v>
      </c>
      <c r="O8">
        <v>1.0410786385289801</v>
      </c>
      <c r="P8">
        <v>0.98200154671667805</v>
      </c>
      <c r="Q8">
        <v>1.0688334077166799</v>
      </c>
      <c r="R8">
        <v>1.0754041827162799</v>
      </c>
      <c r="S8">
        <v>1.1190522238604499</v>
      </c>
      <c r="T8">
        <v>1.1283094830243501</v>
      </c>
      <c r="U8">
        <v>1.0649668429210699</v>
      </c>
      <c r="V8">
        <v>1.0036306903086301</v>
      </c>
      <c r="W8">
        <v>1.0098006241833499</v>
      </c>
      <c r="X8">
        <v>1.13025452330986</v>
      </c>
    </row>
    <row r="9" spans="1:24" x14ac:dyDescent="0.25">
      <c r="A9">
        <v>2008</v>
      </c>
      <c r="B9" t="s">
        <v>23</v>
      </c>
      <c r="C9" t="s">
        <v>23</v>
      </c>
      <c r="D9">
        <v>1.1992704614154199</v>
      </c>
      <c r="E9">
        <v>1.0743924321079901</v>
      </c>
      <c r="F9">
        <v>1.0663391551499699</v>
      </c>
      <c r="G9">
        <v>1.1605928444804701</v>
      </c>
      <c r="H9">
        <v>1.3381404444601299</v>
      </c>
      <c r="I9">
        <v>1.10765647388213</v>
      </c>
      <c r="J9">
        <v>1.10765647388213</v>
      </c>
      <c r="K9">
        <v>1.54178768042326</v>
      </c>
      <c r="L9">
        <v>3.4245930081204898</v>
      </c>
      <c r="M9">
        <v>1.8903986399399699</v>
      </c>
      <c r="N9">
        <v>1.4689626063066901</v>
      </c>
      <c r="O9">
        <v>1.6743040596758201</v>
      </c>
      <c r="P9">
        <v>1.11484582737157</v>
      </c>
      <c r="Q9">
        <v>0.80868829541395204</v>
      </c>
      <c r="R9">
        <v>0.86383384042963796</v>
      </c>
      <c r="S9">
        <v>1.2864177148751501</v>
      </c>
      <c r="T9">
        <v>1.2970964401088401</v>
      </c>
      <c r="U9">
        <v>1.1483633762914101</v>
      </c>
      <c r="V9">
        <v>0.70420940976503399</v>
      </c>
      <c r="W9">
        <v>0.75223039872566799</v>
      </c>
      <c r="X9">
        <v>0.96371391068579004</v>
      </c>
    </row>
    <row r="10" spans="1:24" x14ac:dyDescent="0.25">
      <c r="A10">
        <v>2009</v>
      </c>
      <c r="B10" t="s">
        <v>23</v>
      </c>
      <c r="C10" t="s">
        <v>23</v>
      </c>
      <c r="D10">
        <v>1.13967374747086</v>
      </c>
      <c r="E10">
        <v>1.13643557557002</v>
      </c>
      <c r="F10">
        <v>1.1410908492379099</v>
      </c>
      <c r="G10">
        <v>1.13729279611676</v>
      </c>
      <c r="H10">
        <v>1.5535603364727499</v>
      </c>
      <c r="I10">
        <v>1.0679131732420599</v>
      </c>
      <c r="J10">
        <v>1.0679131732420599</v>
      </c>
      <c r="K10">
        <v>1.23880823654326</v>
      </c>
      <c r="L10">
        <v>2.54812430214885</v>
      </c>
      <c r="M10">
        <v>1.884016052038</v>
      </c>
      <c r="N10">
        <v>0.78124246634488004</v>
      </c>
      <c r="O10">
        <v>1.3185603811683599</v>
      </c>
      <c r="P10">
        <v>1.21961820334697</v>
      </c>
      <c r="Q10">
        <v>0.78846808791698997</v>
      </c>
      <c r="R10">
        <v>0.83341256061025204</v>
      </c>
      <c r="S10">
        <v>1.1419335347925701</v>
      </c>
      <c r="T10">
        <v>1.2269184060326299</v>
      </c>
      <c r="U10">
        <v>1.10208025330807</v>
      </c>
      <c r="V10">
        <v>0.71543618130374598</v>
      </c>
      <c r="W10">
        <v>0.75621766936539503</v>
      </c>
      <c r="X10">
        <v>0.93179617395946501</v>
      </c>
    </row>
    <row r="11" spans="1:24" x14ac:dyDescent="0.25">
      <c r="A11">
        <v>2010</v>
      </c>
      <c r="B11" t="s">
        <v>23</v>
      </c>
      <c r="C11" t="s">
        <v>23</v>
      </c>
      <c r="D11">
        <v>1.3461322005440799</v>
      </c>
      <c r="E11">
        <v>1.42329909748466</v>
      </c>
      <c r="F11">
        <v>1.4342204073542</v>
      </c>
      <c r="G11">
        <v>1.2909401455188001</v>
      </c>
      <c r="H11">
        <v>1.7989241950443799</v>
      </c>
      <c r="I11">
        <v>1.3197765408331601</v>
      </c>
      <c r="J11">
        <v>1.3197765408331601</v>
      </c>
      <c r="K11">
        <v>1.9235281595943201</v>
      </c>
      <c r="L11">
        <v>3.9470682266775001</v>
      </c>
      <c r="M11">
        <v>1.73392348604846</v>
      </c>
      <c r="N11">
        <v>2.6041270118081399</v>
      </c>
      <c r="O11">
        <v>2.18012706295251</v>
      </c>
      <c r="P11">
        <v>1.33411012532458</v>
      </c>
      <c r="Q11">
        <v>1.15899991520372</v>
      </c>
      <c r="R11">
        <v>1.1798870775199799</v>
      </c>
      <c r="S11">
        <v>1.2922805889861499</v>
      </c>
      <c r="T11">
        <v>1.3968827223985201</v>
      </c>
      <c r="U11">
        <v>1.33634513441271</v>
      </c>
      <c r="V11">
        <v>0.86729085575117904</v>
      </c>
      <c r="W11">
        <v>0.88292092150169499</v>
      </c>
      <c r="X11">
        <v>1.06685278109135</v>
      </c>
    </row>
    <row r="12" spans="1:24" x14ac:dyDescent="0.25">
      <c r="A12">
        <v>2011</v>
      </c>
      <c r="B12" t="s">
        <v>23</v>
      </c>
      <c r="C12" t="s">
        <v>23</v>
      </c>
      <c r="D12">
        <v>1.34292382190712</v>
      </c>
      <c r="E12">
        <v>1.3963077542203799</v>
      </c>
      <c r="F12">
        <v>1.40880956293107</v>
      </c>
      <c r="G12">
        <v>1.17355772773718</v>
      </c>
      <c r="H12">
        <v>1.98957065833793</v>
      </c>
      <c r="I12" t="s">
        <v>219</v>
      </c>
      <c r="J12">
        <v>1.25433209468143</v>
      </c>
      <c r="K12" t="s">
        <v>219</v>
      </c>
      <c r="L12" t="s">
        <v>219</v>
      </c>
      <c r="M12" t="s">
        <v>219</v>
      </c>
      <c r="N12" t="s">
        <v>219</v>
      </c>
      <c r="O12" t="s">
        <v>219</v>
      </c>
      <c r="P12">
        <v>1.3856448029681401</v>
      </c>
      <c r="Q12">
        <v>0.97239614128833296</v>
      </c>
      <c r="R12">
        <v>1.01489482150254</v>
      </c>
      <c r="S12">
        <v>1.3056693656526199</v>
      </c>
      <c r="T12">
        <v>1.4468682940570201</v>
      </c>
      <c r="U12">
        <v>1.29570431636382</v>
      </c>
      <c r="V12">
        <v>0.75047688659184597</v>
      </c>
      <c r="W12">
        <v>0.78327656139224799</v>
      </c>
      <c r="X12">
        <v>1.0076952991339501</v>
      </c>
    </row>
    <row r="13" spans="1:24" x14ac:dyDescent="0.25">
      <c r="A13">
        <v>2012</v>
      </c>
      <c r="B13" t="s">
        <v>23</v>
      </c>
      <c r="C13" t="s">
        <v>23</v>
      </c>
      <c r="D13">
        <v>1.4570834334367</v>
      </c>
      <c r="E13">
        <v>1.48556489926241</v>
      </c>
      <c r="F13">
        <v>1.5007274822994401</v>
      </c>
      <c r="G13">
        <v>1.2053169313857499</v>
      </c>
      <c r="H13">
        <v>2.1747282938818699</v>
      </c>
      <c r="I13" t="s">
        <v>219</v>
      </c>
      <c r="J13">
        <v>1.21754870889683</v>
      </c>
      <c r="K13" t="s">
        <v>219</v>
      </c>
      <c r="L13" t="s">
        <v>219</v>
      </c>
      <c r="M13" t="s">
        <v>219</v>
      </c>
      <c r="N13" t="s">
        <v>219</v>
      </c>
      <c r="O13" t="s">
        <v>219</v>
      </c>
      <c r="P13">
        <v>1.44282728594664</v>
      </c>
      <c r="Q13">
        <v>1.0001002780809001</v>
      </c>
      <c r="R13">
        <v>1.0472529542664399</v>
      </c>
      <c r="S13">
        <v>1.4372073869056701</v>
      </c>
      <c r="T13">
        <v>1.5894766732115799</v>
      </c>
      <c r="U13">
        <v>1.29746867324334</v>
      </c>
      <c r="V13">
        <v>0.77080880541100705</v>
      </c>
      <c r="W13">
        <v>0.80715085910211204</v>
      </c>
      <c r="X13">
        <v>1.0296207409799101</v>
      </c>
    </row>
    <row r="14" spans="1:24" x14ac:dyDescent="0.25">
      <c r="A14">
        <v>2013</v>
      </c>
      <c r="B14" t="s">
        <v>23</v>
      </c>
      <c r="C14" t="s">
        <v>23</v>
      </c>
      <c r="D14">
        <v>1.5264976282264799</v>
      </c>
      <c r="E14">
        <v>1.61031308958473</v>
      </c>
      <c r="F14">
        <v>1.6311305807731</v>
      </c>
      <c r="G14">
        <v>1.1743551016282701</v>
      </c>
      <c r="H14">
        <v>2.34925644374177</v>
      </c>
      <c r="I14" t="s">
        <v>219</v>
      </c>
      <c r="J14">
        <v>1.26717480739224</v>
      </c>
      <c r="K14" t="s">
        <v>219</v>
      </c>
      <c r="L14" t="s">
        <v>219</v>
      </c>
      <c r="M14" t="s">
        <v>219</v>
      </c>
      <c r="N14" t="s">
        <v>219</v>
      </c>
      <c r="O14" t="s">
        <v>219</v>
      </c>
      <c r="P14">
        <v>1.5129589152139999</v>
      </c>
      <c r="Q14">
        <v>1.1348453414466799</v>
      </c>
      <c r="R14">
        <v>1.1703211040177599</v>
      </c>
      <c r="S14">
        <v>1.4680062563227001</v>
      </c>
      <c r="T14">
        <v>1.6499500301547001</v>
      </c>
      <c r="U14">
        <v>1.34942563306561</v>
      </c>
      <c r="V14">
        <v>0.84098398136143004</v>
      </c>
      <c r="W14">
        <v>0.86727350906995904</v>
      </c>
      <c r="X14">
        <v>1.0643468724707299</v>
      </c>
    </row>
    <row r="15" spans="1:24" x14ac:dyDescent="0.25">
      <c r="A15">
        <v>2014</v>
      </c>
      <c r="B15" t="s">
        <v>23</v>
      </c>
      <c r="C15" t="s">
        <v>23</v>
      </c>
      <c r="D15">
        <v>1.62570023968164</v>
      </c>
      <c r="E15">
        <v>1.7324750275437</v>
      </c>
      <c r="F15">
        <v>1.7556412696005701</v>
      </c>
      <c r="G15">
        <v>1.2860645870996701</v>
      </c>
      <c r="H15">
        <v>2.5286480065572801</v>
      </c>
      <c r="I15" t="s">
        <v>219</v>
      </c>
      <c r="J15">
        <v>1.4200387840650499</v>
      </c>
      <c r="K15" t="s">
        <v>219</v>
      </c>
      <c r="L15" t="s">
        <v>219</v>
      </c>
      <c r="M15" t="s">
        <v>219</v>
      </c>
      <c r="N15" t="s">
        <v>219</v>
      </c>
      <c r="O15" t="s">
        <v>219</v>
      </c>
      <c r="P15">
        <v>1.5756949104278699</v>
      </c>
      <c r="Q15">
        <v>1.21565141102292</v>
      </c>
      <c r="R15">
        <v>1.25324747445413</v>
      </c>
      <c r="S15">
        <v>1.5511864957306001</v>
      </c>
      <c r="T15">
        <v>1.75299415329966</v>
      </c>
      <c r="U15">
        <v>1.4915843084443099</v>
      </c>
      <c r="V15">
        <v>0.81500683812557995</v>
      </c>
      <c r="W15">
        <v>0.84021229464477298</v>
      </c>
      <c r="X15">
        <v>1.09949903123902</v>
      </c>
    </row>
    <row r="16" spans="1:24" x14ac:dyDescent="0.25">
      <c r="A16">
        <v>2015</v>
      </c>
      <c r="B16" t="s">
        <v>23</v>
      </c>
      <c r="C16" t="s">
        <v>23</v>
      </c>
      <c r="D16">
        <v>1.6647028336899099</v>
      </c>
      <c r="E16">
        <v>1.83690763058097</v>
      </c>
      <c r="F16">
        <v>1.8620849792257601</v>
      </c>
      <c r="G16">
        <v>1.42117585973859</v>
      </c>
      <c r="H16">
        <v>2.6347600569224698</v>
      </c>
      <c r="I16" t="s">
        <v>219</v>
      </c>
      <c r="J16">
        <v>1.4174574223079801</v>
      </c>
      <c r="K16" t="s">
        <v>219</v>
      </c>
      <c r="L16" t="s">
        <v>219</v>
      </c>
      <c r="M16" t="s">
        <v>219</v>
      </c>
      <c r="N16" t="s">
        <v>219</v>
      </c>
      <c r="O16" t="s">
        <v>219</v>
      </c>
      <c r="P16">
        <v>1.58111170411169</v>
      </c>
      <c r="Q16">
        <v>1.31488750694676</v>
      </c>
      <c r="R16">
        <v>1.3496712773299699</v>
      </c>
      <c r="S16">
        <v>1.5445281707417799</v>
      </c>
      <c r="T16">
        <v>1.7696185100750801</v>
      </c>
      <c r="U16">
        <v>1.49312987579081</v>
      </c>
      <c r="V16">
        <v>0.88062500674989697</v>
      </c>
      <c r="W16">
        <v>0.90392088405245996</v>
      </c>
      <c r="X16">
        <v>1.1617823243001</v>
      </c>
    </row>
    <row r="17" spans="1:24" x14ac:dyDescent="0.25">
      <c r="A17">
        <v>2016</v>
      </c>
      <c r="B17" t="s">
        <v>23</v>
      </c>
      <c r="C17" t="s">
        <v>23</v>
      </c>
      <c r="D17">
        <v>1.6246830403318999</v>
      </c>
      <c r="E17">
        <v>1.83653236167306</v>
      </c>
      <c r="F17">
        <v>1.8654762965656599</v>
      </c>
      <c r="G17">
        <v>1.3601809786521499</v>
      </c>
      <c r="H17">
        <v>2.6513269932050898</v>
      </c>
      <c r="I17" t="s">
        <v>219</v>
      </c>
      <c r="J17">
        <v>1.44596819212699</v>
      </c>
      <c r="K17" t="s">
        <v>219</v>
      </c>
      <c r="L17" t="s">
        <v>219</v>
      </c>
      <c r="M17" t="s">
        <v>219</v>
      </c>
      <c r="N17" t="s">
        <v>219</v>
      </c>
      <c r="O17" t="s">
        <v>219</v>
      </c>
      <c r="P17">
        <v>1.5696276049203599</v>
      </c>
      <c r="Q17">
        <v>1.3238098168197501</v>
      </c>
      <c r="R17">
        <v>1.35041170800142</v>
      </c>
      <c r="S17">
        <v>1.4768420902097701</v>
      </c>
      <c r="T17">
        <v>1.7193273896291299</v>
      </c>
      <c r="U17">
        <v>1.5047076777647801</v>
      </c>
      <c r="V17">
        <v>0.87977873468835199</v>
      </c>
      <c r="W17">
        <v>0.89745784377696103</v>
      </c>
      <c r="X17">
        <v>1.17004336309837</v>
      </c>
    </row>
    <row r="18" spans="1:24" x14ac:dyDescent="0.25">
      <c r="A18">
        <v>2017</v>
      </c>
      <c r="B18" t="s">
        <v>23</v>
      </c>
      <c r="C18" t="s">
        <v>23</v>
      </c>
      <c r="D18">
        <v>1.6460148402577</v>
      </c>
      <c r="E18">
        <v>1.93491301260369</v>
      </c>
      <c r="F18">
        <v>1.9694966587773</v>
      </c>
      <c r="G18">
        <v>1.42606141983853</v>
      </c>
      <c r="H18">
        <v>2.7392851240379499</v>
      </c>
      <c r="I18" t="s">
        <v>219</v>
      </c>
      <c r="J18">
        <v>1.4425588237800699</v>
      </c>
      <c r="K18" t="s">
        <v>219</v>
      </c>
      <c r="L18" t="s">
        <v>219</v>
      </c>
      <c r="M18" t="s">
        <v>219</v>
      </c>
      <c r="N18" t="s">
        <v>219</v>
      </c>
      <c r="O18" t="s">
        <v>219</v>
      </c>
      <c r="P18">
        <v>1.5832733949011499</v>
      </c>
      <c r="Q18">
        <v>1.45156797943064</v>
      </c>
      <c r="R18">
        <v>1.4635517715125099</v>
      </c>
      <c r="S18">
        <v>1.4444046579933101</v>
      </c>
      <c r="T18">
        <v>1.7117469428709899</v>
      </c>
      <c r="U18">
        <v>1.5004020271538401</v>
      </c>
      <c r="V18">
        <v>0.96745269145241297</v>
      </c>
      <c r="W18">
        <v>0.97543974549858603</v>
      </c>
      <c r="X18">
        <v>1.2220965872571199</v>
      </c>
    </row>
    <row r="19" spans="1:24" x14ac:dyDescent="0.25">
      <c r="A19">
        <v>2018</v>
      </c>
      <c r="B19" t="s">
        <v>23</v>
      </c>
      <c r="C19" t="s">
        <v>23</v>
      </c>
      <c r="D19">
        <v>1.73837641852483</v>
      </c>
      <c r="E19">
        <v>2.0141793350036701</v>
      </c>
      <c r="F19">
        <v>2.06289691617321</v>
      </c>
      <c r="G19">
        <v>1.39417355292793</v>
      </c>
      <c r="H19">
        <v>2.7932879881893</v>
      </c>
      <c r="I19" t="s">
        <v>219</v>
      </c>
      <c r="J19">
        <v>1.45812919481987</v>
      </c>
      <c r="K19" t="s">
        <v>219</v>
      </c>
      <c r="L19" t="s">
        <v>219</v>
      </c>
      <c r="M19" t="s">
        <v>219</v>
      </c>
      <c r="N19" t="s">
        <v>219</v>
      </c>
      <c r="O19" t="s">
        <v>219</v>
      </c>
      <c r="P19">
        <v>1.5839566773964899</v>
      </c>
      <c r="Q19">
        <v>1.6114867840973499</v>
      </c>
      <c r="R19">
        <v>1.58575902233251</v>
      </c>
      <c r="S19">
        <v>1.5459048780896001</v>
      </c>
      <c r="T19">
        <v>1.8034408124994701</v>
      </c>
      <c r="U19">
        <v>1.53232983263487</v>
      </c>
      <c r="V19">
        <v>1.05165790665732</v>
      </c>
      <c r="W19">
        <v>1.03486794328461</v>
      </c>
      <c r="X19">
        <v>1.2716126417764899</v>
      </c>
    </row>
    <row r="20" spans="1:24" x14ac:dyDescent="0.25">
      <c r="A20">
        <v>2019</v>
      </c>
      <c r="B20" t="s">
        <v>23</v>
      </c>
      <c r="C20" t="s">
        <v>23</v>
      </c>
      <c r="D20">
        <v>1.7428861991420901</v>
      </c>
      <c r="E20">
        <v>1.9521862046163301</v>
      </c>
      <c r="F20">
        <v>1.9950148349677801</v>
      </c>
      <c r="G20">
        <v>1.43209682006191</v>
      </c>
      <c r="H20">
        <v>2.7955303204019302</v>
      </c>
      <c r="I20" t="s">
        <v>219</v>
      </c>
      <c r="J20">
        <v>1.5015222378448301</v>
      </c>
      <c r="K20" t="s">
        <v>219</v>
      </c>
      <c r="L20" t="s">
        <v>219</v>
      </c>
      <c r="M20" t="s">
        <v>219</v>
      </c>
      <c r="N20" t="s">
        <v>219</v>
      </c>
      <c r="O20" t="s">
        <v>219</v>
      </c>
      <c r="P20">
        <v>1.56312135361854</v>
      </c>
      <c r="Q20">
        <v>1.45583509746013</v>
      </c>
      <c r="R20">
        <v>1.45501826429284</v>
      </c>
      <c r="S20">
        <v>1.5968243119762899</v>
      </c>
      <c r="T20">
        <v>1.8443103244636201</v>
      </c>
      <c r="U20">
        <v>1.5751806187397901</v>
      </c>
      <c r="V20">
        <v>0.92423375461847801</v>
      </c>
      <c r="W20">
        <v>0.92371518985354095</v>
      </c>
      <c r="X20">
        <v>1.24890252448867</v>
      </c>
    </row>
    <row r="21" spans="1:24" x14ac:dyDescent="0.25">
      <c r="A21">
        <v>2020</v>
      </c>
      <c r="B21" t="s">
        <v>23</v>
      </c>
      <c r="C21" t="s">
        <v>23</v>
      </c>
      <c r="D21">
        <v>1.58691769995684</v>
      </c>
      <c r="E21">
        <v>1.79308748609151</v>
      </c>
      <c r="F21">
        <v>1.82321819540689</v>
      </c>
      <c r="G21">
        <v>1.3638930943205301</v>
      </c>
      <c r="H21">
        <v>2.4963321611315199</v>
      </c>
      <c r="I21" t="s">
        <v>219</v>
      </c>
      <c r="J21">
        <v>1.42004212868474</v>
      </c>
      <c r="K21" t="s">
        <v>219</v>
      </c>
      <c r="L21" t="s">
        <v>219</v>
      </c>
      <c r="M21" t="s">
        <v>219</v>
      </c>
      <c r="N21" t="s">
        <v>219</v>
      </c>
      <c r="O21" t="s">
        <v>219</v>
      </c>
      <c r="P21">
        <v>1.4566295307954</v>
      </c>
      <c r="Q21">
        <v>1.36618854378898</v>
      </c>
      <c r="R21">
        <v>1.37751594738923</v>
      </c>
      <c r="S21">
        <v>1.4430402644490701</v>
      </c>
      <c r="T21">
        <v>1.6605039374955699</v>
      </c>
      <c r="U21">
        <v>1.4717126160659899</v>
      </c>
      <c r="V21">
        <v>0.928298452343848</v>
      </c>
      <c r="W21">
        <v>0.93599520201942898</v>
      </c>
      <c r="X21">
        <v>1.2309838899890999</v>
      </c>
    </row>
    <row r="22" spans="1:24" x14ac:dyDescent="0.25">
      <c r="A22">
        <v>2021</v>
      </c>
      <c r="B22" t="s">
        <v>23</v>
      </c>
      <c r="C22" t="s">
        <v>23</v>
      </c>
      <c r="D22">
        <v>1.7204114444165299</v>
      </c>
      <c r="E22">
        <v>1.95674873562245</v>
      </c>
      <c r="F22">
        <v>2.0877351787093099</v>
      </c>
      <c r="G22">
        <v>1.25044040940981</v>
      </c>
      <c r="H22">
        <v>2.4390079904178599</v>
      </c>
      <c r="I22" t="s">
        <v>219</v>
      </c>
      <c r="J22">
        <v>1.4383498045051899</v>
      </c>
      <c r="K22" t="s">
        <v>219</v>
      </c>
      <c r="L22" t="s">
        <v>219</v>
      </c>
      <c r="M22" t="s">
        <v>219</v>
      </c>
      <c r="N22" t="s">
        <v>219</v>
      </c>
      <c r="O22" t="s">
        <v>219</v>
      </c>
      <c r="P22">
        <v>1.54022877691862</v>
      </c>
      <c r="Q22">
        <v>2.0054022216794198</v>
      </c>
      <c r="R22">
        <v>1.76294128139568</v>
      </c>
      <c r="S22">
        <v>1.5554813447590099</v>
      </c>
      <c r="T22">
        <v>1.73789511838111</v>
      </c>
      <c r="U22">
        <v>1.5027161686994901</v>
      </c>
      <c r="V22">
        <v>1.33451829656892</v>
      </c>
      <c r="W22">
        <v>1.17316983613838</v>
      </c>
      <c r="X22">
        <v>1.2704273319299499</v>
      </c>
    </row>
    <row r="23" spans="1:24" x14ac:dyDescent="0.25">
      <c r="A23">
        <v>2022</v>
      </c>
      <c r="B23" t="s">
        <v>23</v>
      </c>
      <c r="C23" t="s">
        <v>23</v>
      </c>
      <c r="D23">
        <v>1.82351180153617</v>
      </c>
      <c r="E23">
        <v>1.96686720199417</v>
      </c>
      <c r="F23">
        <v>2.0425187585238702</v>
      </c>
      <c r="G23">
        <v>1.1907586111087001</v>
      </c>
      <c r="H23">
        <v>2.48761709367739</v>
      </c>
      <c r="I23" t="s">
        <v>219</v>
      </c>
      <c r="J23">
        <v>1.39439619231092</v>
      </c>
      <c r="K23" t="s">
        <v>219</v>
      </c>
      <c r="L23" t="s">
        <v>219</v>
      </c>
      <c r="M23" t="s">
        <v>219</v>
      </c>
      <c r="N23" t="s">
        <v>219</v>
      </c>
      <c r="O23" t="s">
        <v>219</v>
      </c>
      <c r="P23">
        <v>1.6018160220711799</v>
      </c>
      <c r="Q23">
        <v>1.8835283522697299</v>
      </c>
      <c r="R23">
        <v>1.76056302522573</v>
      </c>
      <c r="S23">
        <v>1.72346994879537</v>
      </c>
      <c r="T23">
        <v>1.8812365141676499</v>
      </c>
      <c r="U23">
        <v>1.4990085498057799</v>
      </c>
      <c r="V23">
        <v>1.2565160835898901</v>
      </c>
      <c r="W23">
        <v>1.17448497905755</v>
      </c>
      <c r="X23">
        <v>1.22789831971526</v>
      </c>
    </row>
    <row r="24" spans="1:24" x14ac:dyDescent="0.25">
      <c r="A24">
        <v>2023</v>
      </c>
      <c r="B24" t="s">
        <v>23</v>
      </c>
      <c r="C24" t="s">
        <v>23</v>
      </c>
      <c r="D24">
        <v>1.8077289794451701</v>
      </c>
      <c r="E24">
        <v>1.9970769165614499</v>
      </c>
      <c r="F24">
        <v>2.0746015587704201</v>
      </c>
      <c r="G24">
        <v>1.3176173569721701</v>
      </c>
      <c r="H24">
        <v>2.7751371055652498</v>
      </c>
      <c r="I24" t="s">
        <v>219</v>
      </c>
      <c r="J24">
        <v>1.4279802183067001</v>
      </c>
      <c r="K24" t="s">
        <v>219</v>
      </c>
      <c r="L24" t="s">
        <v>219</v>
      </c>
      <c r="M24" t="s">
        <v>219</v>
      </c>
      <c r="N24" t="s">
        <v>219</v>
      </c>
      <c r="O24" t="s">
        <v>219</v>
      </c>
      <c r="P24">
        <v>1.69642870944293</v>
      </c>
      <c r="Q24">
        <v>1.6718529389254699</v>
      </c>
      <c r="R24">
        <v>1.5825755490559801</v>
      </c>
      <c r="S24">
        <v>1.6755908222411799</v>
      </c>
      <c r="T24">
        <v>1.9026042210999501</v>
      </c>
      <c r="U24">
        <v>1.5299675304226901</v>
      </c>
      <c r="V24">
        <v>1.09273752918376</v>
      </c>
      <c r="W24">
        <v>1.0343850556219001</v>
      </c>
      <c r="X24">
        <v>1.17722419188322</v>
      </c>
    </row>
    <row r="25" spans="1:24" x14ac:dyDescent="0.25">
      <c r="A25">
        <v>2024</v>
      </c>
      <c r="B25" t="s">
        <v>23</v>
      </c>
      <c r="C25" t="s">
        <v>23</v>
      </c>
      <c r="D25">
        <v>1.87608116204553</v>
      </c>
      <c r="E25">
        <v>2.10667142036628</v>
      </c>
      <c r="F25">
        <v>2.1904850963140099</v>
      </c>
      <c r="G25">
        <v>1.36724755147308</v>
      </c>
      <c r="H25">
        <v>2.8885428416218901</v>
      </c>
      <c r="I25" t="s">
        <v>219</v>
      </c>
      <c r="J25">
        <v>1.4886864180510999</v>
      </c>
      <c r="K25" t="s">
        <v>219</v>
      </c>
      <c r="L25" t="s">
        <v>219</v>
      </c>
      <c r="M25" t="s">
        <v>219</v>
      </c>
      <c r="N25" t="s">
        <v>219</v>
      </c>
      <c r="O25" t="s">
        <v>219</v>
      </c>
      <c r="P25">
        <v>1.73853950631198</v>
      </c>
      <c r="Q25">
        <v>1.80717530305806</v>
      </c>
      <c r="R25">
        <v>1.7026738361106599</v>
      </c>
      <c r="S25">
        <v>1.7151616808632</v>
      </c>
      <c r="T25">
        <v>1.9574191005830801</v>
      </c>
      <c r="U25">
        <v>1.5894078019486999</v>
      </c>
      <c r="V25">
        <v>1.1370117227576</v>
      </c>
      <c r="W25">
        <v>1.0712630415070901</v>
      </c>
      <c r="X25">
        <v>1.2117477990679799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25"/>
  <sheetViews>
    <sheetView workbookViewId="0">
      <pane ySplit="1" topLeftCell="A2" activePane="bottomLeft" state="frozen"/>
      <selection pane="bottomLeft" activeCell="J14" sqref="J14"/>
    </sheetView>
  </sheetViews>
  <sheetFormatPr baseColWidth="10" defaultRowHeight="15" x14ac:dyDescent="0.25"/>
  <sheetData>
    <row r="1" spans="1:26" x14ac:dyDescent="0.25">
      <c r="A1" t="s">
        <v>52</v>
      </c>
      <c r="B1" t="s">
        <v>61</v>
      </c>
      <c r="C1" t="s">
        <v>57</v>
      </c>
      <c r="D1" t="s">
        <v>260</v>
      </c>
      <c r="E1" t="s">
        <v>261</v>
      </c>
      <c r="F1" t="s">
        <v>281</v>
      </c>
      <c r="G1" t="s">
        <v>262</v>
      </c>
      <c r="H1" t="s">
        <v>263</v>
      </c>
      <c r="I1" t="s">
        <v>264</v>
      </c>
      <c r="J1" t="s">
        <v>265</v>
      </c>
      <c r="K1" t="s">
        <v>266</v>
      </c>
      <c r="L1" t="s">
        <v>267</v>
      </c>
      <c r="M1" t="s">
        <v>268</v>
      </c>
      <c r="N1" t="s">
        <v>269</v>
      </c>
      <c r="O1" t="s">
        <v>270</v>
      </c>
      <c r="P1" t="s">
        <v>271</v>
      </c>
      <c r="Q1" t="s">
        <v>272</v>
      </c>
      <c r="R1" t="s">
        <v>273</v>
      </c>
      <c r="S1" t="s">
        <v>274</v>
      </c>
      <c r="T1" t="s">
        <v>275</v>
      </c>
      <c r="U1" t="s">
        <v>276</v>
      </c>
      <c r="V1" t="s">
        <v>277</v>
      </c>
      <c r="W1" t="s">
        <v>278</v>
      </c>
      <c r="X1" t="s">
        <v>279</v>
      </c>
      <c r="Y1" t="s">
        <v>282</v>
      </c>
      <c r="Z1" t="s">
        <v>280</v>
      </c>
    </row>
    <row r="2" spans="1:26" x14ac:dyDescent="0.25">
      <c r="A2">
        <v>2001</v>
      </c>
      <c r="B2" t="s">
        <v>236</v>
      </c>
      <c r="C2" t="s">
        <v>217</v>
      </c>
      <c r="D2">
        <v>0.70232062324086597</v>
      </c>
      <c r="E2">
        <v>0.863106869362256</v>
      </c>
      <c r="F2">
        <v>1.0129915048360001</v>
      </c>
      <c r="G2">
        <v>0.863106869362256</v>
      </c>
      <c r="H2">
        <v>0.89950700832588804</v>
      </c>
      <c r="I2">
        <v>1.21948490036486</v>
      </c>
      <c r="J2" t="s">
        <v>219</v>
      </c>
      <c r="K2">
        <v>0.79441385626448902</v>
      </c>
      <c r="L2" t="s">
        <v>219</v>
      </c>
      <c r="M2" t="s">
        <v>219</v>
      </c>
      <c r="N2" t="s">
        <v>219</v>
      </c>
      <c r="O2" t="s">
        <v>219</v>
      </c>
      <c r="P2" t="s">
        <v>219</v>
      </c>
      <c r="Q2">
        <v>1.11134219930869</v>
      </c>
      <c r="R2">
        <v>0.64745098058461903</v>
      </c>
      <c r="S2">
        <v>0.705969688095619</v>
      </c>
      <c r="T2">
        <v>0.63598696370810603</v>
      </c>
      <c r="U2">
        <v>0.69460402909750896</v>
      </c>
      <c r="V2">
        <v>0.76486651715798504</v>
      </c>
      <c r="W2">
        <v>0.84648885270903595</v>
      </c>
      <c r="X2">
        <v>0.92299724495561697</v>
      </c>
      <c r="Y2">
        <v>0.85203761852079296</v>
      </c>
      <c r="Z2">
        <v>0.77663465843297597</v>
      </c>
    </row>
    <row r="3" spans="1:26" x14ac:dyDescent="0.25">
      <c r="A3">
        <v>2002</v>
      </c>
      <c r="B3" t="s">
        <v>236</v>
      </c>
      <c r="C3" t="s">
        <v>217</v>
      </c>
      <c r="D3">
        <v>0.73332000644584505</v>
      </c>
      <c r="E3">
        <v>0.94229572238186099</v>
      </c>
      <c r="F3">
        <v>0.90280334795376704</v>
      </c>
      <c r="G3">
        <v>0.94229572238186099</v>
      </c>
      <c r="H3">
        <v>0.95990777454422704</v>
      </c>
      <c r="I3">
        <v>0.87946900474921996</v>
      </c>
      <c r="J3" t="s">
        <v>219</v>
      </c>
      <c r="K3">
        <v>0.93870302420340102</v>
      </c>
      <c r="L3" t="s">
        <v>219</v>
      </c>
      <c r="M3" t="s">
        <v>219</v>
      </c>
      <c r="N3" t="s">
        <v>219</v>
      </c>
      <c r="O3" t="s">
        <v>219</v>
      </c>
      <c r="P3" t="s">
        <v>219</v>
      </c>
      <c r="Q3">
        <v>0.74770050969594004</v>
      </c>
      <c r="R3">
        <v>0.97545349968051898</v>
      </c>
      <c r="S3">
        <v>0.96645606268747797</v>
      </c>
      <c r="T3">
        <v>0.64710539340581497</v>
      </c>
      <c r="U3">
        <v>0.67044818888899105</v>
      </c>
      <c r="V3">
        <v>0.85928983603372699</v>
      </c>
      <c r="W3">
        <v>1.1351856600364001</v>
      </c>
      <c r="X3">
        <v>1.1247148775183999</v>
      </c>
      <c r="Y3">
        <v>1.04374416036184</v>
      </c>
      <c r="Z3">
        <v>1.26025823195581</v>
      </c>
    </row>
    <row r="4" spans="1:26" x14ac:dyDescent="0.25">
      <c r="A4">
        <v>2003</v>
      </c>
      <c r="B4" t="s">
        <v>236</v>
      </c>
      <c r="C4" t="s">
        <v>217</v>
      </c>
      <c r="D4">
        <v>0.83560176293072896</v>
      </c>
      <c r="E4">
        <v>0.85198955925266495</v>
      </c>
      <c r="F4">
        <v>0.855707980939309</v>
      </c>
      <c r="G4">
        <v>0.85198955925266495</v>
      </c>
      <c r="H4">
        <v>1.0331926409541401</v>
      </c>
      <c r="I4">
        <v>0.85072150458992102</v>
      </c>
      <c r="J4">
        <v>1.01727016787114</v>
      </c>
      <c r="K4">
        <v>1.01727016787114</v>
      </c>
      <c r="L4">
        <v>1.1832051337691201</v>
      </c>
      <c r="M4">
        <v>2.2428244478575299</v>
      </c>
      <c r="N4">
        <v>2.7536469728214601</v>
      </c>
      <c r="O4" t="s">
        <v>219</v>
      </c>
      <c r="P4" t="s">
        <v>219</v>
      </c>
      <c r="Q4">
        <v>0.81391216044681403</v>
      </c>
      <c r="R4">
        <v>0.81607622973191696</v>
      </c>
      <c r="S4">
        <v>0.82582139198036197</v>
      </c>
      <c r="T4">
        <v>0.82884084570096195</v>
      </c>
      <c r="U4">
        <v>0.83103893404418105</v>
      </c>
      <c r="V4">
        <v>0.96213894908942998</v>
      </c>
      <c r="W4">
        <v>0.84818957854710397</v>
      </c>
      <c r="X4">
        <v>0.85831822187629103</v>
      </c>
      <c r="Y4">
        <v>0.99565456701413202</v>
      </c>
      <c r="Z4">
        <v>1.0467831796307701</v>
      </c>
    </row>
    <row r="5" spans="1:26" x14ac:dyDescent="0.25">
      <c r="A5">
        <v>2004</v>
      </c>
      <c r="B5" t="s">
        <v>236</v>
      </c>
      <c r="C5" t="s">
        <v>217</v>
      </c>
      <c r="D5">
        <v>0.97490806442664801</v>
      </c>
      <c r="E5">
        <v>0.98121925508383101</v>
      </c>
      <c r="F5">
        <v>0.90794586068336403</v>
      </c>
      <c r="G5">
        <v>0.98121925508383101</v>
      </c>
      <c r="H5">
        <v>1.02242843955927</v>
      </c>
      <c r="I5">
        <v>0.86965998140629097</v>
      </c>
      <c r="J5">
        <v>0.97042745491751803</v>
      </c>
      <c r="K5">
        <v>0.97042745491751803</v>
      </c>
      <c r="L5">
        <v>0.99620623055161805</v>
      </c>
      <c r="M5">
        <v>1.1560271149325201</v>
      </c>
      <c r="N5">
        <v>0.76112213395784201</v>
      </c>
      <c r="O5">
        <v>0.83111810044172096</v>
      </c>
      <c r="P5">
        <v>0.79608274649773203</v>
      </c>
      <c r="Q5">
        <v>0.86563360478059603</v>
      </c>
      <c r="R5">
        <v>1.0380864914280099</v>
      </c>
      <c r="S5">
        <v>1.0226554397212999</v>
      </c>
      <c r="T5">
        <v>0.972304331940825</v>
      </c>
      <c r="U5">
        <v>0.96199288055573695</v>
      </c>
      <c r="V5">
        <v>0.96793051412560904</v>
      </c>
      <c r="W5">
        <v>1.0724803860179699</v>
      </c>
      <c r="X5">
        <v>1.05653807251353</v>
      </c>
      <c r="Y5">
        <v>1.0807023827889</v>
      </c>
      <c r="Z5">
        <v>1.13352722175398</v>
      </c>
    </row>
    <row r="6" spans="1:26" x14ac:dyDescent="0.25">
      <c r="A6">
        <v>2005</v>
      </c>
      <c r="B6" t="s">
        <v>236</v>
      </c>
      <c r="C6" t="s">
        <v>217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</row>
    <row r="7" spans="1:26" x14ac:dyDescent="0.25">
      <c r="A7">
        <v>2006</v>
      </c>
      <c r="B7" t="s">
        <v>236</v>
      </c>
      <c r="C7" t="s">
        <v>217</v>
      </c>
      <c r="D7">
        <v>0.93957277101750702</v>
      </c>
      <c r="E7">
        <v>0.93912130206958799</v>
      </c>
      <c r="F7">
        <v>0.80989845018356099</v>
      </c>
      <c r="G7">
        <v>0.93912130206958799</v>
      </c>
      <c r="H7">
        <v>0.78996047543262804</v>
      </c>
      <c r="I7">
        <v>0.89917387471976495</v>
      </c>
      <c r="J7">
        <v>1.0240461382400201</v>
      </c>
      <c r="K7">
        <v>1.0240461382400201</v>
      </c>
      <c r="L7">
        <v>0.94624332784221998</v>
      </c>
      <c r="M7">
        <v>1.4445485065482799</v>
      </c>
      <c r="N7">
        <v>0.96828301909872905</v>
      </c>
      <c r="O7">
        <v>0.63387675992814296</v>
      </c>
      <c r="P7">
        <v>0.801258428325066</v>
      </c>
      <c r="Q7">
        <v>0.62421986022789999</v>
      </c>
      <c r="R7">
        <v>0.99264226411803802</v>
      </c>
      <c r="S7">
        <v>0.97811923142195401</v>
      </c>
      <c r="T7">
        <v>0.93975902816451695</v>
      </c>
      <c r="U7">
        <v>0.93568192275615703</v>
      </c>
      <c r="V7">
        <v>0.99788711648944906</v>
      </c>
      <c r="W7">
        <v>0.99474404240244896</v>
      </c>
      <c r="X7">
        <v>0.98019025925794301</v>
      </c>
      <c r="Y7">
        <v>1.1595543884010899</v>
      </c>
      <c r="Z7">
        <v>1.5044720008215</v>
      </c>
    </row>
    <row r="8" spans="1:26" x14ac:dyDescent="0.25">
      <c r="A8">
        <v>2007</v>
      </c>
      <c r="B8" t="s">
        <v>236</v>
      </c>
      <c r="C8" t="s">
        <v>217</v>
      </c>
      <c r="D8">
        <v>1.09238179823627</v>
      </c>
      <c r="E8">
        <v>1.12275259642508</v>
      </c>
      <c r="F8">
        <v>1.10991169007381</v>
      </c>
      <c r="G8">
        <v>1.12275259642508</v>
      </c>
      <c r="H8">
        <v>1.0065426813226299</v>
      </c>
      <c r="I8">
        <v>1.18816938645785</v>
      </c>
      <c r="J8">
        <v>1.44493496536518</v>
      </c>
      <c r="K8">
        <v>1.44493496536518</v>
      </c>
      <c r="L8">
        <v>2.3038695939607599</v>
      </c>
      <c r="M8">
        <v>1.8594896309931801</v>
      </c>
      <c r="N8">
        <v>0.83117886540743102</v>
      </c>
      <c r="O8">
        <v>1.04024125644237</v>
      </c>
      <c r="P8">
        <v>0.93559844294578798</v>
      </c>
      <c r="Q8">
        <v>0.98205335450813902</v>
      </c>
      <c r="R8">
        <v>1.10802575915061</v>
      </c>
      <c r="S8">
        <v>1.1120219193663701</v>
      </c>
      <c r="T8">
        <v>1.0798520810782899</v>
      </c>
      <c r="U8">
        <v>1.09073342644965</v>
      </c>
      <c r="V8">
        <v>1.34007842689153</v>
      </c>
      <c r="W8">
        <v>0.826836502189504</v>
      </c>
      <c r="X8">
        <v>0.82981853677461903</v>
      </c>
      <c r="Y8">
        <v>1.01156930453667</v>
      </c>
      <c r="Z8">
        <v>1.14327046618298</v>
      </c>
    </row>
    <row r="9" spans="1:26" x14ac:dyDescent="0.25">
      <c r="A9">
        <v>2008</v>
      </c>
      <c r="B9" t="s">
        <v>236</v>
      </c>
      <c r="C9" t="s">
        <v>217</v>
      </c>
      <c r="D9">
        <v>1.22433135169145</v>
      </c>
      <c r="E9">
        <v>1.18101478422534</v>
      </c>
      <c r="F9">
        <v>1.0743924321079901</v>
      </c>
      <c r="G9">
        <v>1.18101478422534</v>
      </c>
      <c r="H9">
        <v>1.27146782115632</v>
      </c>
      <c r="I9">
        <v>1.33937422556956</v>
      </c>
      <c r="J9">
        <v>1.63581867924253</v>
      </c>
      <c r="K9">
        <v>1.63581867924253</v>
      </c>
      <c r="L9">
        <v>2.1430233249384099</v>
      </c>
      <c r="M9">
        <v>2.9469226690621602</v>
      </c>
      <c r="N9">
        <v>1.37181402309726</v>
      </c>
      <c r="O9">
        <v>1.40895704234407</v>
      </c>
      <c r="P9">
        <v>1.3903657021393401</v>
      </c>
      <c r="Q9">
        <v>1.0145359599960999</v>
      </c>
      <c r="R9">
        <v>1.07016104248785</v>
      </c>
      <c r="S9">
        <v>1.1002414531179801</v>
      </c>
      <c r="T9">
        <v>1.2422019501271899</v>
      </c>
      <c r="U9">
        <v>1.25196368751443</v>
      </c>
      <c r="V9">
        <v>1.52218364018631</v>
      </c>
      <c r="W9">
        <v>0.70304332160399896</v>
      </c>
      <c r="X9">
        <v>0.72280467617120703</v>
      </c>
      <c r="Y9">
        <v>1.0992396715864401</v>
      </c>
      <c r="Z9">
        <v>1.1640935667079599</v>
      </c>
    </row>
    <row r="10" spans="1:26" x14ac:dyDescent="0.25">
      <c r="A10">
        <v>2009</v>
      </c>
      <c r="B10" t="s">
        <v>236</v>
      </c>
      <c r="C10" t="s">
        <v>217</v>
      </c>
      <c r="D10">
        <v>1.0459951446387199</v>
      </c>
      <c r="E10">
        <v>1.06800917983548</v>
      </c>
      <c r="F10">
        <v>1.13643557557002</v>
      </c>
      <c r="G10">
        <v>1.06800917983548</v>
      </c>
      <c r="H10">
        <v>1.13702954261962</v>
      </c>
      <c r="I10">
        <v>1.53181685151902</v>
      </c>
      <c r="J10">
        <v>1.3103852423443501</v>
      </c>
      <c r="K10">
        <v>1.3103852423443501</v>
      </c>
      <c r="L10">
        <v>0.90776297618977897</v>
      </c>
      <c r="M10">
        <v>1.5564527685866401</v>
      </c>
      <c r="N10">
        <v>0.84149994862046895</v>
      </c>
      <c r="O10">
        <v>0.515874882503219</v>
      </c>
      <c r="P10">
        <v>0.67886126611262598</v>
      </c>
      <c r="Q10">
        <v>1.0158440036600001</v>
      </c>
      <c r="R10">
        <v>0.78296520393540803</v>
      </c>
      <c r="S10">
        <v>0.86031252400172098</v>
      </c>
      <c r="T10">
        <v>1.0369130772921</v>
      </c>
      <c r="U10">
        <v>1.0866301458074401</v>
      </c>
      <c r="V10">
        <v>1.2441455953893099</v>
      </c>
      <c r="W10">
        <v>0.62931959638566903</v>
      </c>
      <c r="X10">
        <v>0.69148862254543197</v>
      </c>
      <c r="Y10">
        <v>0.93978858352774097</v>
      </c>
      <c r="Z10">
        <v>1.05135156184171</v>
      </c>
    </row>
    <row r="11" spans="1:26" x14ac:dyDescent="0.25">
      <c r="A11">
        <v>2010</v>
      </c>
      <c r="B11" t="s">
        <v>236</v>
      </c>
      <c r="C11" t="s">
        <v>217</v>
      </c>
      <c r="D11">
        <v>1.1349059961239101</v>
      </c>
      <c r="E11">
        <v>1.24355415737108</v>
      </c>
      <c r="F11">
        <v>1.42329909748466</v>
      </c>
      <c r="G11">
        <v>1.24355415737108</v>
      </c>
      <c r="H11">
        <v>1.1326852705702199</v>
      </c>
      <c r="I11">
        <v>1.6475000618211699</v>
      </c>
      <c r="J11">
        <v>1.3368265710714899</v>
      </c>
      <c r="K11">
        <v>1.3368265710714899</v>
      </c>
      <c r="L11">
        <v>1.1501005688918899</v>
      </c>
      <c r="M11">
        <v>1.6692800243603201</v>
      </c>
      <c r="N11">
        <v>0.87422730564686002</v>
      </c>
      <c r="O11">
        <v>0.60658516375734095</v>
      </c>
      <c r="P11">
        <v>0.74054912828930097</v>
      </c>
      <c r="Q11">
        <v>1.09627779336679</v>
      </c>
      <c r="R11">
        <v>1.0298863694226099</v>
      </c>
      <c r="S11">
        <v>1.08786560132929</v>
      </c>
      <c r="T11">
        <v>1.09008232301204</v>
      </c>
      <c r="U11">
        <v>1.14607942255998</v>
      </c>
      <c r="V11">
        <v>1.2803584772911101</v>
      </c>
      <c r="W11">
        <v>0.804373452973553</v>
      </c>
      <c r="X11">
        <v>0.84965704576027201</v>
      </c>
      <c r="Y11">
        <v>0.87371246111850998</v>
      </c>
      <c r="Z11">
        <v>1.1343421940090399</v>
      </c>
    </row>
    <row r="12" spans="1:26" x14ac:dyDescent="0.25">
      <c r="A12">
        <v>2011</v>
      </c>
      <c r="B12" t="s">
        <v>236</v>
      </c>
      <c r="C12" t="s">
        <v>217</v>
      </c>
      <c r="D12">
        <v>1.12514815421908</v>
      </c>
      <c r="E12">
        <v>1.16634969832598</v>
      </c>
      <c r="F12">
        <v>1.3963077542203799</v>
      </c>
      <c r="G12">
        <v>1.16634969832598</v>
      </c>
      <c r="H12">
        <v>1.0428867460461699</v>
      </c>
      <c r="I12">
        <v>1.70762327823756</v>
      </c>
      <c r="J12" t="s">
        <v>219</v>
      </c>
      <c r="K12">
        <v>1.5019110001117599</v>
      </c>
      <c r="L12" t="s">
        <v>219</v>
      </c>
      <c r="M12" t="s">
        <v>219</v>
      </c>
      <c r="N12" t="s">
        <v>219</v>
      </c>
      <c r="O12" t="s">
        <v>219</v>
      </c>
      <c r="P12" t="s">
        <v>219</v>
      </c>
      <c r="Q12">
        <v>1.0682096497064399</v>
      </c>
      <c r="R12">
        <v>0.87496540447271498</v>
      </c>
      <c r="S12">
        <v>0.95403318398918402</v>
      </c>
      <c r="T12">
        <v>1.1081501256877899</v>
      </c>
      <c r="U12">
        <v>1.1683720301276601</v>
      </c>
      <c r="V12">
        <v>1.4031713335770599</v>
      </c>
      <c r="W12">
        <v>0.62356277065766097</v>
      </c>
      <c r="X12">
        <v>0.67991211134359397</v>
      </c>
      <c r="Y12">
        <v>0.83530990557106699</v>
      </c>
      <c r="Z12">
        <v>1.0918733964315901</v>
      </c>
    </row>
    <row r="13" spans="1:26" x14ac:dyDescent="0.25">
      <c r="A13">
        <v>2012</v>
      </c>
      <c r="B13" t="s">
        <v>236</v>
      </c>
      <c r="C13" t="s">
        <v>217</v>
      </c>
      <c r="D13">
        <v>1.1770428179235899</v>
      </c>
      <c r="E13">
        <v>1.0918422753402099</v>
      </c>
      <c r="F13">
        <v>1.48556489926241</v>
      </c>
      <c r="G13">
        <v>1.0918422753402099</v>
      </c>
      <c r="H13">
        <v>1.0799073839584299</v>
      </c>
      <c r="I13">
        <v>1.8088362112669401</v>
      </c>
      <c r="J13" t="s">
        <v>219</v>
      </c>
      <c r="K13">
        <v>1.3373052277511099</v>
      </c>
      <c r="L13" t="s">
        <v>219</v>
      </c>
      <c r="M13" t="s">
        <v>219</v>
      </c>
      <c r="N13" t="s">
        <v>219</v>
      </c>
      <c r="O13" t="s">
        <v>219</v>
      </c>
      <c r="P13" t="s">
        <v>219</v>
      </c>
      <c r="Q13">
        <v>1.0754266949203699</v>
      </c>
      <c r="R13">
        <v>0.67519414502188002</v>
      </c>
      <c r="S13">
        <v>0.78825254658606603</v>
      </c>
      <c r="T13">
        <v>1.21219298729483</v>
      </c>
      <c r="U13">
        <v>1.27213060262575</v>
      </c>
      <c r="V13">
        <v>1.3180111681942599</v>
      </c>
      <c r="W13">
        <v>0.51228256733736899</v>
      </c>
      <c r="X13">
        <v>0.59806211480439198</v>
      </c>
      <c r="Y13">
        <v>0.73496773912894497</v>
      </c>
      <c r="Z13">
        <v>1.0152642485976699</v>
      </c>
    </row>
    <row r="14" spans="1:26" x14ac:dyDescent="0.25">
      <c r="A14">
        <v>2013</v>
      </c>
      <c r="B14" t="s">
        <v>236</v>
      </c>
      <c r="C14" t="s">
        <v>217</v>
      </c>
      <c r="D14">
        <v>1.1684819269221201</v>
      </c>
      <c r="E14">
        <v>1.1376746506064701</v>
      </c>
      <c r="F14">
        <v>1.61031308958473</v>
      </c>
      <c r="G14">
        <v>1.1376746506064701</v>
      </c>
      <c r="H14">
        <v>1.0455724821082399</v>
      </c>
      <c r="I14">
        <v>1.9094045512173601</v>
      </c>
      <c r="J14" t="s">
        <v>219</v>
      </c>
      <c r="K14">
        <v>1.3645955821828499</v>
      </c>
      <c r="L14" t="s">
        <v>219</v>
      </c>
      <c r="M14" t="s">
        <v>219</v>
      </c>
      <c r="N14" t="s">
        <v>219</v>
      </c>
      <c r="O14" t="s">
        <v>219</v>
      </c>
      <c r="P14" t="s">
        <v>219</v>
      </c>
      <c r="Q14">
        <v>1.0720970747618299</v>
      </c>
      <c r="R14">
        <v>0.70525147235666397</v>
      </c>
      <c r="S14">
        <v>0.82259046844162298</v>
      </c>
      <c r="T14">
        <v>1.18119171664325</v>
      </c>
      <c r="U14">
        <v>1.25434655860586</v>
      </c>
      <c r="V14">
        <v>1.33195786124641</v>
      </c>
      <c r="W14">
        <v>0.529484822963324</v>
      </c>
      <c r="X14">
        <v>0.61757994931751403</v>
      </c>
      <c r="Y14">
        <v>0.70649282922978296</v>
      </c>
      <c r="Z14">
        <v>1.0611675727771299</v>
      </c>
    </row>
    <row r="15" spans="1:26" x14ac:dyDescent="0.25">
      <c r="A15">
        <v>2014</v>
      </c>
      <c r="B15" t="s">
        <v>236</v>
      </c>
      <c r="C15" t="s">
        <v>217</v>
      </c>
      <c r="D15">
        <v>1.2316497712802701</v>
      </c>
      <c r="E15">
        <v>1.2157324857416201</v>
      </c>
      <c r="F15">
        <v>1.7324750275437</v>
      </c>
      <c r="G15">
        <v>1.2157324857416201</v>
      </c>
      <c r="H15">
        <v>1.2140461177617199</v>
      </c>
      <c r="I15">
        <v>1.98614079544037</v>
      </c>
      <c r="J15" t="s">
        <v>219</v>
      </c>
      <c r="K15">
        <v>1.89997365094306</v>
      </c>
      <c r="L15" t="s">
        <v>219</v>
      </c>
      <c r="M15" t="s">
        <v>219</v>
      </c>
      <c r="N15" t="s">
        <v>219</v>
      </c>
      <c r="O15" t="s">
        <v>219</v>
      </c>
      <c r="P15" t="s">
        <v>219</v>
      </c>
      <c r="Q15">
        <v>1.05161820600654</v>
      </c>
      <c r="R15">
        <v>0.76579207618491696</v>
      </c>
      <c r="S15">
        <v>0.88788441214416003</v>
      </c>
      <c r="T15">
        <v>1.23821657550064</v>
      </c>
      <c r="U15">
        <v>1.31335158481656</v>
      </c>
      <c r="V15">
        <v>1.72631218285737</v>
      </c>
      <c r="W15">
        <v>0.44359999529018501</v>
      </c>
      <c r="X15">
        <v>0.51432436204820497</v>
      </c>
      <c r="Y15">
        <v>0.70173160733247597</v>
      </c>
      <c r="Z15">
        <v>1.1560588042292399</v>
      </c>
    </row>
    <row r="16" spans="1:26" x14ac:dyDescent="0.25">
      <c r="A16">
        <v>2015</v>
      </c>
      <c r="B16" t="s">
        <v>236</v>
      </c>
      <c r="C16" t="s">
        <v>217</v>
      </c>
      <c r="D16">
        <v>1.19068756747858</v>
      </c>
      <c r="E16">
        <v>1.29561533464768</v>
      </c>
      <c r="F16">
        <v>1.83690763058097</v>
      </c>
      <c r="G16">
        <v>1.29561533464768</v>
      </c>
      <c r="H16">
        <v>1.36423604797578</v>
      </c>
      <c r="I16">
        <v>1.96495207837649</v>
      </c>
      <c r="J16" t="s">
        <v>219</v>
      </c>
      <c r="K16">
        <v>1.82525913455667</v>
      </c>
      <c r="L16" t="s">
        <v>219</v>
      </c>
      <c r="M16" t="s">
        <v>219</v>
      </c>
      <c r="N16" t="s">
        <v>219</v>
      </c>
      <c r="O16" t="s">
        <v>219</v>
      </c>
      <c r="P16" t="s">
        <v>219</v>
      </c>
      <c r="Q16">
        <v>1.0134474671525</v>
      </c>
      <c r="R16">
        <v>0.89052636057922496</v>
      </c>
      <c r="S16">
        <v>1.0004481592549199</v>
      </c>
      <c r="T16">
        <v>1.1473987728781201</v>
      </c>
      <c r="U16">
        <v>1.2295285844114701</v>
      </c>
      <c r="V16">
        <v>1.6489012239092999</v>
      </c>
      <c r="W16">
        <v>0.54007259359533999</v>
      </c>
      <c r="X16">
        <v>0.60673625851462798</v>
      </c>
      <c r="Y16">
        <v>0.70532416169337098</v>
      </c>
      <c r="Z16">
        <v>1.2784237729539101</v>
      </c>
    </row>
    <row r="17" spans="1:26" x14ac:dyDescent="0.25">
      <c r="A17">
        <v>2016</v>
      </c>
      <c r="B17" t="s">
        <v>236</v>
      </c>
      <c r="C17" t="s">
        <v>217</v>
      </c>
      <c r="D17">
        <v>1.13284715480479</v>
      </c>
      <c r="E17">
        <v>1.23430968196382</v>
      </c>
      <c r="F17">
        <v>1.83653236167306</v>
      </c>
      <c r="G17">
        <v>1.23430968196382</v>
      </c>
      <c r="H17">
        <v>1.3690118127800499</v>
      </c>
      <c r="I17">
        <v>1.9314979929938101</v>
      </c>
      <c r="J17" t="s">
        <v>219</v>
      </c>
      <c r="K17">
        <v>1.79045039797437</v>
      </c>
      <c r="L17" t="s">
        <v>219</v>
      </c>
      <c r="M17" t="s">
        <v>219</v>
      </c>
      <c r="N17" t="s">
        <v>219</v>
      </c>
      <c r="O17" t="s">
        <v>219</v>
      </c>
      <c r="P17" t="s">
        <v>219</v>
      </c>
      <c r="Q17">
        <v>0.97877679532842699</v>
      </c>
      <c r="R17">
        <v>0.79957505789682504</v>
      </c>
      <c r="S17">
        <v>0.91754126997143404</v>
      </c>
      <c r="T17">
        <v>1.090987972852</v>
      </c>
      <c r="U17">
        <v>1.17542397119227</v>
      </c>
      <c r="V17">
        <v>1.6083802060163199</v>
      </c>
      <c r="W17">
        <v>0.49713062552369602</v>
      </c>
      <c r="X17">
        <v>0.57047535560265605</v>
      </c>
      <c r="Y17">
        <v>0.67208708527160199</v>
      </c>
      <c r="Z17">
        <v>1.26107370736109</v>
      </c>
    </row>
    <row r="18" spans="1:26" x14ac:dyDescent="0.25">
      <c r="A18">
        <v>2017</v>
      </c>
      <c r="B18" t="s">
        <v>236</v>
      </c>
      <c r="C18" t="s">
        <v>217</v>
      </c>
      <c r="D18">
        <v>1.0727511934199201</v>
      </c>
      <c r="E18">
        <v>1.24742554570763</v>
      </c>
      <c r="F18">
        <v>1.93491301260369</v>
      </c>
      <c r="G18">
        <v>1.24742554570763</v>
      </c>
      <c r="H18">
        <v>1.2890756635476599</v>
      </c>
      <c r="I18">
        <v>1.9490300398636</v>
      </c>
      <c r="J18" t="s">
        <v>219</v>
      </c>
      <c r="K18">
        <v>1.63924162825749</v>
      </c>
      <c r="L18" t="s">
        <v>219</v>
      </c>
      <c r="M18" t="s">
        <v>219</v>
      </c>
      <c r="N18" t="s">
        <v>219</v>
      </c>
      <c r="O18" t="s">
        <v>219</v>
      </c>
      <c r="P18" t="s">
        <v>219</v>
      </c>
      <c r="Q18">
        <v>0.95169603009459902</v>
      </c>
      <c r="R18">
        <v>0.82893271606990304</v>
      </c>
      <c r="S18">
        <v>0.94249168091816704</v>
      </c>
      <c r="T18">
        <v>1.0006878839437401</v>
      </c>
      <c r="U18">
        <v>1.0959564884628701</v>
      </c>
      <c r="V18">
        <v>1.47840946660892</v>
      </c>
      <c r="W18">
        <v>0.56069224040566701</v>
      </c>
      <c r="X18">
        <v>0.63750381893860097</v>
      </c>
      <c r="Y18">
        <v>0.64469334672004197</v>
      </c>
      <c r="Z18">
        <v>1.31073946539804</v>
      </c>
    </row>
    <row r="19" spans="1:26" x14ac:dyDescent="0.25">
      <c r="A19">
        <v>2018</v>
      </c>
      <c r="B19" t="s">
        <v>236</v>
      </c>
      <c r="C19" t="s">
        <v>217</v>
      </c>
      <c r="D19">
        <v>1.196604457998</v>
      </c>
      <c r="E19">
        <v>1.4222715619511801</v>
      </c>
      <c r="F19">
        <v>2.0141793350036701</v>
      </c>
      <c r="G19">
        <v>1.45472045152841</v>
      </c>
      <c r="H19">
        <v>1.2623144270662301</v>
      </c>
      <c r="I19">
        <v>1.9533372037015799</v>
      </c>
      <c r="J19" t="s">
        <v>219</v>
      </c>
      <c r="K19">
        <v>1.7097086495637901</v>
      </c>
      <c r="L19" t="s">
        <v>219</v>
      </c>
      <c r="M19" t="s">
        <v>219</v>
      </c>
      <c r="N19" t="s">
        <v>219</v>
      </c>
      <c r="O19" t="s">
        <v>219</v>
      </c>
      <c r="P19" t="s">
        <v>219</v>
      </c>
      <c r="Q19">
        <v>0.92337068815861101</v>
      </c>
      <c r="R19">
        <v>1.20221392401621</v>
      </c>
      <c r="S19">
        <v>1.21968135371694</v>
      </c>
      <c r="T19">
        <v>1.1035036785316199</v>
      </c>
      <c r="U19">
        <v>1.1888762980140699</v>
      </c>
      <c r="V19">
        <v>1.5555233298844799</v>
      </c>
      <c r="W19">
        <v>0.77286781941450799</v>
      </c>
      <c r="X19">
        <v>0.78409711399668802</v>
      </c>
      <c r="Y19">
        <v>0.70612955720180903</v>
      </c>
      <c r="Z19">
        <v>1.5403039972900501</v>
      </c>
    </row>
    <row r="20" spans="1:26" x14ac:dyDescent="0.25">
      <c r="A20">
        <v>2019</v>
      </c>
      <c r="B20" t="s">
        <v>236</v>
      </c>
      <c r="C20" t="s">
        <v>217</v>
      </c>
      <c r="D20">
        <v>1.17302245473568</v>
      </c>
      <c r="E20">
        <v>1.2734985313887299</v>
      </c>
      <c r="F20">
        <v>1.9521862046163301</v>
      </c>
      <c r="G20">
        <v>1.27722851306818</v>
      </c>
      <c r="H20">
        <v>1.3160784081663099</v>
      </c>
      <c r="I20">
        <v>1.92667297989629</v>
      </c>
      <c r="J20" t="s">
        <v>219</v>
      </c>
      <c r="K20">
        <v>1.7811824262882501</v>
      </c>
      <c r="L20" t="s">
        <v>219</v>
      </c>
      <c r="M20" t="s">
        <v>219</v>
      </c>
      <c r="N20" t="s">
        <v>219</v>
      </c>
      <c r="O20" t="s">
        <v>219</v>
      </c>
      <c r="P20" t="s">
        <v>219</v>
      </c>
      <c r="Q20">
        <v>0.88348272697092201</v>
      </c>
      <c r="R20">
        <v>0.88978816167944097</v>
      </c>
      <c r="S20">
        <v>0.98905270845910798</v>
      </c>
      <c r="T20">
        <v>1.1315702408761701</v>
      </c>
      <c r="U20">
        <v>1.2114447122607199</v>
      </c>
      <c r="V20">
        <v>1.6125193405384699</v>
      </c>
      <c r="W20">
        <v>0.551799993532055</v>
      </c>
      <c r="X20">
        <v>0.61335866404481898</v>
      </c>
      <c r="Y20">
        <v>0.65234480623686997</v>
      </c>
      <c r="Z20">
        <v>1.4414526651302</v>
      </c>
    </row>
    <row r="21" spans="1:26" x14ac:dyDescent="0.25">
      <c r="A21">
        <v>2020</v>
      </c>
      <c r="B21" t="s">
        <v>236</v>
      </c>
      <c r="C21" t="s">
        <v>217</v>
      </c>
      <c r="D21">
        <v>1.0579486321634699</v>
      </c>
      <c r="E21">
        <v>1.1030793747383001</v>
      </c>
      <c r="F21">
        <v>1.79308748609151</v>
      </c>
      <c r="G21">
        <v>1.1030391881238</v>
      </c>
      <c r="H21">
        <v>1.2709352873905899</v>
      </c>
      <c r="I21">
        <v>1.7018150762753299</v>
      </c>
      <c r="J21" t="s">
        <v>219</v>
      </c>
      <c r="K21">
        <v>1.84015021003721</v>
      </c>
      <c r="L21" t="s">
        <v>219</v>
      </c>
      <c r="M21" t="s">
        <v>219</v>
      </c>
      <c r="N21" t="s">
        <v>219</v>
      </c>
      <c r="O21" t="s">
        <v>219</v>
      </c>
      <c r="P21" t="s">
        <v>219</v>
      </c>
      <c r="Q21">
        <v>0.82766481868417296</v>
      </c>
      <c r="R21">
        <v>0.71910919299961895</v>
      </c>
      <c r="S21">
        <v>0.82335267973021897</v>
      </c>
      <c r="T21">
        <v>1.0393295811896699</v>
      </c>
      <c r="U21">
        <v>1.10588158273995</v>
      </c>
      <c r="V21">
        <v>1.6227799896708099</v>
      </c>
      <c r="W21">
        <v>0.44313412636145</v>
      </c>
      <c r="X21">
        <v>0.50737172319781898</v>
      </c>
      <c r="Y21">
        <v>0.61518435842901598</v>
      </c>
      <c r="Z21">
        <v>1.3327609798517099</v>
      </c>
    </row>
    <row r="22" spans="1:26" x14ac:dyDescent="0.25">
      <c r="A22">
        <v>2021</v>
      </c>
      <c r="B22" t="s">
        <v>236</v>
      </c>
      <c r="C22" t="s">
        <v>217</v>
      </c>
      <c r="D22">
        <v>1.1738324263322</v>
      </c>
      <c r="E22">
        <v>1.22113710654098</v>
      </c>
      <c r="F22">
        <v>1.95674873562245</v>
      </c>
      <c r="G22">
        <v>1.40394556953002</v>
      </c>
      <c r="H22">
        <v>1.25950690312962</v>
      </c>
      <c r="I22">
        <v>1.69402318193035</v>
      </c>
      <c r="J22" t="s">
        <v>219</v>
      </c>
      <c r="K22">
        <v>2.1088263273730199</v>
      </c>
      <c r="L22" t="s">
        <v>219</v>
      </c>
      <c r="M22" t="s">
        <v>219</v>
      </c>
      <c r="N22" t="s">
        <v>219</v>
      </c>
      <c r="O22" t="s">
        <v>219</v>
      </c>
      <c r="P22" t="s">
        <v>219</v>
      </c>
      <c r="Q22">
        <v>0.84298137342809898</v>
      </c>
      <c r="R22">
        <v>1.2636211554152399</v>
      </c>
      <c r="S22">
        <v>1.0140918987030001</v>
      </c>
      <c r="T22">
        <v>1.1543164998958899</v>
      </c>
      <c r="U22">
        <v>1.2085343812018201</v>
      </c>
      <c r="V22">
        <v>1.8423071660496499</v>
      </c>
      <c r="W22">
        <v>0.68589059343711201</v>
      </c>
      <c r="X22">
        <v>0.55044669932943702</v>
      </c>
      <c r="Y22">
        <v>0.62406433913065995</v>
      </c>
      <c r="Z22">
        <v>1.4485932252275699</v>
      </c>
    </row>
    <row r="23" spans="1:26" x14ac:dyDescent="0.25">
      <c r="A23">
        <v>2022</v>
      </c>
      <c r="B23" t="s">
        <v>236</v>
      </c>
      <c r="C23" t="s">
        <v>217</v>
      </c>
      <c r="D23">
        <v>1.3273689001348401</v>
      </c>
      <c r="E23">
        <v>1.3598575040171299</v>
      </c>
      <c r="F23">
        <v>1.96686720199417</v>
      </c>
      <c r="G23">
        <v>1.39434025743483</v>
      </c>
      <c r="H23">
        <v>1.17653585205227</v>
      </c>
      <c r="I23">
        <v>1.76800145492953</v>
      </c>
      <c r="J23" t="s">
        <v>219</v>
      </c>
      <c r="K23">
        <v>2.0709486177017</v>
      </c>
      <c r="L23" t="s">
        <v>219</v>
      </c>
      <c r="M23" t="s">
        <v>219</v>
      </c>
      <c r="N23" t="s">
        <v>219</v>
      </c>
      <c r="O23" t="s">
        <v>219</v>
      </c>
      <c r="P23" t="s">
        <v>219</v>
      </c>
      <c r="Q23">
        <v>0.87358667846960103</v>
      </c>
      <c r="R23">
        <v>1.2200043477725799</v>
      </c>
      <c r="S23">
        <v>1.21306019384119</v>
      </c>
      <c r="T23">
        <v>1.3139654651980299</v>
      </c>
      <c r="U23">
        <v>1.3595770357405501</v>
      </c>
      <c r="V23">
        <v>1.860356755562</v>
      </c>
      <c r="W23">
        <v>0.65579053271641097</v>
      </c>
      <c r="X23">
        <v>0.65205783257132999</v>
      </c>
      <c r="Y23">
        <v>0.69138246986801699</v>
      </c>
      <c r="Z23">
        <v>1.5566371804105399</v>
      </c>
    </row>
    <row r="24" spans="1:26" x14ac:dyDescent="0.25">
      <c r="A24">
        <v>2023</v>
      </c>
      <c r="B24" t="s">
        <v>236</v>
      </c>
      <c r="C24" t="s">
        <v>217</v>
      </c>
      <c r="D24">
        <v>1.1637516637830501</v>
      </c>
      <c r="E24">
        <v>1.18183368167374</v>
      </c>
      <c r="F24">
        <v>1.9970769165614499</v>
      </c>
      <c r="G24">
        <v>1.1802153252910501</v>
      </c>
      <c r="H24">
        <v>1.2967607302678801</v>
      </c>
      <c r="I24">
        <v>1.84074572128473</v>
      </c>
      <c r="J24" t="s">
        <v>219</v>
      </c>
      <c r="K24">
        <v>2.04026267564277</v>
      </c>
      <c r="L24" t="s">
        <v>219</v>
      </c>
      <c r="M24" t="s">
        <v>219</v>
      </c>
      <c r="N24" t="s">
        <v>219</v>
      </c>
      <c r="O24" t="s">
        <v>219</v>
      </c>
      <c r="P24" t="s">
        <v>219</v>
      </c>
      <c r="Q24">
        <v>0.87392291477416395</v>
      </c>
      <c r="R24">
        <v>0.77057901374345505</v>
      </c>
      <c r="S24">
        <v>0.88428084999144396</v>
      </c>
      <c r="T24">
        <v>1.1562917818133001</v>
      </c>
      <c r="U24">
        <v>1.2250506904667</v>
      </c>
      <c r="V24">
        <v>1.79893027728699</v>
      </c>
      <c r="W24">
        <v>0.428354018759183</v>
      </c>
      <c r="X24">
        <v>0.49155926783613202</v>
      </c>
      <c r="Y24">
        <v>0.59178175455986604</v>
      </c>
      <c r="Z24">
        <v>1.3523317236499599</v>
      </c>
    </row>
    <row r="25" spans="1:26" x14ac:dyDescent="0.25">
      <c r="A25">
        <v>2024</v>
      </c>
      <c r="B25" t="s">
        <v>236</v>
      </c>
      <c r="C25" t="s">
        <v>217</v>
      </c>
      <c r="D25">
        <v>1.18386915874396</v>
      </c>
      <c r="E25">
        <v>1.24697149011667</v>
      </c>
      <c r="F25">
        <v>2.10667142036628</v>
      </c>
      <c r="G25">
        <v>1.24788009422179</v>
      </c>
      <c r="H25">
        <v>1.38741521591383</v>
      </c>
      <c r="I25">
        <v>1.88343899682007</v>
      </c>
      <c r="J25" t="s">
        <v>219</v>
      </c>
      <c r="K25">
        <v>2.1261519082694398</v>
      </c>
      <c r="L25" t="s">
        <v>219</v>
      </c>
      <c r="M25" t="s">
        <v>219</v>
      </c>
      <c r="N25" t="s">
        <v>219</v>
      </c>
      <c r="O25" t="s">
        <v>219</v>
      </c>
      <c r="P25" t="s">
        <v>219</v>
      </c>
      <c r="Q25">
        <v>0.88722173880544997</v>
      </c>
      <c r="R25">
        <v>0.84818845331433701</v>
      </c>
      <c r="S25">
        <v>0.95521619632875798</v>
      </c>
      <c r="T25">
        <v>1.15783578421116</v>
      </c>
      <c r="U25">
        <v>1.2307284686377</v>
      </c>
      <c r="V25">
        <v>1.8610740019581899</v>
      </c>
      <c r="W25">
        <v>0.45575213689616101</v>
      </c>
      <c r="X25">
        <v>0.51326072758186603</v>
      </c>
      <c r="Y25">
        <v>0.59191551091525396</v>
      </c>
      <c r="Z25">
        <v>1.40547896379949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Gráficos</vt:lpstr>
      <vt:lpstr>Fuentes</vt:lpstr>
      <vt:lpstr>TG PN</vt:lpstr>
      <vt:lpstr>metodología</vt:lpstr>
      <vt:lpstr>eaae</vt:lpstr>
      <vt:lpstr>rama-C</vt:lpstr>
      <vt:lpstr>check-calidad-C</vt:lpstr>
      <vt:lpstr>economia_total</vt:lpstr>
      <vt:lpstr>check-calidad-total</vt:lpstr>
      <vt:lpstr>resultados-total-corrientes</vt:lpstr>
      <vt:lpstr>resultados-industrial-corriente</vt:lpstr>
      <vt:lpstr>resultados-total-constante</vt:lpstr>
      <vt:lpstr>resultados-industrial-constante</vt:lpstr>
      <vt:lpstr>resultados-total-var-pct</vt:lpstr>
      <vt:lpstr>resultados-industrial-var-pct</vt:lpstr>
      <vt:lpstr>resultados-total-ind-2005</vt:lpstr>
      <vt:lpstr>resultados-industrial-ind-2005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Panel EAAE Uruguay</dc:title>
  <dc:creator>economia-uruguay R postprocess</dc:creator>
  <cp:lastModifiedBy>Emiliano Mussi</cp:lastModifiedBy>
  <dcterms:created xsi:type="dcterms:W3CDTF">2026-07-20T21:46:08Z</dcterms:created>
  <dcterms:modified xsi:type="dcterms:W3CDTF">2026-08-12T14:59:41Z</dcterms:modified>
</cp:coreProperties>
</file>