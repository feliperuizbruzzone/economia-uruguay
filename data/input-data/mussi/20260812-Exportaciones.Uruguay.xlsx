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\Desktop\Uruguay\Exportaciones\"/>
    </mc:Choice>
  </mc:AlternateContent>
  <xr:revisionPtr revIDLastSave="0" documentId="13_ncr:1_{B6897905-5A84-4FFE-8311-DCCA9A606993}" xr6:coauthVersionLast="47" xr6:coauthVersionMax="47" xr10:uidLastSave="{00000000-0000-0000-0000-000000000000}"/>
  <bookViews>
    <workbookView xWindow="-120" yWindow="-120" windowWidth="20730" windowHeight="11040" activeTab="3" xr2:uid="{248F7C5B-611F-4A94-A230-4E465BC880E9}"/>
  </bookViews>
  <sheets>
    <sheet name="Base" sheetId="1" r:id="rId1"/>
    <sheet name="Análisis" sheetId="5" r:id="rId2"/>
    <sheet name="Gráficos" sheetId="3" r:id="rId3"/>
    <sheet name="Eventual devaluación" sheetId="4" r:id="rId4"/>
    <sheet name="Exp-VBP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5" i="4"/>
  <c r="AU3" i="1"/>
  <c r="B5" i="4" s="1"/>
  <c r="D14" i="6" l="1"/>
  <c r="E14" i="6"/>
  <c r="J14" i="6"/>
  <c r="D13" i="6"/>
  <c r="E13" i="6"/>
  <c r="F13" i="6"/>
  <c r="F14" i="6" s="1"/>
  <c r="G13" i="6"/>
  <c r="G14" i="6" s="1"/>
  <c r="H13" i="6"/>
  <c r="H14" i="6" s="1"/>
  <c r="I13" i="6"/>
  <c r="I14" i="6" s="1"/>
  <c r="J13" i="6"/>
  <c r="K13" i="6"/>
  <c r="K14" i="6" s="1"/>
  <c r="L13" i="6"/>
  <c r="L14" i="6" s="1"/>
  <c r="M13" i="6"/>
  <c r="M14" i="6" s="1"/>
  <c r="N13" i="6"/>
  <c r="N14" i="6" s="1"/>
  <c r="O13" i="6"/>
  <c r="O14" i="6" s="1"/>
  <c r="P13" i="6"/>
  <c r="P14" i="6" s="1"/>
  <c r="C13" i="6"/>
  <c r="C14" i="6" s="1"/>
  <c r="A3" i="1"/>
  <c r="AY11" i="1" s="1"/>
  <c r="A4" i="1"/>
  <c r="B4" i="1"/>
  <c r="A5" i="1"/>
  <c r="B5" i="1"/>
  <c r="A6" i="1"/>
  <c r="B6" i="1"/>
  <c r="A7" i="1"/>
  <c r="B7" i="1"/>
  <c r="A8" i="1"/>
  <c r="B8" i="1"/>
  <c r="A9" i="1"/>
  <c r="B9" i="1"/>
  <c r="A10" i="1"/>
  <c r="BB13" i="1" s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B3" i="1"/>
  <c r="AZ24" i="1" l="1"/>
  <c r="AW10" i="1"/>
  <c r="AY7" i="1"/>
  <c r="BA4" i="1"/>
  <c r="AW27" i="1"/>
  <c r="AY24" i="1"/>
  <c r="BA21" i="1"/>
  <c r="AW19" i="1"/>
  <c r="AY16" i="1"/>
  <c r="BA13" i="1"/>
  <c r="AZ16" i="1"/>
  <c r="BB9" i="1"/>
  <c r="AX7" i="1"/>
  <c r="AZ4" i="1"/>
  <c r="BB26" i="1"/>
  <c r="AX24" i="1"/>
  <c r="AZ21" i="1"/>
  <c r="BB18" i="1"/>
  <c r="AX16" i="1"/>
  <c r="AZ13" i="1"/>
  <c r="AX10" i="1"/>
  <c r="BA9" i="1"/>
  <c r="AW7" i="1"/>
  <c r="AY4" i="1"/>
  <c r="BA26" i="1"/>
  <c r="AW24" i="1"/>
  <c r="AY21" i="1"/>
  <c r="BA18" i="1"/>
  <c r="AW16" i="1"/>
  <c r="AY13" i="1"/>
  <c r="AX27" i="1"/>
  <c r="AZ9" i="1"/>
  <c r="BB6" i="1"/>
  <c r="AX4" i="1"/>
  <c r="AZ26" i="1"/>
  <c r="BB23" i="1"/>
  <c r="AX21" i="1"/>
  <c r="AZ18" i="1"/>
  <c r="BB15" i="1"/>
  <c r="AX13" i="1"/>
  <c r="AZ7" i="1"/>
  <c r="AY9" i="1"/>
  <c r="BA6" i="1"/>
  <c r="AW4" i="1"/>
  <c r="AY26" i="1"/>
  <c r="BA23" i="1"/>
  <c r="AW21" i="1"/>
  <c r="AY18" i="1"/>
  <c r="BA15" i="1"/>
  <c r="AW13" i="1"/>
  <c r="BB4" i="1"/>
  <c r="AW3" i="1"/>
  <c r="AX9" i="1"/>
  <c r="AZ6" i="1"/>
  <c r="BB28" i="1"/>
  <c r="AX26" i="1"/>
  <c r="AZ23" i="1"/>
  <c r="BB20" i="1"/>
  <c r="AX18" i="1"/>
  <c r="AZ15" i="1"/>
  <c r="BB12" i="1"/>
  <c r="AX19" i="1"/>
  <c r="BB3" i="1"/>
  <c r="AW9" i="1"/>
  <c r="AY6" i="1"/>
  <c r="BA28" i="1"/>
  <c r="AW26" i="1"/>
  <c r="AY23" i="1"/>
  <c r="BA20" i="1"/>
  <c r="AW18" i="1"/>
  <c r="AY15" i="1"/>
  <c r="BA12" i="1"/>
  <c r="BB21" i="1"/>
  <c r="BA3" i="1"/>
  <c r="BB8" i="1"/>
  <c r="AX6" i="1"/>
  <c r="AZ28" i="1"/>
  <c r="BB25" i="1"/>
  <c r="AX23" i="1"/>
  <c r="AZ20" i="1"/>
  <c r="BB17" i="1"/>
  <c r="AX15" i="1"/>
  <c r="AZ12" i="1"/>
  <c r="AZ3" i="1"/>
  <c r="BA8" i="1"/>
  <c r="AW6" i="1"/>
  <c r="AY28" i="1"/>
  <c r="BA25" i="1"/>
  <c r="AW23" i="1"/>
  <c r="AY20" i="1"/>
  <c r="BA17" i="1"/>
  <c r="AW15" i="1"/>
  <c r="AY12" i="1"/>
  <c r="AY3" i="1"/>
  <c r="AZ8" i="1"/>
  <c r="BB5" i="1"/>
  <c r="AX28" i="1"/>
  <c r="AZ25" i="1"/>
  <c r="BB22" i="1"/>
  <c r="AX20" i="1"/>
  <c r="AZ17" i="1"/>
  <c r="BB14" i="1"/>
  <c r="AX12" i="1"/>
  <c r="AX3" i="1"/>
  <c r="AY8" i="1"/>
  <c r="BA5" i="1"/>
  <c r="AW28" i="1"/>
  <c r="AY25" i="1"/>
  <c r="BA22" i="1"/>
  <c r="AW20" i="1"/>
  <c r="AY17" i="1"/>
  <c r="BA14" i="1"/>
  <c r="AW12" i="1"/>
  <c r="BB10" i="1"/>
  <c r="AX8" i="1"/>
  <c r="AZ5" i="1"/>
  <c r="BB27" i="1"/>
  <c r="AX25" i="1"/>
  <c r="AZ22" i="1"/>
  <c r="BB19" i="1"/>
  <c r="AX17" i="1"/>
  <c r="AZ14" i="1"/>
  <c r="BB11" i="1"/>
  <c r="BA10" i="1"/>
  <c r="AW8" i="1"/>
  <c r="AY5" i="1"/>
  <c r="BA27" i="1"/>
  <c r="AW25" i="1"/>
  <c r="AY22" i="1"/>
  <c r="BA19" i="1"/>
  <c r="AW17" i="1"/>
  <c r="AY14" i="1"/>
  <c r="BA11" i="1"/>
  <c r="AZ10" i="1"/>
  <c r="BB7" i="1"/>
  <c r="AX5" i="1"/>
  <c r="AZ27" i="1"/>
  <c r="BB24" i="1"/>
  <c r="AX22" i="1"/>
  <c r="AZ19" i="1"/>
  <c r="BB16" i="1"/>
  <c r="AX14" i="1"/>
  <c r="AZ11" i="1"/>
  <c r="AY10" i="1"/>
  <c r="BA7" i="1"/>
  <c r="AW5" i="1"/>
  <c r="AY27" i="1"/>
  <c r="BA24" i="1"/>
  <c r="AW22" i="1"/>
  <c r="AY19" i="1"/>
  <c r="BA16" i="1"/>
  <c r="AW14" i="1"/>
  <c r="AW11" i="1"/>
  <c r="AX11" i="1"/>
  <c r="AT4" i="1"/>
  <c r="AS24" i="1"/>
  <c r="AR15" i="1"/>
  <c r="AS25" i="1"/>
  <c r="AS9" i="1"/>
  <c r="AT19" i="1"/>
  <c r="AR3" i="1"/>
  <c r="AR13" i="1"/>
  <c r="AS23" i="1"/>
  <c r="AS7" i="1"/>
  <c r="AT17" i="1"/>
  <c r="AR28" i="1"/>
  <c r="AR12" i="1"/>
  <c r="AS22" i="1"/>
  <c r="AS6" i="1"/>
  <c r="AT16" i="1"/>
  <c r="AR27" i="1"/>
  <c r="AR11" i="1"/>
  <c r="AS21" i="1"/>
  <c r="AS5" i="1"/>
  <c r="AT15" i="1"/>
  <c r="AR26" i="1"/>
  <c r="AR10" i="1"/>
  <c r="AS20" i="1"/>
  <c r="AS4" i="1"/>
  <c r="AT14" i="1"/>
  <c r="AQ3" i="1"/>
  <c r="AR25" i="1"/>
  <c r="AR9" i="1"/>
  <c r="AS19" i="1"/>
  <c r="AT3" i="1"/>
  <c r="AT13" i="1"/>
  <c r="AR24" i="1"/>
  <c r="AR8" i="1"/>
  <c r="AS18" i="1"/>
  <c r="AT28" i="1"/>
  <c r="AT12" i="1"/>
  <c r="AR23" i="1"/>
  <c r="AR7" i="1"/>
  <c r="AS17" i="1"/>
  <c r="AT27" i="1"/>
  <c r="AT11" i="1"/>
  <c r="AR22" i="1"/>
  <c r="AR6" i="1"/>
  <c r="AS16" i="1"/>
  <c r="AT26" i="1"/>
  <c r="AT10" i="1"/>
  <c r="AR14" i="1"/>
  <c r="AR21" i="1"/>
  <c r="AR5" i="1"/>
  <c r="AS15" i="1"/>
  <c r="AT25" i="1"/>
  <c r="AT9" i="1"/>
  <c r="AS8" i="1"/>
  <c r="AR20" i="1"/>
  <c r="AR4" i="1"/>
  <c r="AS14" i="1"/>
  <c r="AT24" i="1"/>
  <c r="AT8" i="1"/>
  <c r="AR19" i="1"/>
  <c r="AS3" i="1"/>
  <c r="AS13" i="1"/>
  <c r="AT23" i="1"/>
  <c r="AT7" i="1"/>
  <c r="AT18" i="1"/>
  <c r="AR18" i="1"/>
  <c r="AS28" i="1"/>
  <c r="AS12" i="1"/>
  <c r="AT22" i="1"/>
  <c r="AT6" i="1"/>
  <c r="AR17" i="1"/>
  <c r="AS27" i="1"/>
  <c r="AS11" i="1"/>
  <c r="AT21" i="1"/>
  <c r="AT5" i="1"/>
  <c r="AR16" i="1"/>
  <c r="AS26" i="1"/>
  <c r="AS10" i="1"/>
  <c r="AT20" i="1"/>
  <c r="AQ19" i="1"/>
  <c r="AQ10" i="1"/>
  <c r="AU10" i="1"/>
  <c r="AQ17" i="1"/>
  <c r="AQ16" i="1"/>
  <c r="AQ15" i="1"/>
  <c r="AU26" i="1"/>
  <c r="AQ14" i="1"/>
  <c r="AQ13" i="1"/>
  <c r="AQ28" i="1"/>
  <c r="AQ12" i="1"/>
  <c r="AQ18" i="1"/>
  <c r="AQ27" i="1"/>
  <c r="AQ11" i="1"/>
  <c r="AQ26" i="1"/>
  <c r="AU9" i="1"/>
  <c r="AQ25" i="1"/>
  <c r="AQ9" i="1"/>
  <c r="AQ24" i="1"/>
  <c r="AQ8" i="1"/>
  <c r="AQ23" i="1"/>
  <c r="AQ7" i="1"/>
  <c r="AQ22" i="1"/>
  <c r="AQ6" i="1"/>
  <c r="AQ21" i="1"/>
  <c r="AQ5" i="1"/>
  <c r="AQ20" i="1"/>
  <c r="AQ4" i="1"/>
  <c r="AP15" i="1"/>
  <c r="AU24" i="1"/>
  <c r="AU8" i="1"/>
  <c r="AP14" i="1"/>
  <c r="AU23" i="1"/>
  <c r="AU7" i="1"/>
  <c r="AP17" i="1"/>
  <c r="AP13" i="1"/>
  <c r="AU22" i="1"/>
  <c r="AU6" i="1"/>
  <c r="AP28" i="1"/>
  <c r="AP12" i="1"/>
  <c r="AU21" i="1"/>
  <c r="AU5" i="1"/>
  <c r="AP27" i="1"/>
  <c r="AP11" i="1"/>
  <c r="AU20" i="1"/>
  <c r="AU4" i="1"/>
  <c r="AP26" i="1"/>
  <c r="AP10" i="1"/>
  <c r="AU19" i="1"/>
  <c r="AP25" i="1"/>
  <c r="AP9" i="1"/>
  <c r="AU18" i="1"/>
  <c r="AV3" i="1"/>
  <c r="AP24" i="1"/>
  <c r="AP8" i="1"/>
  <c r="AU17" i="1"/>
  <c r="AP3" i="1"/>
  <c r="AP23" i="1"/>
  <c r="AP7" i="1"/>
  <c r="AU16" i="1"/>
  <c r="AP22" i="1"/>
  <c r="AP6" i="1"/>
  <c r="AU15" i="1"/>
  <c r="AP21" i="1"/>
  <c r="AP5" i="1"/>
  <c r="AU14" i="1"/>
  <c r="AP20" i="1"/>
  <c r="AP4" i="1"/>
  <c r="AU13" i="1"/>
  <c r="AP19" i="1"/>
  <c r="AU28" i="1"/>
  <c r="BT28" i="1" s="1"/>
  <c r="AU12" i="1"/>
  <c r="AP18" i="1"/>
  <c r="AU27" i="1"/>
  <c r="AU11" i="1"/>
  <c r="AP16" i="1"/>
  <c r="AU25" i="1"/>
  <c r="BJ11" i="1"/>
  <c r="BC26" i="1"/>
  <c r="BD19" i="1"/>
  <c r="BC12" i="1"/>
  <c r="BJ25" i="1"/>
  <c r="BI18" i="1"/>
  <c r="BH11" i="1"/>
  <c r="AV25" i="1"/>
  <c r="BN17" i="1"/>
  <c r="AV11" i="1"/>
  <c r="BF24" i="1"/>
  <c r="BE17" i="1"/>
  <c r="BM10" i="1"/>
  <c r="BD17" i="1"/>
  <c r="BC10" i="1"/>
  <c r="BI3" i="1"/>
  <c r="BM28" i="1"/>
  <c r="BG22" i="1"/>
  <c r="BJ9" i="1"/>
  <c r="BK28" i="1"/>
  <c r="BF22" i="1"/>
  <c r="BE15" i="1"/>
  <c r="AV9" i="1"/>
  <c r="BC28" i="1"/>
  <c r="BL21" i="1"/>
  <c r="BK14" i="1"/>
  <c r="BF8" i="1"/>
  <c r="BJ27" i="1"/>
  <c r="AV4" i="1"/>
  <c r="BH27" i="1"/>
  <c r="BI20" i="1"/>
  <c r="BH13" i="1"/>
  <c r="AV27" i="1"/>
  <c r="BG20" i="1"/>
  <c r="BF6" i="1"/>
  <c r="BM26" i="1"/>
  <c r="BN19" i="1"/>
  <c r="BM12" i="1"/>
  <c r="BL19" i="1"/>
  <c r="BK12" i="1"/>
  <c r="BG4" i="1"/>
  <c r="BG6" i="1"/>
  <c r="BL5" i="1"/>
  <c r="BI4" i="1"/>
  <c r="BJ3" i="1"/>
  <c r="BL28" i="1"/>
  <c r="BI27" i="1"/>
  <c r="BN26" i="1"/>
  <c r="BD26" i="1"/>
  <c r="BE24" i="1"/>
  <c r="BK21" i="1"/>
  <c r="BH20" i="1"/>
  <c r="BM19" i="1"/>
  <c r="BC19" i="1"/>
  <c r="BJ18" i="1"/>
  <c r="AV18" i="1"/>
  <c r="BF15" i="1"/>
  <c r="BG13" i="1"/>
  <c r="BL12" i="1"/>
  <c r="BI11" i="1"/>
  <c r="BN10" i="1"/>
  <c r="BD10" i="1"/>
  <c r="BE8" i="1"/>
  <c r="BK5" i="1"/>
  <c r="BH4" i="1"/>
  <c r="BH25" i="1"/>
  <c r="BM24" i="1"/>
  <c r="BC24" i="1"/>
  <c r="BJ23" i="1"/>
  <c r="AV23" i="1"/>
  <c r="BF20" i="1"/>
  <c r="BG18" i="1"/>
  <c r="BL17" i="1"/>
  <c r="BI16" i="1"/>
  <c r="BN15" i="1"/>
  <c r="BD15" i="1"/>
  <c r="BE13" i="1"/>
  <c r="BK10" i="1"/>
  <c r="BH9" i="1"/>
  <c r="BM8" i="1"/>
  <c r="BC8" i="1"/>
  <c r="BJ7" i="1"/>
  <c r="AV7" i="1"/>
  <c r="BF4" i="1"/>
  <c r="BN24" i="1"/>
  <c r="BM17" i="1"/>
  <c r="BF27" i="1"/>
  <c r="BG25" i="1"/>
  <c r="BL24" i="1"/>
  <c r="BI23" i="1"/>
  <c r="BN22" i="1"/>
  <c r="BD22" i="1"/>
  <c r="BE20" i="1"/>
  <c r="BK17" i="1"/>
  <c r="BH16" i="1"/>
  <c r="BS16" i="1" s="1"/>
  <c r="BM15" i="1"/>
  <c r="BC15" i="1"/>
  <c r="BJ14" i="1"/>
  <c r="AV14" i="1"/>
  <c r="BF11" i="1"/>
  <c r="BG9" i="1"/>
  <c r="BL8" i="1"/>
  <c r="BI7" i="1"/>
  <c r="BN6" i="1"/>
  <c r="BD6" i="1"/>
  <c r="BE4" i="1"/>
  <c r="BH18" i="1"/>
  <c r="BG11" i="1"/>
  <c r="BF3" i="1"/>
  <c r="BE27" i="1"/>
  <c r="BK24" i="1"/>
  <c r="BH23" i="1"/>
  <c r="BM22" i="1"/>
  <c r="BC22" i="1"/>
  <c r="BJ21" i="1"/>
  <c r="AV21" i="1"/>
  <c r="BF18" i="1"/>
  <c r="BG16" i="1"/>
  <c r="BL15" i="1"/>
  <c r="BI14" i="1"/>
  <c r="BN13" i="1"/>
  <c r="BD13" i="1"/>
  <c r="BE11" i="1"/>
  <c r="BK8" i="1"/>
  <c r="BH7" i="1"/>
  <c r="BM6" i="1"/>
  <c r="BC6" i="1"/>
  <c r="BJ5" i="1"/>
  <c r="AV5" i="1"/>
  <c r="BG27" i="1"/>
  <c r="BK19" i="1"/>
  <c r="BD8" i="1"/>
  <c r="BE3" i="1"/>
  <c r="BJ28" i="1"/>
  <c r="AV28" i="1"/>
  <c r="BF25" i="1"/>
  <c r="BG23" i="1"/>
  <c r="BL22" i="1"/>
  <c r="BI21" i="1"/>
  <c r="BN20" i="1"/>
  <c r="BD20" i="1"/>
  <c r="BE18" i="1"/>
  <c r="BK15" i="1"/>
  <c r="BH14" i="1"/>
  <c r="BS14" i="1" s="1"/>
  <c r="BM13" i="1"/>
  <c r="BC13" i="1"/>
  <c r="BJ12" i="1"/>
  <c r="AV12" i="1"/>
  <c r="BF9" i="1"/>
  <c r="BG7" i="1"/>
  <c r="BL6" i="1"/>
  <c r="BI5" i="1"/>
  <c r="BN4" i="1"/>
  <c r="BD4" i="1"/>
  <c r="BH3" i="1"/>
  <c r="BE22" i="1"/>
  <c r="BF13" i="1"/>
  <c r="BI28" i="1"/>
  <c r="BN27" i="1"/>
  <c r="BD27" i="1"/>
  <c r="BE25" i="1"/>
  <c r="BK22" i="1"/>
  <c r="BH21" i="1"/>
  <c r="BM20" i="1"/>
  <c r="BC20" i="1"/>
  <c r="BJ19" i="1"/>
  <c r="AV19" i="1"/>
  <c r="BF16" i="1"/>
  <c r="BG14" i="1"/>
  <c r="BL13" i="1"/>
  <c r="BI12" i="1"/>
  <c r="BN11" i="1"/>
  <c r="BD11" i="1"/>
  <c r="BE9" i="1"/>
  <c r="BK6" i="1"/>
  <c r="BH5" i="1"/>
  <c r="BM4" i="1"/>
  <c r="BC4" i="1"/>
  <c r="AV16" i="1"/>
  <c r="BN3" i="1"/>
  <c r="BD3" i="1"/>
  <c r="BH28" i="1"/>
  <c r="BM27" i="1"/>
  <c r="BC27" i="1"/>
  <c r="BJ26" i="1"/>
  <c r="AV26" i="1"/>
  <c r="BF23" i="1"/>
  <c r="BG21" i="1"/>
  <c r="BL20" i="1"/>
  <c r="BI19" i="1"/>
  <c r="BN18" i="1"/>
  <c r="BD18" i="1"/>
  <c r="BE16" i="1"/>
  <c r="BK13" i="1"/>
  <c r="BH12" i="1"/>
  <c r="BM11" i="1"/>
  <c r="BC11" i="1"/>
  <c r="BJ10" i="1"/>
  <c r="AV10" i="1"/>
  <c r="BF7" i="1"/>
  <c r="BG5" i="1"/>
  <c r="BL4" i="1"/>
  <c r="BE6" i="1"/>
  <c r="BM3" i="1"/>
  <c r="BC3" i="1"/>
  <c r="BG28" i="1"/>
  <c r="BL27" i="1"/>
  <c r="BI26" i="1"/>
  <c r="BN25" i="1"/>
  <c r="BD25" i="1"/>
  <c r="BE23" i="1"/>
  <c r="BK20" i="1"/>
  <c r="BH19" i="1"/>
  <c r="BM18" i="1"/>
  <c r="BC18" i="1"/>
  <c r="BJ17" i="1"/>
  <c r="AV17" i="1"/>
  <c r="BF14" i="1"/>
  <c r="BG12" i="1"/>
  <c r="BL11" i="1"/>
  <c r="BI10" i="1"/>
  <c r="BN9" i="1"/>
  <c r="BD9" i="1"/>
  <c r="BE7" i="1"/>
  <c r="BK4" i="1"/>
  <c r="BN8" i="1"/>
  <c r="BL3" i="1"/>
  <c r="BK27" i="1"/>
  <c r="BH26" i="1"/>
  <c r="BM25" i="1"/>
  <c r="BC25" i="1"/>
  <c r="BJ24" i="1"/>
  <c r="AV24" i="1"/>
  <c r="BF21" i="1"/>
  <c r="BG19" i="1"/>
  <c r="BL18" i="1"/>
  <c r="BI17" i="1"/>
  <c r="BN16" i="1"/>
  <c r="BD16" i="1"/>
  <c r="BE14" i="1"/>
  <c r="BK11" i="1"/>
  <c r="BH10" i="1"/>
  <c r="BS10" i="1" s="1"/>
  <c r="BM9" i="1"/>
  <c r="BC9" i="1"/>
  <c r="BJ8" i="1"/>
  <c r="AV8" i="1"/>
  <c r="BF5" i="1"/>
  <c r="BD24" i="1"/>
  <c r="BC17" i="1"/>
  <c r="BK26" i="1"/>
  <c r="BK3" i="1"/>
  <c r="BF28" i="1"/>
  <c r="BG26" i="1"/>
  <c r="BL25" i="1"/>
  <c r="BI24" i="1"/>
  <c r="BN23" i="1"/>
  <c r="BD23" i="1"/>
  <c r="BE21" i="1"/>
  <c r="BK18" i="1"/>
  <c r="BH17" i="1"/>
  <c r="BM16" i="1"/>
  <c r="BC16" i="1"/>
  <c r="BJ15" i="1"/>
  <c r="AV15" i="1"/>
  <c r="BF12" i="1"/>
  <c r="BG10" i="1"/>
  <c r="BL9" i="1"/>
  <c r="BI8" i="1"/>
  <c r="BN7" i="1"/>
  <c r="BD7" i="1"/>
  <c r="BE5" i="1"/>
  <c r="BI25" i="1"/>
  <c r="BL10" i="1"/>
  <c r="BE28" i="1"/>
  <c r="BK25" i="1"/>
  <c r="BH24" i="1"/>
  <c r="BM23" i="1"/>
  <c r="BC23" i="1"/>
  <c r="BJ22" i="1"/>
  <c r="AV22" i="1"/>
  <c r="BF19" i="1"/>
  <c r="BG17" i="1"/>
  <c r="BL16" i="1"/>
  <c r="BI15" i="1"/>
  <c r="BN14" i="1"/>
  <c r="BD14" i="1"/>
  <c r="BE12" i="1"/>
  <c r="BK9" i="1"/>
  <c r="BH8" i="1"/>
  <c r="BS8" i="1" s="1"/>
  <c r="BM7" i="1"/>
  <c r="BC7" i="1"/>
  <c r="BJ6" i="1"/>
  <c r="AV6" i="1"/>
  <c r="BL26" i="1"/>
  <c r="BI9" i="1"/>
  <c r="BG3" i="1"/>
  <c r="BF26" i="1"/>
  <c r="BG24" i="1"/>
  <c r="BL23" i="1"/>
  <c r="BI22" i="1"/>
  <c r="BN21" i="1"/>
  <c r="BD21" i="1"/>
  <c r="BE19" i="1"/>
  <c r="BK16" i="1"/>
  <c r="BH15" i="1"/>
  <c r="BM14" i="1"/>
  <c r="BC14" i="1"/>
  <c r="BJ13" i="1"/>
  <c r="AV13" i="1"/>
  <c r="BF10" i="1"/>
  <c r="BG8" i="1"/>
  <c r="BL7" i="1"/>
  <c r="BI6" i="1"/>
  <c r="BN5" i="1"/>
  <c r="BD5" i="1"/>
  <c r="BJ16" i="1"/>
  <c r="BN28" i="1"/>
  <c r="BD28" i="1"/>
  <c r="BE26" i="1"/>
  <c r="BK23" i="1"/>
  <c r="BH22" i="1"/>
  <c r="BM21" i="1"/>
  <c r="BC21" i="1"/>
  <c r="BJ20" i="1"/>
  <c r="AV20" i="1"/>
  <c r="BF17" i="1"/>
  <c r="BG15" i="1"/>
  <c r="BL14" i="1"/>
  <c r="BI13" i="1"/>
  <c r="BN12" i="1"/>
  <c r="BD12" i="1"/>
  <c r="BE10" i="1"/>
  <c r="BK7" i="1"/>
  <c r="BH6" i="1"/>
  <c r="BM5" i="1"/>
  <c r="BC5" i="1"/>
  <c r="BJ4" i="1"/>
  <c r="BP11" i="1" l="1"/>
  <c r="B13" i="4"/>
  <c r="BP27" i="1"/>
  <c r="B29" i="4"/>
  <c r="BT12" i="1"/>
  <c r="B14" i="4"/>
  <c r="BT17" i="1"/>
  <c r="B19" i="4"/>
  <c r="BT21" i="1"/>
  <c r="B23" i="4"/>
  <c r="BT5" i="1"/>
  <c r="B7" i="4"/>
  <c r="BT26" i="1"/>
  <c r="B28" i="4"/>
  <c r="BT13" i="1"/>
  <c r="B15" i="4"/>
  <c r="BT6" i="1"/>
  <c r="B8" i="4"/>
  <c r="BT18" i="1"/>
  <c r="B20" i="4"/>
  <c r="BT22" i="1"/>
  <c r="B24" i="4"/>
  <c r="BT14" i="1"/>
  <c r="B16" i="4"/>
  <c r="BT10" i="1"/>
  <c r="B12" i="4"/>
  <c r="BT7" i="1"/>
  <c r="B9" i="4"/>
  <c r="BT19" i="1"/>
  <c r="B21" i="4"/>
  <c r="BT23" i="1"/>
  <c r="B25" i="4"/>
  <c r="BT15" i="1"/>
  <c r="B17" i="4"/>
  <c r="BT9" i="1"/>
  <c r="B11" i="4"/>
  <c r="BT8" i="1"/>
  <c r="B10" i="4"/>
  <c r="BT25" i="1"/>
  <c r="B27" i="4"/>
  <c r="BT4" i="1"/>
  <c r="B6" i="4"/>
  <c r="BT24" i="1"/>
  <c r="B26" i="4"/>
  <c r="BT16" i="1"/>
  <c r="B18" i="4"/>
  <c r="BT20" i="1"/>
  <c r="B22" i="4"/>
  <c r="BS4" i="1"/>
  <c r="BT3" i="1"/>
  <c r="BT11" i="1"/>
  <c r="BT27" i="1"/>
  <c r="BS5" i="1"/>
  <c r="BP12" i="1"/>
  <c r="BS28" i="1"/>
  <c r="BS27" i="1"/>
  <c r="BS23" i="1"/>
  <c r="BS19" i="1"/>
  <c r="BS7" i="1"/>
  <c r="BS3" i="1"/>
  <c r="BO19" i="1"/>
  <c r="BP13" i="1"/>
  <c r="BS26" i="1"/>
  <c r="BP10" i="1"/>
  <c r="BP26" i="1"/>
  <c r="BP25" i="1"/>
  <c r="BO27" i="1"/>
  <c r="BO4" i="1"/>
  <c r="BO18" i="1"/>
  <c r="BS22" i="1"/>
  <c r="BS18" i="1"/>
  <c r="BP17" i="1"/>
  <c r="BO14" i="1"/>
  <c r="BS24" i="1"/>
  <c r="BS25" i="1"/>
  <c r="BO26" i="1"/>
  <c r="BO11" i="1"/>
  <c r="BO20" i="1"/>
  <c r="BO12" i="1"/>
  <c r="BO5" i="1"/>
  <c r="BO28" i="1"/>
  <c r="BO21" i="1"/>
  <c r="BO13" i="1"/>
  <c r="BO6" i="1"/>
  <c r="BO3" i="1"/>
  <c r="BO22" i="1"/>
  <c r="BO7" i="1"/>
  <c r="BS11" i="1"/>
  <c r="BO23" i="1"/>
  <c r="BO15" i="1"/>
  <c r="BO8" i="1"/>
  <c r="BO16" i="1"/>
  <c r="BO24" i="1"/>
  <c r="BO17" i="1"/>
  <c r="BS20" i="1"/>
  <c r="BP3" i="1"/>
  <c r="BO9" i="1"/>
  <c r="BO25" i="1"/>
  <c r="BO10" i="1"/>
  <c r="BP15" i="1"/>
  <c r="BS15" i="1"/>
  <c r="BS9" i="1"/>
  <c r="BP21" i="1"/>
  <c r="BP6" i="1"/>
  <c r="BP18" i="1"/>
  <c r="BP22" i="1"/>
  <c r="BP9" i="1"/>
  <c r="BP14" i="1"/>
  <c r="BQ26" i="1"/>
  <c r="BR26" i="1"/>
  <c r="BR11" i="1"/>
  <c r="BQ11" i="1"/>
  <c r="BP28" i="1"/>
  <c r="BQ10" i="1"/>
  <c r="BR10" i="1"/>
  <c r="BR9" i="1"/>
  <c r="BQ9" i="1"/>
  <c r="BQ18" i="1"/>
  <c r="BR18" i="1"/>
  <c r="BQ19" i="1"/>
  <c r="BR19" i="1"/>
  <c r="BQ8" i="1"/>
  <c r="BR8" i="1"/>
  <c r="BQ23" i="1"/>
  <c r="BR23" i="1"/>
  <c r="BQ22" i="1"/>
  <c r="BR22" i="1"/>
  <c r="BQ20" i="1"/>
  <c r="BR20" i="1"/>
  <c r="BR13" i="1"/>
  <c r="BQ13" i="1"/>
  <c r="BQ6" i="1"/>
  <c r="BR6" i="1"/>
  <c r="BQ24" i="1"/>
  <c r="BR24" i="1"/>
  <c r="BR28" i="1"/>
  <c r="BQ28" i="1"/>
  <c r="BS17" i="1"/>
  <c r="BR12" i="1"/>
  <c r="BQ12" i="1"/>
  <c r="BQ21" i="1"/>
  <c r="BR21" i="1"/>
  <c r="BP7" i="1"/>
  <c r="BS12" i="1"/>
  <c r="BQ16" i="1"/>
  <c r="BR16" i="1"/>
  <c r="BS21" i="1"/>
  <c r="BR14" i="1"/>
  <c r="BQ14" i="1"/>
  <c r="BQ7" i="1"/>
  <c r="BR7" i="1"/>
  <c r="BP19" i="1"/>
  <c r="BP23" i="1"/>
  <c r="BQ5" i="1"/>
  <c r="BR5" i="1"/>
  <c r="BR27" i="1"/>
  <c r="BQ27" i="1"/>
  <c r="BP8" i="1"/>
  <c r="BR15" i="1"/>
  <c r="BQ15" i="1"/>
  <c r="BS13" i="1"/>
  <c r="BP4" i="1"/>
  <c r="BP24" i="1"/>
  <c r="BR3" i="1"/>
  <c r="BQ3" i="1"/>
  <c r="BP16" i="1"/>
  <c r="BP20" i="1"/>
  <c r="BR17" i="1"/>
  <c r="BQ17" i="1"/>
  <c r="BR25" i="1"/>
  <c r="BQ25" i="1"/>
  <c r="BS6" i="1"/>
  <c r="BQ4" i="1"/>
  <c r="BR4" i="1"/>
  <c r="BP5" i="1"/>
  <c r="I21" i="4" l="1"/>
  <c r="J21" i="4" s="1"/>
  <c r="I7" i="4"/>
  <c r="J7" i="4" s="1"/>
  <c r="I26" i="4"/>
  <c r="J26" i="4" s="1"/>
  <c r="I6" i="4"/>
  <c r="J6" i="4" s="1"/>
  <c r="J5" i="4"/>
  <c r="I23" i="4"/>
  <c r="J23" i="4" s="1"/>
  <c r="I29" i="4"/>
  <c r="J29" i="4" s="1"/>
  <c r="I10" i="4"/>
  <c r="J10" i="4" s="1"/>
  <c r="I27" i="4"/>
  <c r="J27" i="4" s="1"/>
  <c r="I20" i="4"/>
  <c r="J20" i="4" s="1"/>
  <c r="I15" i="4"/>
  <c r="J15" i="4" s="1"/>
  <c r="I16" i="4"/>
  <c r="J16" i="4" s="1"/>
  <c r="I11" i="4" l="1"/>
  <c r="J11" i="4" s="1"/>
  <c r="I25" i="4"/>
  <c r="J25" i="4" s="1"/>
  <c r="I17" i="4"/>
  <c r="J17" i="4" s="1"/>
  <c r="I24" i="4"/>
  <c r="J24" i="4" s="1"/>
  <c r="I14" i="4"/>
  <c r="J14" i="4" s="1"/>
  <c r="I18" i="4"/>
  <c r="J18" i="4" s="1"/>
  <c r="I13" i="4"/>
  <c r="J13" i="4" s="1"/>
  <c r="I28" i="4"/>
  <c r="J28" i="4" s="1"/>
  <c r="I12" i="4"/>
  <c r="J12" i="4" s="1"/>
  <c r="I9" i="4"/>
  <c r="J9" i="4" s="1"/>
  <c r="I8" i="4"/>
  <c r="J8" i="4" s="1"/>
  <c r="I22" i="4"/>
  <c r="J22" i="4" s="1"/>
  <c r="I19" i="4"/>
  <c r="J19" i="4" s="1"/>
</calcChain>
</file>

<file path=xl/sharedStrings.xml><?xml version="1.0" encoding="utf-8"?>
<sst xmlns="http://schemas.openxmlformats.org/spreadsheetml/2006/main" count="502" uniqueCount="106">
  <si>
    <t xml:space="preserve">  </t>
  </si>
  <si>
    <t xml:space="preserve">TOTAL EXPORTACIONES </t>
  </si>
  <si>
    <t>GRUPO DE PRODUCTOS</t>
  </si>
  <si>
    <t>ACTIVIDADES PRIMARIAS</t>
  </si>
  <si>
    <t>Agricultura, Ganadería, Caza y actividades de servicios conexas</t>
  </si>
  <si>
    <t>Cultivos en general; horticultura; servicios agrícolas aplicados a estos cultivos</t>
  </si>
  <si>
    <t>Cría de animales; caza ordinaria y servicios conexos; producción de pieles finas mediante actividades de caza ordinaria y con trampas; servicios ganaderos</t>
  </si>
  <si>
    <t>Silvicultura, extracción de madera y actividades de servicios conexas</t>
  </si>
  <si>
    <t>INDUSTRIAS MANUFACTURERAS</t>
  </si>
  <si>
    <t>Elaboración de productos alimenticios y bebidas</t>
  </si>
  <si>
    <t>Producción, procesamiento y conservación de carne y productos cárnicos</t>
  </si>
  <si>
    <t>Elaboración y conservación de pescado y productos de pescado</t>
  </si>
  <si>
    <t>Elaboración de productos lácteos</t>
  </si>
  <si>
    <t>Elaboración de arroz y productos derivados del arroz</t>
  </si>
  <si>
    <t>Elaboración de bebidas malteadas y de malta</t>
  </si>
  <si>
    <t xml:space="preserve">Elaboración de productos alimenticios y bebidas - Resto </t>
  </si>
  <si>
    <t>Elaboración de Productos de Tabaco</t>
  </si>
  <si>
    <t>Fabricación de productos textiles</t>
  </si>
  <si>
    <t>Preparación, hilandería, tejeduría y acabado de productos textiles</t>
  </si>
  <si>
    <t>Fabricación de prendas de vestir; adobo y  teñido de pieles</t>
  </si>
  <si>
    <t>Curtido y adobo de cueros; fabricación de maletas, bolsos de mano, artículos de talabartería y guarnicionería, y calzado</t>
  </si>
  <si>
    <t>Curtido y adobo de cueros; fabricación de maletas, bolsos de mano y artículos de talabartería y guarnicionería</t>
  </si>
  <si>
    <t>Producción de madera y fabricación de productos de madera y corcho excepto muebles; fabricación de artículos de paja y de materiales trenzables</t>
  </si>
  <si>
    <t>Fabricación de papel y de productos de papel; Actividades de edición e impresión y de reproducción de grabaciones</t>
  </si>
  <si>
    <t>Fabricación de coque, productos de la refinación del petróleo y combustible nuclear</t>
  </si>
  <si>
    <t>Fabricación de sustancias y productos químicos</t>
  </si>
  <si>
    <t>Fabricación de sustancias químicas básicas, excepto abonos y compuestos de nitrógeno; fabricación de plásticos en formas primarias y de caucho sintético</t>
  </si>
  <si>
    <t>Fabricación de abonos y compuestos de nitrógeno; Fabricación de plaguicidas y otros productos químicos de uso agropecuario</t>
  </si>
  <si>
    <t>Fabricación de productos farmaceúticos, sustancias químicas medicinales y productos botánicos</t>
  </si>
  <si>
    <t>Fabricación de jabones y detergentes, preparados para limpiar y pulir, perfumes y preparados de tocador</t>
  </si>
  <si>
    <t>Fabricación de productos de caucho y plástico</t>
  </si>
  <si>
    <t>Fabricación de metales comunes; Fabricación de otros productos minerales no metálicos</t>
  </si>
  <si>
    <t>Fabricación de vehículos automotores, remolques y semirremolques; Fabricación de otros tipos de equipo de transporte</t>
  </si>
  <si>
    <t>INDUSTRIAS MANUFACTURERAS - Resto</t>
  </si>
  <si>
    <t>ELECTRICIDAD, GAS Y AGUA</t>
  </si>
  <si>
    <t>miles de dólares</t>
  </si>
  <si>
    <t>15.</t>
  </si>
  <si>
    <t>1511.</t>
  </si>
  <si>
    <t>1512.</t>
  </si>
  <si>
    <t>1520.</t>
  </si>
  <si>
    <t>1531.</t>
  </si>
  <si>
    <t>1553.</t>
  </si>
  <si>
    <t>Resto 15 (1)</t>
  </si>
  <si>
    <t>16.</t>
  </si>
  <si>
    <t>17.</t>
  </si>
  <si>
    <t>1711 + 1712.</t>
  </si>
  <si>
    <t>18.</t>
  </si>
  <si>
    <t>19.</t>
  </si>
  <si>
    <t>1911 + 1912.</t>
  </si>
  <si>
    <t>20.</t>
  </si>
  <si>
    <t>21 + 22.</t>
  </si>
  <si>
    <t>23.</t>
  </si>
  <si>
    <t>24.</t>
  </si>
  <si>
    <t>2411 + 2413.</t>
  </si>
  <si>
    <t>2412 + 2421.</t>
  </si>
  <si>
    <t>2423.</t>
  </si>
  <si>
    <t>2424.</t>
  </si>
  <si>
    <t>25.</t>
  </si>
  <si>
    <t>26 + 27.</t>
  </si>
  <si>
    <t>34 + 35.</t>
  </si>
  <si>
    <t>Resto D (2)</t>
  </si>
  <si>
    <t>Elaboración de productos alimenticios y bebidas / total manufactura</t>
  </si>
  <si>
    <t>Total exportaciones</t>
  </si>
  <si>
    <t>Industrias manufactureras</t>
  </si>
  <si>
    <t>Elaboración de productos alimenticios y bebidas / total exportaciones</t>
  </si>
  <si>
    <t>INDUSTRIAS MANUFACTURERAS / Total exportaciones</t>
  </si>
  <si>
    <t>Fabricación de papel y de productos de papel / total manufactura</t>
  </si>
  <si>
    <t>Industria primaria / Total exportaciones</t>
  </si>
  <si>
    <t>Industrias primarias</t>
  </si>
  <si>
    <t xml:space="preserve">01. </t>
  </si>
  <si>
    <t xml:space="preserve">0112+0130*+0140*. </t>
  </si>
  <si>
    <t>0122 + 0121 + 0130*+0140*+0150.</t>
  </si>
  <si>
    <t>02.</t>
  </si>
  <si>
    <t>Carne / manufactura</t>
  </si>
  <si>
    <t>BCU</t>
  </si>
  <si>
    <t>TCC ($/USD)</t>
  </si>
  <si>
    <t>TCP ($/USD)</t>
  </si>
  <si>
    <t>val_tcp</t>
  </si>
  <si>
    <t xml:space="preserve">EXPORTACIONES CUMPLIDAS, VALORES CORRIENTES; Empalme Rev 3/Rev4; miles de dólares; BCU
</t>
  </si>
  <si>
    <t>Expo manuf, miles usd</t>
  </si>
  <si>
    <t>Incremento para el exportador: Diferencia apropiada por el exportador frente a eventual devaluación</t>
  </si>
  <si>
    <t>Incremento de apropiación en relación a exportaciones efectivas</t>
  </si>
  <si>
    <t>Escenario de las exportaciones frente a eventual devaluación, con precios y cantidades exportadas constantes</t>
  </si>
  <si>
    <t>Situación actual. Pesos apropiados por sector exportador. Miles de pesos recibidos al TCC</t>
  </si>
  <si>
    <t>Escenario de devaluación. Miles de pesos recibidos al TCP</t>
  </si>
  <si>
    <t>Pérdida de peso de las manufacturas en las exportaciones totales y creciente concentración en alimentos y bebidas, que alcanzan el 71% del total manufacturero en 2025.</t>
  </si>
  <si>
    <t>Crecimiento de largo plazo de las exportaciones industriales, con fuertes oscilaciones y recuperación en 2025 hasta niveles cercanos al máximo de 2022.</t>
  </si>
  <si>
    <t>Predominio de la carne en las exportaciones alimenticias, seguida a distancia por los lácteos, mientras los demás rubros mantienen una participación menor.</t>
  </si>
  <si>
    <t>Exportaciones primarias dominadas por los cultivos y sujetas a fuertes variaciones, frente al crecimiento más estable de la silvicultura.</t>
  </si>
  <si>
    <t>Una devaluación hasta la paridad no aumentaría las exportaciones en dólares si se mantienen precios y cantidades, pero elevaría los ingresos en pesos del sector exportador; en 2023, el incremento sería del 55%.</t>
  </si>
  <si>
    <t>Análisis</t>
  </si>
  <si>
    <t>2017*</t>
  </si>
  <si>
    <t>2018*</t>
  </si>
  <si>
    <t>2019*</t>
  </si>
  <si>
    <t>PRODUCCION</t>
  </si>
  <si>
    <t>POR INDUSTRIAS</t>
  </si>
  <si>
    <t>Serie anual, precios corrientes</t>
  </si>
  <si>
    <t>Miles de pesos</t>
  </si>
  <si>
    <t>Ind. Manufcatura</t>
  </si>
  <si>
    <t>expo manuf miles de pesos</t>
  </si>
  <si>
    <t>expo manuf pesos</t>
  </si>
  <si>
    <t>Ranking</t>
  </si>
  <si>
    <t>miles usd</t>
  </si>
  <si>
    <t>codigo</t>
  </si>
  <si>
    <t>nombre</t>
  </si>
  <si>
    <t>Ajuste de total manufactura a eaae a partir de microdatos (95%)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</si>
</sst>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mmmm\-yy"/>
    <numFmt numFmtId="165" formatCode="_-* #,##0.0_-;\-* #,##0.0_-;_-* &quot;-&quot;??_-;_-@_-"/>
    <numFmt numFmtId="166" formatCode="_-* #,##0_-;\-* #,##0_-;_-* &quot;-&quot;??_-;_-@_-"/>
    <numFmt numFmtId="167" formatCode="0.000"/>
    <numFmt numFmtId="168" formatCode="_-* #,##0.00\ _€_-;\-* #,##0.00\ _€_-;_-* &quot;-&quot;??\ _€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333399"/>
      <name val="Le Monde Sans Std"/>
      <family val="3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Le Monde Sans Std"/>
      <family val="3"/>
    </font>
    <font>
      <b/>
      <sz val="11"/>
      <color rgb="FF0070C0"/>
      <name val="Calibri"/>
      <family val="2"/>
      <scheme val="minor"/>
    </font>
    <font>
      <b/>
      <sz val="10"/>
      <color rgb="FF0070C0"/>
      <name val="Cambria"/>
      <family val="1"/>
    </font>
    <font>
      <sz val="10"/>
      <color theme="1"/>
      <name val="Cambria"/>
      <family val="1"/>
    </font>
    <font>
      <b/>
      <sz val="10"/>
      <color rgb="FFFFFFFF"/>
      <name val="Cambria"/>
      <family val="1"/>
    </font>
    <font>
      <sz val="10"/>
      <color rgb="FF111111"/>
      <name val="Cambria"/>
      <family val="1"/>
    </font>
    <font>
      <b/>
      <sz val="16"/>
      <color rgb="FF002060"/>
      <name val="Calibri"/>
      <family val="2"/>
      <scheme val="minor"/>
    </font>
    <font>
      <sz val="9"/>
      <color theme="1"/>
      <name val="Cambi"/>
    </font>
    <font>
      <sz val="11"/>
      <color indexed="8"/>
      <name val="Calibri"/>
      <family val="2"/>
    </font>
    <font>
      <sz val="12"/>
      <color indexed="9"/>
      <name val="Le Monde Sans Std"/>
      <family val="3"/>
    </font>
    <font>
      <sz val="11"/>
      <color indexed="9"/>
      <name val="Le Monde Sans Std"/>
      <family val="3"/>
    </font>
    <font>
      <sz val="14"/>
      <color indexed="9"/>
      <name val="Le Monde Sans Std"/>
      <family val="3"/>
    </font>
    <font>
      <sz val="11"/>
      <color indexed="62"/>
      <name val="Le Monde Sans Std"/>
      <family val="3"/>
    </font>
    <font>
      <sz val="11"/>
      <color rgb="FF1C267D"/>
      <name val="Arial Narrow"/>
      <family val="2"/>
    </font>
    <font>
      <sz val="10"/>
      <color theme="1"/>
      <name val="Arial Narrow"/>
      <family val="2"/>
    </font>
    <font>
      <b/>
      <sz val="11"/>
      <color rgb="FF1C267D"/>
      <name val="Arial Narrow"/>
      <family val="2"/>
    </font>
    <font>
      <i/>
      <sz val="10"/>
      <color rgb="FF1C267D"/>
      <name val="Arial Narrow"/>
      <family val="2"/>
    </font>
    <font>
      <sz val="10"/>
      <color rgb="FF1C267D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1B3F6B"/>
        <bgColor rgb="FF0F2C52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F2F2F2"/>
      </patternFill>
    </fill>
    <fill>
      <patternFill patternType="solid">
        <fgColor rgb="FFCCF0EC"/>
        <bgColor rgb="FFDAEEDA"/>
      </patternFill>
    </fill>
    <fill>
      <patternFill patternType="solid">
        <fgColor rgb="FFDCE6F0"/>
        <bgColor indexed="64"/>
      </patternFill>
    </fill>
    <fill>
      <patternFill patternType="solid">
        <fgColor rgb="FF1C267D"/>
        <bgColor indexed="64"/>
      </patternFill>
    </fill>
  </fills>
  <borders count="18">
    <border>
      <left/>
      <right/>
      <top/>
      <bottom/>
      <diagonal/>
    </border>
    <border>
      <left style="medium">
        <color rgb="FF333399"/>
      </left>
      <right/>
      <top style="medium">
        <color rgb="FF333399"/>
      </top>
      <bottom/>
      <diagonal/>
    </border>
    <border>
      <left style="medium">
        <color rgb="FF333399"/>
      </left>
      <right style="medium">
        <color rgb="FF333399"/>
      </right>
      <top style="medium">
        <color rgb="FF333399"/>
      </top>
      <bottom style="medium">
        <color rgb="FF333399"/>
      </bottom>
      <diagonal/>
    </border>
    <border>
      <left style="medium">
        <color rgb="FF333399"/>
      </left>
      <right style="medium">
        <color rgb="FF333399"/>
      </right>
      <top/>
      <bottom/>
      <diagonal/>
    </border>
    <border>
      <left style="medium">
        <color rgb="FF333399"/>
      </left>
      <right style="medium">
        <color rgb="FF333399"/>
      </right>
      <top/>
      <bottom style="medium">
        <color rgb="FF333399"/>
      </bottom>
      <diagonal/>
    </border>
    <border>
      <left/>
      <right/>
      <top style="medium">
        <color rgb="FF333399"/>
      </top>
      <bottom style="medium">
        <color rgb="FF333399"/>
      </bottom>
      <diagonal/>
    </border>
    <border>
      <left style="medium">
        <color rgb="FF333399"/>
      </left>
      <right/>
      <top/>
      <bottom/>
      <diagonal/>
    </border>
    <border>
      <left style="medium">
        <color rgb="FF333399"/>
      </left>
      <right/>
      <top/>
      <bottom style="medium">
        <color rgb="FF333399"/>
      </bottom>
      <diagonal/>
    </border>
    <border>
      <left/>
      <right/>
      <top style="medium">
        <color rgb="FF333399"/>
      </top>
      <bottom/>
      <diagonal/>
    </border>
    <border>
      <left/>
      <right/>
      <top/>
      <bottom style="medium">
        <color rgb="FF333399"/>
      </bottom>
      <diagonal/>
    </border>
    <border>
      <left/>
      <right style="medium">
        <color rgb="FF333399"/>
      </right>
      <top style="medium">
        <color rgb="FF333399"/>
      </top>
      <bottom/>
      <diagonal/>
    </border>
    <border>
      <left/>
      <right style="medium">
        <color rgb="FF333399"/>
      </right>
      <top style="medium">
        <color rgb="FF333399"/>
      </top>
      <bottom style="medium">
        <color rgb="FF333399"/>
      </bottom>
      <diagonal/>
    </border>
    <border>
      <left/>
      <right style="medium">
        <color rgb="FF333399"/>
      </right>
      <top/>
      <bottom/>
      <diagonal/>
    </border>
    <border>
      <left/>
      <right style="medium">
        <color rgb="FF333399"/>
      </right>
      <top/>
      <bottom style="medium">
        <color rgb="FF333399"/>
      </bottom>
      <diagonal/>
    </border>
    <border>
      <left style="medium">
        <color rgb="FF333399"/>
      </left>
      <right style="medium">
        <color rgb="FF333399"/>
      </right>
      <top style="medium">
        <color rgb="FF333399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/>
      <bottom/>
      <diagonal/>
    </border>
    <border>
      <left/>
      <right/>
      <top style="medium">
        <color rgb="FF1C267D"/>
      </top>
      <bottom style="medium">
        <color rgb="FF1C267D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7" borderId="0"/>
    <xf numFmtId="0" fontId="20" fillId="0" borderId="0"/>
    <xf numFmtId="0" fontId="21" fillId="0" borderId="17"/>
    <xf numFmtId="168" fontId="14" fillId="0" borderId="0" applyFont="0" applyFill="0" applyBorder="0" applyAlignment="0" applyProtection="0"/>
    <xf numFmtId="0" fontId="22" fillId="0" borderId="0" applyAlignment="0">
      <alignment horizontal="left" vertical="top" wrapText="1"/>
    </xf>
    <xf numFmtId="0" fontId="23" fillId="0" borderId="0">
      <alignment horizontal="left" indent="1"/>
    </xf>
    <xf numFmtId="0" fontId="24" fillId="8" borderId="0">
      <alignment horizontal="center" vertical="center"/>
    </xf>
    <xf numFmtId="17" fontId="25" fillId="8" borderId="0"/>
    <xf numFmtId="0" fontId="21" fillId="7" borderId="0">
      <alignment horizontal="left"/>
    </xf>
  </cellStyleXfs>
  <cellXfs count="75">
    <xf numFmtId="0" fontId="0" fillId="0" borderId="0" xfId="0"/>
    <xf numFmtId="0" fontId="2" fillId="2" borderId="3" xfId="0" applyFont="1" applyFill="1" applyBorder="1" applyAlignment="1">
      <alignment horizontal="left" vertical="center"/>
    </xf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2"/>
    </xf>
    <xf numFmtId="0" fontId="4" fillId="2" borderId="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41" fontId="4" fillId="2" borderId="1" xfId="0" applyNumberFormat="1" applyFont="1" applyFill="1" applyBorder="1" applyAlignment="1">
      <alignment horizontal="right" vertical="center" indent="1"/>
    </xf>
    <xf numFmtId="41" fontId="4" fillId="0" borderId="6" xfId="0" applyNumberFormat="1" applyFont="1" applyBorder="1" applyAlignment="1">
      <alignment horizontal="right" vertical="center" indent="1"/>
    </xf>
    <xf numFmtId="41" fontId="4" fillId="2" borderId="6" xfId="0" applyNumberFormat="1" applyFont="1" applyFill="1" applyBorder="1" applyAlignment="1">
      <alignment horizontal="right" vertical="center" indent="1"/>
    </xf>
    <xf numFmtId="41" fontId="4" fillId="2" borderId="7" xfId="0" applyNumberFormat="1" applyFont="1" applyFill="1" applyBorder="1" applyAlignment="1">
      <alignment horizontal="right" vertical="center" indent="1"/>
    </xf>
    <xf numFmtId="41" fontId="4" fillId="0" borderId="0" xfId="0" applyNumberFormat="1" applyFont="1" applyFill="1" applyBorder="1" applyAlignment="1">
      <alignment horizontal="right" vertical="center" indent="1"/>
    </xf>
    <xf numFmtId="3" fontId="4" fillId="2" borderId="8" xfId="0" applyNumberFormat="1" applyFont="1" applyFill="1" applyBorder="1" applyAlignment="1">
      <alignment vertical="center"/>
    </xf>
    <xf numFmtId="41" fontId="4" fillId="2" borderId="8" xfId="0" applyNumberFormat="1" applyFont="1" applyFill="1" applyBorder="1" applyAlignment="1">
      <alignment horizontal="right" vertical="center" indent="1"/>
    </xf>
    <xf numFmtId="41" fontId="4" fillId="0" borderId="0" xfId="0" applyNumberFormat="1" applyFont="1" applyAlignment="1">
      <alignment horizontal="right" vertical="center" indent="1"/>
    </xf>
    <xf numFmtId="41" fontId="4" fillId="2" borderId="0" xfId="0" applyNumberFormat="1" applyFont="1" applyFill="1" applyAlignment="1">
      <alignment horizontal="right" vertical="center" indent="1"/>
    </xf>
    <xf numFmtId="41" fontId="4" fillId="2" borderId="9" xfId="0" applyNumberFormat="1" applyFont="1" applyFill="1" applyBorder="1" applyAlignment="1">
      <alignment horizontal="right" vertical="center" indent="1"/>
    </xf>
    <xf numFmtId="3" fontId="4" fillId="2" borderId="8" xfId="0" applyNumberFormat="1" applyFont="1" applyFill="1" applyBorder="1" applyAlignment="1">
      <alignment horizontal="right" vertical="center" indent="1"/>
    </xf>
    <xf numFmtId="41" fontId="4" fillId="0" borderId="5" xfId="0" applyNumberFormat="1" applyFont="1" applyBorder="1" applyAlignment="1">
      <alignment horizontal="right" vertical="center" indent="1"/>
    </xf>
    <xf numFmtId="3" fontId="4" fillId="0" borderId="5" xfId="0" applyNumberFormat="1" applyFont="1" applyBorder="1" applyAlignment="1">
      <alignment horizontal="right" vertical="center" indent="1"/>
    </xf>
    <xf numFmtId="3" fontId="4" fillId="0" borderId="0" xfId="0" applyNumberFormat="1" applyFont="1" applyAlignment="1">
      <alignment horizontal="right" vertical="center" indent="1"/>
    </xf>
    <xf numFmtId="3" fontId="4" fillId="2" borderId="0" xfId="0" applyNumberFormat="1" applyFont="1" applyFill="1" applyAlignment="1">
      <alignment horizontal="right" vertical="center" indent="1"/>
    </xf>
    <xf numFmtId="3" fontId="4" fillId="2" borderId="9" xfId="0" applyNumberFormat="1" applyFont="1" applyFill="1" applyBorder="1" applyAlignment="1">
      <alignment horizontal="right" vertical="center" indent="1"/>
    </xf>
    <xf numFmtId="3" fontId="4" fillId="2" borderId="10" xfId="0" applyNumberFormat="1" applyFont="1" applyFill="1" applyBorder="1" applyAlignment="1">
      <alignment horizontal="right" vertical="center" indent="1"/>
    </xf>
    <xf numFmtId="3" fontId="4" fillId="0" borderId="11" xfId="0" applyNumberFormat="1" applyFont="1" applyBorder="1" applyAlignment="1">
      <alignment horizontal="right" vertical="center" indent="1"/>
    </xf>
    <xf numFmtId="3" fontId="4" fillId="0" borderId="12" xfId="0" applyNumberFormat="1" applyFont="1" applyBorder="1" applyAlignment="1">
      <alignment horizontal="right" vertical="center" indent="1"/>
    </xf>
    <xf numFmtId="3" fontId="4" fillId="2" borderId="12" xfId="0" applyNumberFormat="1" applyFont="1" applyFill="1" applyBorder="1" applyAlignment="1">
      <alignment horizontal="right" vertical="center" indent="1"/>
    </xf>
    <xf numFmtId="3" fontId="4" fillId="2" borderId="13" xfId="0" applyNumberFormat="1" applyFont="1" applyFill="1" applyBorder="1" applyAlignment="1">
      <alignment horizontal="right" vertical="center" indent="1"/>
    </xf>
    <xf numFmtId="3" fontId="4" fillId="2" borderId="14" xfId="0" applyNumberFormat="1" applyFont="1" applyFill="1" applyBorder="1" applyAlignment="1">
      <alignment horizontal="right" vertical="center" indent="1"/>
    </xf>
    <xf numFmtId="3" fontId="4" fillId="0" borderId="2" xfId="0" applyNumberFormat="1" applyFont="1" applyBorder="1" applyAlignment="1">
      <alignment horizontal="right" vertical="center" indent="1"/>
    </xf>
    <xf numFmtId="3" fontId="4" fillId="0" borderId="3" xfId="0" applyNumberFormat="1" applyFont="1" applyBorder="1" applyAlignment="1">
      <alignment horizontal="right" vertical="center" indent="1"/>
    </xf>
    <xf numFmtId="3" fontId="4" fillId="2" borderId="3" xfId="0" applyNumberFormat="1" applyFont="1" applyFill="1" applyBorder="1" applyAlignment="1">
      <alignment horizontal="right" vertical="center" indent="1"/>
    </xf>
    <xf numFmtId="3" fontId="4" fillId="2" borderId="4" xfId="0" applyNumberFormat="1" applyFont="1" applyFill="1" applyBorder="1" applyAlignment="1">
      <alignment horizontal="right" vertical="center" indent="1"/>
    </xf>
    <xf numFmtId="0" fontId="4" fillId="2" borderId="8" xfId="0" applyFont="1" applyFill="1" applyBorder="1" applyAlignment="1">
      <alignment vertical="center"/>
    </xf>
    <xf numFmtId="0" fontId="3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center" vertical="center"/>
    </xf>
    <xf numFmtId="166" fontId="3" fillId="0" borderId="0" xfId="1" applyNumberFormat="1" applyFont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9" fontId="3" fillId="0" borderId="0" xfId="2" applyFont="1"/>
    <xf numFmtId="0" fontId="2" fillId="0" borderId="0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9" fontId="9" fillId="0" borderId="0" xfId="2" applyFont="1"/>
    <xf numFmtId="4" fontId="11" fillId="5" borderId="15" xfId="0" applyNumberFormat="1" applyFont="1" applyFill="1" applyBorder="1" applyAlignment="1">
      <alignment horizontal="right" vertical="center"/>
    </xf>
    <xf numFmtId="167" fontId="11" fillId="5" borderId="15" xfId="0" applyNumberFormat="1" applyFont="1" applyFill="1" applyBorder="1" applyAlignment="1">
      <alignment horizontal="right" vertical="center"/>
    </xf>
    <xf numFmtId="165" fontId="9" fillId="0" borderId="0" xfId="1" applyNumberFormat="1" applyFont="1"/>
    <xf numFmtId="165" fontId="11" fillId="4" borderId="15" xfId="0" applyNumberFormat="1" applyFont="1" applyFill="1" applyBorder="1" applyAlignment="1">
      <alignment horizontal="right" vertical="center"/>
    </xf>
    <xf numFmtId="165" fontId="11" fillId="5" borderId="15" xfId="0" applyNumberFormat="1" applyFont="1" applyFill="1" applyBorder="1" applyAlignment="1">
      <alignment horizontal="right" vertical="center"/>
    </xf>
    <xf numFmtId="165" fontId="11" fillId="6" borderId="15" xfId="0" applyNumberFormat="1" applyFont="1" applyFill="1" applyBorder="1" applyAlignment="1">
      <alignment horizontal="right" vertical="center"/>
    </xf>
    <xf numFmtId="166" fontId="9" fillId="0" borderId="0" xfId="1" applyNumberFormat="1" applyFont="1"/>
    <xf numFmtId="166" fontId="9" fillId="0" borderId="0" xfId="0" applyNumberFormat="1" applyFont="1"/>
    <xf numFmtId="0" fontId="12" fillId="0" borderId="0" xfId="0" applyFont="1"/>
    <xf numFmtId="0" fontId="13" fillId="0" borderId="0" xfId="0" applyFont="1"/>
    <xf numFmtId="3" fontId="18" fillId="2" borderId="0" xfId="0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 wrapText="1"/>
    </xf>
    <xf numFmtId="0" fontId="2" fillId="0" borderId="0" xfId="0" applyFont="1" applyBorder="1" applyAlignment="1">
      <alignment horizontal="left" vertical="center"/>
    </xf>
    <xf numFmtId="0" fontId="3" fillId="0" borderId="3" xfId="0" applyFont="1" applyBorder="1"/>
    <xf numFmtId="0" fontId="4" fillId="0" borderId="0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" fontId="16" fillId="8" borderId="0" xfId="0" applyNumberFormat="1" applyFont="1" applyFill="1" applyAlignment="1">
      <alignment horizontal="center"/>
    </xf>
    <xf numFmtId="0" fontId="0" fillId="0" borderId="0" xfId="0"/>
    <xf numFmtId="0" fontId="17" fillId="8" borderId="0" xfId="0" applyFont="1" applyFill="1" applyAlignment="1">
      <alignment horizontal="right" vertical="center"/>
    </xf>
    <xf numFmtId="0" fontId="15" fillId="8" borderId="0" xfId="0" applyFont="1" applyFill="1" applyAlignment="1">
      <alignment horizontal="right" vertical="center"/>
    </xf>
    <xf numFmtId="3" fontId="18" fillId="2" borderId="0" xfId="0" applyNumberFormat="1" applyFont="1" applyFill="1" applyBorder="1" applyAlignment="1">
      <alignment horizontal="right" vertical="center"/>
    </xf>
  </cellXfs>
  <cellStyles count="12">
    <cellStyle name="datos principales" xfId="3" xr:uid="{0D41B96C-DD9E-4ABE-A553-3C6D2073B310}"/>
    <cellStyle name="datos secundarios" xfId="4" xr:uid="{05197F6A-36DD-4542-9424-83171E35925A}"/>
    <cellStyle name="linea de totales" xfId="5" xr:uid="{CDB5C795-AAF1-4A2A-815D-F9AA95E3B7F8}"/>
    <cellStyle name="Millares" xfId="1" builtinId="3"/>
    <cellStyle name="Millares 2" xfId="6" xr:uid="{AEE7DCA9-CB53-4A49-9C84-94D12314EE3E}"/>
    <cellStyle name="Normal" xfId="0" builtinId="0"/>
    <cellStyle name="Notas al pie" xfId="7" xr:uid="{24739215-B728-4637-A8B3-4C5FB3D2F8A2}"/>
    <cellStyle name="Porcentaje" xfId="2" builtinId="5"/>
    <cellStyle name="subtitulos de las filas" xfId="8" xr:uid="{1D3F7DC4-8290-4441-9FFC-6C2B3A51DDD7}"/>
    <cellStyle name="titulo del informe" xfId="9" xr:uid="{270FF1B1-7D2F-46E0-A988-C8A2844D6A56}"/>
    <cellStyle name="titulos de las columnas" xfId="10" xr:uid="{3EB2ED0E-843C-4A15-92FD-1E4009C892AD}"/>
    <cellStyle name="titulos de las filas" xfId="11" xr:uid="{37933AA7-14CB-4D53-947B-0A6EA254DE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Composición de las exportaciones industriales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8.5301315524243679E-2"/>
          <c:y val="8.9306241064266378E-2"/>
          <c:w val="0.89775524258230188"/>
          <c:h val="0.401318734723289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Base!$AV$2</c:f>
              <c:strCache>
                <c:ptCount val="1"/>
                <c:pt idx="0">
                  <c:v>Elaboración de productos alimenticios y bebidas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Base!$AV$3:$AV$28</c:f>
              <c:numCache>
                <c:formatCode>_-* #,##0_-;\-* #,##0_-;_-* "-"??_-;_-@_-</c:formatCode>
                <c:ptCount val="26"/>
                <c:pt idx="0">
                  <c:v>956422</c:v>
                </c:pt>
                <c:pt idx="1">
                  <c:v>778768</c:v>
                </c:pt>
                <c:pt idx="2">
                  <c:v>777400</c:v>
                </c:pt>
                <c:pt idx="3">
                  <c:v>952388</c:v>
                </c:pt>
                <c:pt idx="4">
                  <c:v>1312642</c:v>
                </c:pt>
                <c:pt idx="5">
                  <c:v>1618909</c:v>
                </c:pt>
                <c:pt idx="6">
                  <c:v>1910907</c:v>
                </c:pt>
                <c:pt idx="7">
                  <c:v>1988585</c:v>
                </c:pt>
                <c:pt idx="8">
                  <c:v>2844768</c:v>
                </c:pt>
                <c:pt idx="9">
                  <c:v>2525679</c:v>
                </c:pt>
                <c:pt idx="10">
                  <c:v>2799382</c:v>
                </c:pt>
                <c:pt idx="11">
                  <c:v>3466607</c:v>
                </c:pt>
                <c:pt idx="12">
                  <c:v>3663064</c:v>
                </c:pt>
                <c:pt idx="13">
                  <c:v>3580072</c:v>
                </c:pt>
                <c:pt idx="14">
                  <c:v>3698459</c:v>
                </c:pt>
                <c:pt idx="15">
                  <c:v>3151167</c:v>
                </c:pt>
                <c:pt idx="16">
                  <c:v>3111739</c:v>
                </c:pt>
                <c:pt idx="17">
                  <c:v>3370232</c:v>
                </c:pt>
                <c:pt idx="18">
                  <c:v>3584869</c:v>
                </c:pt>
                <c:pt idx="19">
                  <c:v>3688335</c:v>
                </c:pt>
                <c:pt idx="20">
                  <c:v>3490824</c:v>
                </c:pt>
                <c:pt idx="21">
                  <c:v>4717940</c:v>
                </c:pt>
                <c:pt idx="22">
                  <c:v>5176856</c:v>
                </c:pt>
                <c:pt idx="23">
                  <c:v>4759461</c:v>
                </c:pt>
                <c:pt idx="24">
                  <c:v>4582834</c:v>
                </c:pt>
                <c:pt idx="25">
                  <c:v>5394734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1-4E77-A348-0AF1E2786936}"/>
            </c:ext>
          </c:extLst>
        </c:ser>
        <c:ser>
          <c:idx val="1"/>
          <c:order val="1"/>
          <c:tx>
            <c:strRef>
              <c:f>Base!$BC$2</c:f>
              <c:strCache>
                <c:ptCount val="1"/>
                <c:pt idx="0">
                  <c:v>Elaboración de Productos de Tabaco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Base!$BC$3:$BC$28</c:f>
              <c:numCache>
                <c:formatCode>_-* #,##0_-;\-* #,##0_-;_-* "-"??_-;_-@_-</c:formatCode>
                <c:ptCount val="26"/>
                <c:pt idx="0">
                  <c:v>60062</c:v>
                </c:pt>
                <c:pt idx="1">
                  <c:v>50408</c:v>
                </c:pt>
                <c:pt idx="2">
                  <c:v>39741</c:v>
                </c:pt>
                <c:pt idx="3">
                  <c:v>23847</c:v>
                </c:pt>
                <c:pt idx="4">
                  <c:v>25925</c:v>
                </c:pt>
                <c:pt idx="5">
                  <c:v>21892</c:v>
                </c:pt>
                <c:pt idx="6">
                  <c:v>21270</c:v>
                </c:pt>
                <c:pt idx="7">
                  <c:v>21890</c:v>
                </c:pt>
                <c:pt idx="8">
                  <c:v>19407</c:v>
                </c:pt>
                <c:pt idx="9">
                  <c:v>25359</c:v>
                </c:pt>
                <c:pt idx="10">
                  <c:v>32508</c:v>
                </c:pt>
                <c:pt idx="11">
                  <c:v>39642</c:v>
                </c:pt>
                <c:pt idx="12">
                  <c:v>36276</c:v>
                </c:pt>
                <c:pt idx="13">
                  <c:v>33954</c:v>
                </c:pt>
                <c:pt idx="14">
                  <c:v>39857</c:v>
                </c:pt>
                <c:pt idx="15">
                  <c:v>28012</c:v>
                </c:pt>
                <c:pt idx="16">
                  <c:v>22621</c:v>
                </c:pt>
                <c:pt idx="17">
                  <c:v>28602</c:v>
                </c:pt>
                <c:pt idx="18">
                  <c:v>21807</c:v>
                </c:pt>
                <c:pt idx="19">
                  <c:v>21860</c:v>
                </c:pt>
                <c:pt idx="20">
                  <c:v>12334</c:v>
                </c:pt>
                <c:pt idx="21">
                  <c:v>14014</c:v>
                </c:pt>
                <c:pt idx="22">
                  <c:v>12760</c:v>
                </c:pt>
                <c:pt idx="23">
                  <c:v>14263</c:v>
                </c:pt>
                <c:pt idx="24">
                  <c:v>15313</c:v>
                </c:pt>
                <c:pt idx="25">
                  <c:v>19686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31-4E77-A348-0AF1E2786936}"/>
            </c:ext>
          </c:extLst>
        </c:ser>
        <c:ser>
          <c:idx val="2"/>
          <c:order val="2"/>
          <c:tx>
            <c:strRef>
              <c:f>Base!$BD$2</c:f>
              <c:strCache>
                <c:ptCount val="1"/>
                <c:pt idx="0">
                  <c:v>Fabricación de productos textiles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Base!$BD$3:$BD$28</c:f>
              <c:numCache>
                <c:formatCode>_-* #,##0_-;\-* #,##0_-;_-* "-"??_-;_-@_-</c:formatCode>
                <c:ptCount val="26"/>
                <c:pt idx="0">
                  <c:v>204257</c:v>
                </c:pt>
                <c:pt idx="1">
                  <c:v>206079</c:v>
                </c:pt>
                <c:pt idx="2">
                  <c:v>200795</c:v>
                </c:pt>
                <c:pt idx="3">
                  <c:v>202342</c:v>
                </c:pt>
                <c:pt idx="4">
                  <c:v>199846</c:v>
                </c:pt>
                <c:pt idx="5">
                  <c:v>208651</c:v>
                </c:pt>
                <c:pt idx="6">
                  <c:v>209476</c:v>
                </c:pt>
                <c:pt idx="7">
                  <c:v>235354</c:v>
                </c:pt>
                <c:pt idx="8">
                  <c:v>230583</c:v>
                </c:pt>
                <c:pt idx="9">
                  <c:v>185074</c:v>
                </c:pt>
                <c:pt idx="10">
                  <c:v>243748</c:v>
                </c:pt>
                <c:pt idx="11">
                  <c:v>317404</c:v>
                </c:pt>
                <c:pt idx="12">
                  <c:v>272225</c:v>
                </c:pt>
                <c:pt idx="13">
                  <c:v>255536</c:v>
                </c:pt>
                <c:pt idx="14">
                  <c:v>248176</c:v>
                </c:pt>
                <c:pt idx="15">
                  <c:v>223512</c:v>
                </c:pt>
                <c:pt idx="16">
                  <c:v>193601</c:v>
                </c:pt>
                <c:pt idx="17">
                  <c:v>213168</c:v>
                </c:pt>
                <c:pt idx="18">
                  <c:v>226036</c:v>
                </c:pt>
                <c:pt idx="19">
                  <c:v>190092</c:v>
                </c:pt>
                <c:pt idx="20">
                  <c:v>109266</c:v>
                </c:pt>
                <c:pt idx="21">
                  <c:v>168630</c:v>
                </c:pt>
                <c:pt idx="22">
                  <c:v>164766</c:v>
                </c:pt>
                <c:pt idx="23">
                  <c:v>131125</c:v>
                </c:pt>
                <c:pt idx="24">
                  <c:v>118342</c:v>
                </c:pt>
                <c:pt idx="25">
                  <c:v>129867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31-4E77-A348-0AF1E2786936}"/>
            </c:ext>
          </c:extLst>
        </c:ser>
        <c:ser>
          <c:idx val="3"/>
          <c:order val="3"/>
          <c:tx>
            <c:strRef>
              <c:f>Base!$BE$2</c:f>
              <c:strCache>
                <c:ptCount val="1"/>
                <c:pt idx="0">
                  <c:v>Fabricación de prendas de vestir; adobo y  teñido de pieles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Base!$BE$3:$BE$28</c:f>
              <c:numCache>
                <c:formatCode>_-* #,##0_-;\-* #,##0_-;_-* "-"??_-;_-@_-</c:formatCode>
                <c:ptCount val="26"/>
                <c:pt idx="0">
                  <c:v>96969</c:v>
                </c:pt>
                <c:pt idx="1">
                  <c:v>79242</c:v>
                </c:pt>
                <c:pt idx="2">
                  <c:v>53051</c:v>
                </c:pt>
                <c:pt idx="3">
                  <c:v>61662</c:v>
                </c:pt>
                <c:pt idx="4">
                  <c:v>67862</c:v>
                </c:pt>
                <c:pt idx="5">
                  <c:v>66945</c:v>
                </c:pt>
                <c:pt idx="6">
                  <c:v>67960</c:v>
                </c:pt>
                <c:pt idx="7">
                  <c:v>67272</c:v>
                </c:pt>
                <c:pt idx="8">
                  <c:v>68214</c:v>
                </c:pt>
                <c:pt idx="9">
                  <c:v>49994</c:v>
                </c:pt>
                <c:pt idx="10">
                  <c:v>50541</c:v>
                </c:pt>
                <c:pt idx="11">
                  <c:v>61111</c:v>
                </c:pt>
                <c:pt idx="12">
                  <c:v>50909</c:v>
                </c:pt>
                <c:pt idx="13">
                  <c:v>31126</c:v>
                </c:pt>
                <c:pt idx="14">
                  <c:v>21632</c:v>
                </c:pt>
                <c:pt idx="15">
                  <c:v>19917</c:v>
                </c:pt>
                <c:pt idx="16">
                  <c:v>13688</c:v>
                </c:pt>
                <c:pt idx="17">
                  <c:v>15623</c:v>
                </c:pt>
                <c:pt idx="18">
                  <c:v>14994</c:v>
                </c:pt>
                <c:pt idx="19">
                  <c:v>12725</c:v>
                </c:pt>
                <c:pt idx="20">
                  <c:v>8792</c:v>
                </c:pt>
                <c:pt idx="21">
                  <c:v>9030</c:v>
                </c:pt>
                <c:pt idx="22">
                  <c:v>8445</c:v>
                </c:pt>
                <c:pt idx="23">
                  <c:v>7664</c:v>
                </c:pt>
                <c:pt idx="24">
                  <c:v>6868</c:v>
                </c:pt>
                <c:pt idx="25">
                  <c:v>7070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31-4E77-A348-0AF1E2786936}"/>
            </c:ext>
          </c:extLst>
        </c:ser>
        <c:ser>
          <c:idx val="4"/>
          <c:order val="4"/>
          <c:tx>
            <c:strRef>
              <c:f>Base!$BF$2</c:f>
              <c:strCache>
                <c:ptCount val="1"/>
                <c:pt idx="0">
                  <c:v>Curtido y adobo de cueros; fabricación de maletas, bolsos de mano, artículos de talabartería y guarnicionería, y calzado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Base!$BF$3:$BF$28</c:f>
              <c:numCache>
                <c:formatCode>_-* #,##0_-;\-* #,##0_-;_-* "-"??_-;_-@_-</c:formatCode>
                <c:ptCount val="26"/>
                <c:pt idx="0">
                  <c:v>228573</c:v>
                </c:pt>
                <c:pt idx="1">
                  <c:v>235640</c:v>
                </c:pt>
                <c:pt idx="2">
                  <c:v>210830</c:v>
                </c:pt>
                <c:pt idx="3">
                  <c:v>228346</c:v>
                </c:pt>
                <c:pt idx="4">
                  <c:v>239150</c:v>
                </c:pt>
                <c:pt idx="5">
                  <c:v>247853</c:v>
                </c:pt>
                <c:pt idx="6">
                  <c:v>301994</c:v>
                </c:pt>
                <c:pt idx="7">
                  <c:v>304703</c:v>
                </c:pt>
                <c:pt idx="8">
                  <c:v>255033</c:v>
                </c:pt>
                <c:pt idx="9">
                  <c:v>167951</c:v>
                </c:pt>
                <c:pt idx="10">
                  <c:v>204059</c:v>
                </c:pt>
                <c:pt idx="11">
                  <c:v>231021</c:v>
                </c:pt>
                <c:pt idx="12">
                  <c:v>245164</c:v>
                </c:pt>
                <c:pt idx="13">
                  <c:v>269101</c:v>
                </c:pt>
                <c:pt idx="14">
                  <c:v>317226</c:v>
                </c:pt>
                <c:pt idx="15">
                  <c:v>295343</c:v>
                </c:pt>
                <c:pt idx="16">
                  <c:v>276342</c:v>
                </c:pt>
                <c:pt idx="17">
                  <c:v>238260</c:v>
                </c:pt>
                <c:pt idx="18">
                  <c:v>216849</c:v>
                </c:pt>
                <c:pt idx="19">
                  <c:v>148773</c:v>
                </c:pt>
                <c:pt idx="20">
                  <c:v>80047</c:v>
                </c:pt>
                <c:pt idx="21">
                  <c:v>129332</c:v>
                </c:pt>
                <c:pt idx="22">
                  <c:v>154746</c:v>
                </c:pt>
                <c:pt idx="23">
                  <c:v>128557</c:v>
                </c:pt>
                <c:pt idx="24">
                  <c:v>147580</c:v>
                </c:pt>
                <c:pt idx="25">
                  <c:v>103138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31-4E77-A348-0AF1E2786936}"/>
            </c:ext>
          </c:extLst>
        </c:ser>
        <c:ser>
          <c:idx val="5"/>
          <c:order val="5"/>
          <c:tx>
            <c:strRef>
              <c:f>Base!$BG$2</c:f>
              <c:strCache>
                <c:ptCount val="1"/>
                <c:pt idx="0">
                  <c:v>Producción de madera y fabricación de productos de madera y corcho excepto muebles; fabricación de artículos de paja y de materiales trenzables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Base!$BG$3:$BG$28</c:f>
              <c:numCache>
                <c:formatCode>_-* #,##0_-;\-* #,##0_-;_-* "-"??_-;_-@_-</c:formatCode>
                <c:ptCount val="26"/>
                <c:pt idx="0">
                  <c:v>9173</c:v>
                </c:pt>
                <c:pt idx="1">
                  <c:v>8946</c:v>
                </c:pt>
                <c:pt idx="2">
                  <c:v>9616</c:v>
                </c:pt>
                <c:pt idx="3">
                  <c:v>24576</c:v>
                </c:pt>
                <c:pt idx="4">
                  <c:v>51174</c:v>
                </c:pt>
                <c:pt idx="5">
                  <c:v>85898</c:v>
                </c:pt>
                <c:pt idx="6">
                  <c:v>115782</c:v>
                </c:pt>
                <c:pt idx="7">
                  <c:v>134537</c:v>
                </c:pt>
                <c:pt idx="8">
                  <c:v>244424</c:v>
                </c:pt>
                <c:pt idx="9">
                  <c:v>137405</c:v>
                </c:pt>
                <c:pt idx="10">
                  <c:v>224502</c:v>
                </c:pt>
                <c:pt idx="11">
                  <c:v>265632</c:v>
                </c:pt>
                <c:pt idx="12">
                  <c:v>202086</c:v>
                </c:pt>
                <c:pt idx="13">
                  <c:v>229033</c:v>
                </c:pt>
                <c:pt idx="14">
                  <c:v>229489</c:v>
                </c:pt>
                <c:pt idx="15">
                  <c:v>196302</c:v>
                </c:pt>
                <c:pt idx="16">
                  <c:v>210610</c:v>
                </c:pt>
                <c:pt idx="17">
                  <c:v>232555</c:v>
                </c:pt>
                <c:pt idx="18">
                  <c:v>296084</c:v>
                </c:pt>
                <c:pt idx="19">
                  <c:v>267661</c:v>
                </c:pt>
                <c:pt idx="20">
                  <c:v>198528</c:v>
                </c:pt>
                <c:pt idx="21">
                  <c:v>340918</c:v>
                </c:pt>
                <c:pt idx="22">
                  <c:v>409439</c:v>
                </c:pt>
                <c:pt idx="23">
                  <c:v>365937</c:v>
                </c:pt>
                <c:pt idx="24">
                  <c:v>335572</c:v>
                </c:pt>
                <c:pt idx="25">
                  <c:v>351005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31-4E77-A348-0AF1E2786936}"/>
            </c:ext>
          </c:extLst>
        </c:ser>
        <c:ser>
          <c:idx val="6"/>
          <c:order val="6"/>
          <c:tx>
            <c:strRef>
              <c:f>Base!$BH$2</c:f>
              <c:strCache>
                <c:ptCount val="1"/>
                <c:pt idx="0">
                  <c:v>Fabricación de papel y de productos de papel; Actividades de edición e impresión y de reproducción de grabaciones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Base!$BH$3:$BH$28</c:f>
              <c:numCache>
                <c:formatCode>_-* #,##0_-;\-* #,##0_-;_-* "-"??_-;_-@_-</c:formatCode>
                <c:ptCount val="26"/>
                <c:pt idx="0">
                  <c:v>75391</c:v>
                </c:pt>
                <c:pt idx="1">
                  <c:v>73635</c:v>
                </c:pt>
                <c:pt idx="2">
                  <c:v>56500</c:v>
                </c:pt>
                <c:pt idx="3">
                  <c:v>51299</c:v>
                </c:pt>
                <c:pt idx="4">
                  <c:v>56597</c:v>
                </c:pt>
                <c:pt idx="5">
                  <c:v>68393</c:v>
                </c:pt>
                <c:pt idx="6">
                  <c:v>72247</c:v>
                </c:pt>
                <c:pt idx="7">
                  <c:v>64114</c:v>
                </c:pt>
                <c:pt idx="8">
                  <c:v>84894</c:v>
                </c:pt>
                <c:pt idx="9">
                  <c:v>117090</c:v>
                </c:pt>
                <c:pt idx="10">
                  <c:v>107710</c:v>
                </c:pt>
                <c:pt idx="11">
                  <c:v>120000</c:v>
                </c:pt>
                <c:pt idx="12">
                  <c:v>116870</c:v>
                </c:pt>
                <c:pt idx="13">
                  <c:v>104876</c:v>
                </c:pt>
                <c:pt idx="14">
                  <c:v>100731</c:v>
                </c:pt>
                <c:pt idx="15">
                  <c:v>97076</c:v>
                </c:pt>
                <c:pt idx="16">
                  <c:v>62421</c:v>
                </c:pt>
                <c:pt idx="17">
                  <c:v>47217</c:v>
                </c:pt>
                <c:pt idx="18">
                  <c:v>39766</c:v>
                </c:pt>
                <c:pt idx="19">
                  <c:v>43532</c:v>
                </c:pt>
                <c:pt idx="20">
                  <c:v>31144</c:v>
                </c:pt>
                <c:pt idx="21">
                  <c:v>33355</c:v>
                </c:pt>
                <c:pt idx="22">
                  <c:v>43789</c:v>
                </c:pt>
                <c:pt idx="23">
                  <c:v>40536</c:v>
                </c:pt>
                <c:pt idx="24">
                  <c:v>36761</c:v>
                </c:pt>
                <c:pt idx="25">
                  <c:v>38357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31-4E77-A348-0AF1E2786936}"/>
            </c:ext>
          </c:extLst>
        </c:ser>
        <c:ser>
          <c:idx val="7"/>
          <c:order val="7"/>
          <c:tx>
            <c:strRef>
              <c:f>Base!$BI$2</c:f>
              <c:strCache>
                <c:ptCount val="1"/>
                <c:pt idx="0">
                  <c:v>Fabricación de coque, productos de la refinación del petróleo y combustible nuclear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Base!$BI$3:$BI$28</c:f>
              <c:numCache>
                <c:formatCode>_-* #,##0_-;\-* #,##0_-;_-* "-"??_-;_-@_-</c:formatCode>
                <c:ptCount val="26"/>
                <c:pt idx="0">
                  <c:v>25611</c:v>
                </c:pt>
                <c:pt idx="1">
                  <c:v>30579</c:v>
                </c:pt>
                <c:pt idx="2">
                  <c:v>9170</c:v>
                </c:pt>
                <c:pt idx="3">
                  <c:v>30516</c:v>
                </c:pt>
                <c:pt idx="4">
                  <c:v>128189</c:v>
                </c:pt>
                <c:pt idx="5">
                  <c:v>150661</c:v>
                </c:pt>
                <c:pt idx="6">
                  <c:v>138182</c:v>
                </c:pt>
                <c:pt idx="7">
                  <c:v>125794</c:v>
                </c:pt>
                <c:pt idx="8">
                  <c:v>187209</c:v>
                </c:pt>
                <c:pt idx="9">
                  <c:v>75902</c:v>
                </c:pt>
                <c:pt idx="10">
                  <c:v>131958</c:v>
                </c:pt>
                <c:pt idx="11">
                  <c:v>57907</c:v>
                </c:pt>
                <c:pt idx="12">
                  <c:v>93345</c:v>
                </c:pt>
                <c:pt idx="13">
                  <c:v>23656</c:v>
                </c:pt>
                <c:pt idx="14">
                  <c:v>60055</c:v>
                </c:pt>
                <c:pt idx="15">
                  <c:v>21813</c:v>
                </c:pt>
                <c:pt idx="16">
                  <c:v>33443</c:v>
                </c:pt>
                <c:pt idx="17">
                  <c:v>15853</c:v>
                </c:pt>
                <c:pt idx="18">
                  <c:v>21736</c:v>
                </c:pt>
                <c:pt idx="19">
                  <c:v>4091</c:v>
                </c:pt>
                <c:pt idx="20">
                  <c:v>5817</c:v>
                </c:pt>
                <c:pt idx="21">
                  <c:v>13684</c:v>
                </c:pt>
                <c:pt idx="22">
                  <c:v>959</c:v>
                </c:pt>
                <c:pt idx="23">
                  <c:v>792</c:v>
                </c:pt>
                <c:pt idx="24">
                  <c:v>228</c:v>
                </c:pt>
                <c:pt idx="25">
                  <c:v>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31-4E77-A348-0AF1E2786936}"/>
            </c:ext>
          </c:extLst>
        </c:ser>
        <c:ser>
          <c:idx val="8"/>
          <c:order val="8"/>
          <c:tx>
            <c:strRef>
              <c:f>Base!$BJ$2</c:f>
              <c:strCache>
                <c:ptCount val="1"/>
                <c:pt idx="0">
                  <c:v>Fabricación de sustancias y productos químicos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Base!$BJ$3:$BJ$28</c:f>
              <c:numCache>
                <c:formatCode>_-* #,##0_-;\-* #,##0_-;_-* "-"??_-;_-@_-</c:formatCode>
                <c:ptCount val="26"/>
                <c:pt idx="0">
                  <c:v>157873</c:v>
                </c:pt>
                <c:pt idx="1">
                  <c:v>143864</c:v>
                </c:pt>
                <c:pt idx="2">
                  <c:v>116382</c:v>
                </c:pt>
                <c:pt idx="3">
                  <c:v>123978</c:v>
                </c:pt>
                <c:pt idx="4">
                  <c:v>167553</c:v>
                </c:pt>
                <c:pt idx="5">
                  <c:v>185444</c:v>
                </c:pt>
                <c:pt idx="6">
                  <c:v>213001</c:v>
                </c:pt>
                <c:pt idx="7">
                  <c:v>272361</c:v>
                </c:pt>
                <c:pt idx="8">
                  <c:v>375065</c:v>
                </c:pt>
                <c:pt idx="9">
                  <c:v>327416</c:v>
                </c:pt>
                <c:pt idx="10">
                  <c:v>402798</c:v>
                </c:pt>
                <c:pt idx="11">
                  <c:v>487418</c:v>
                </c:pt>
                <c:pt idx="12">
                  <c:v>534101</c:v>
                </c:pt>
                <c:pt idx="13">
                  <c:v>521123</c:v>
                </c:pt>
                <c:pt idx="14">
                  <c:v>507148</c:v>
                </c:pt>
                <c:pt idx="15">
                  <c:v>482840</c:v>
                </c:pt>
                <c:pt idx="16">
                  <c:v>431683</c:v>
                </c:pt>
                <c:pt idx="17">
                  <c:v>423250</c:v>
                </c:pt>
                <c:pt idx="18">
                  <c:v>433836</c:v>
                </c:pt>
                <c:pt idx="19">
                  <c:v>383459</c:v>
                </c:pt>
                <c:pt idx="20">
                  <c:v>380455</c:v>
                </c:pt>
                <c:pt idx="21">
                  <c:v>479172</c:v>
                </c:pt>
                <c:pt idx="22">
                  <c:v>528783</c:v>
                </c:pt>
                <c:pt idx="23">
                  <c:v>475856</c:v>
                </c:pt>
                <c:pt idx="24">
                  <c:v>497892</c:v>
                </c:pt>
                <c:pt idx="25">
                  <c:v>529279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31-4E77-A348-0AF1E2786936}"/>
            </c:ext>
          </c:extLst>
        </c:ser>
        <c:ser>
          <c:idx val="9"/>
          <c:order val="9"/>
          <c:tx>
            <c:strRef>
              <c:f>Base!$BK$2</c:f>
              <c:strCache>
                <c:ptCount val="1"/>
                <c:pt idx="0">
                  <c:v>Fabricación de productos de caucho y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Base!$BK$3:$BK$28</c:f>
              <c:numCache>
                <c:formatCode>_-* #,##0_-;\-* #,##0_-;_-* "-"??_-;_-@_-</c:formatCode>
                <c:ptCount val="26"/>
                <c:pt idx="0">
                  <c:v>46776</c:v>
                </c:pt>
                <c:pt idx="1">
                  <c:v>48018</c:v>
                </c:pt>
                <c:pt idx="2">
                  <c:v>52529</c:v>
                </c:pt>
                <c:pt idx="3">
                  <c:v>75270</c:v>
                </c:pt>
                <c:pt idx="4">
                  <c:v>105039</c:v>
                </c:pt>
                <c:pt idx="5">
                  <c:v>139253</c:v>
                </c:pt>
                <c:pt idx="6">
                  <c:v>171456</c:v>
                </c:pt>
                <c:pt idx="7">
                  <c:v>207886</c:v>
                </c:pt>
                <c:pt idx="8">
                  <c:v>247599</c:v>
                </c:pt>
                <c:pt idx="9">
                  <c:v>218829</c:v>
                </c:pt>
                <c:pt idx="10">
                  <c:v>282568</c:v>
                </c:pt>
                <c:pt idx="11">
                  <c:v>365086</c:v>
                </c:pt>
                <c:pt idx="12">
                  <c:v>378449</c:v>
                </c:pt>
                <c:pt idx="13">
                  <c:v>368970</c:v>
                </c:pt>
                <c:pt idx="14">
                  <c:v>355877</c:v>
                </c:pt>
                <c:pt idx="15">
                  <c:v>280313</c:v>
                </c:pt>
                <c:pt idx="16">
                  <c:v>207046</c:v>
                </c:pt>
                <c:pt idx="17">
                  <c:v>228371</c:v>
                </c:pt>
                <c:pt idx="18">
                  <c:v>249201</c:v>
                </c:pt>
                <c:pt idx="19">
                  <c:v>248399</c:v>
                </c:pt>
                <c:pt idx="20">
                  <c:v>220596</c:v>
                </c:pt>
                <c:pt idx="21">
                  <c:v>263312</c:v>
                </c:pt>
                <c:pt idx="22">
                  <c:v>313669</c:v>
                </c:pt>
                <c:pt idx="23">
                  <c:v>278247</c:v>
                </c:pt>
                <c:pt idx="24">
                  <c:v>271223</c:v>
                </c:pt>
                <c:pt idx="25">
                  <c:v>259361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31-4E77-A348-0AF1E2786936}"/>
            </c:ext>
          </c:extLst>
        </c:ser>
        <c:ser>
          <c:idx val="10"/>
          <c:order val="10"/>
          <c:tx>
            <c:strRef>
              <c:f>Base!$BL$2</c:f>
              <c:strCache>
                <c:ptCount val="1"/>
                <c:pt idx="0">
                  <c:v>Fabricación de metales comunes; Fabricación de otros productos minerales no metálicos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Base!$BL$3:$BL$28</c:f>
              <c:numCache>
                <c:formatCode>_-* #,##0_-;\-* #,##0_-;_-* "-"??_-;_-@_-</c:formatCode>
                <c:ptCount val="26"/>
                <c:pt idx="0">
                  <c:v>73515</c:v>
                </c:pt>
                <c:pt idx="1">
                  <c:v>70557</c:v>
                </c:pt>
                <c:pt idx="2">
                  <c:v>57370</c:v>
                </c:pt>
                <c:pt idx="3">
                  <c:v>63672</c:v>
                </c:pt>
                <c:pt idx="4">
                  <c:v>87966</c:v>
                </c:pt>
                <c:pt idx="5">
                  <c:v>111849</c:v>
                </c:pt>
                <c:pt idx="6">
                  <c:v>145040</c:v>
                </c:pt>
                <c:pt idx="7">
                  <c:v>194523</c:v>
                </c:pt>
                <c:pt idx="8">
                  <c:v>187281</c:v>
                </c:pt>
                <c:pt idx="9">
                  <c:v>147616</c:v>
                </c:pt>
                <c:pt idx="10">
                  <c:v>159192</c:v>
                </c:pt>
                <c:pt idx="11">
                  <c:v>200458</c:v>
                </c:pt>
                <c:pt idx="12">
                  <c:v>226082</c:v>
                </c:pt>
                <c:pt idx="13">
                  <c:v>203631</c:v>
                </c:pt>
                <c:pt idx="14">
                  <c:v>174898</c:v>
                </c:pt>
                <c:pt idx="15">
                  <c:v>151076</c:v>
                </c:pt>
                <c:pt idx="16">
                  <c:v>130304</c:v>
                </c:pt>
                <c:pt idx="17">
                  <c:v>171865</c:v>
                </c:pt>
                <c:pt idx="18">
                  <c:v>138606</c:v>
                </c:pt>
                <c:pt idx="19">
                  <c:v>109886</c:v>
                </c:pt>
                <c:pt idx="20">
                  <c:v>78823</c:v>
                </c:pt>
                <c:pt idx="21">
                  <c:v>110882</c:v>
                </c:pt>
                <c:pt idx="22">
                  <c:v>106438</c:v>
                </c:pt>
                <c:pt idx="23">
                  <c:v>77845</c:v>
                </c:pt>
                <c:pt idx="24">
                  <c:v>66133</c:v>
                </c:pt>
                <c:pt idx="25">
                  <c:v>84441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31-4E77-A348-0AF1E2786936}"/>
            </c:ext>
          </c:extLst>
        </c:ser>
        <c:ser>
          <c:idx val="11"/>
          <c:order val="11"/>
          <c:tx>
            <c:strRef>
              <c:f>Base!$BM$2</c:f>
              <c:strCache>
                <c:ptCount val="1"/>
                <c:pt idx="0">
                  <c:v>Fabricación de vehículos automotores, remolques y semirremolques; Fabricación de otros tipos de equipo de transporte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Base!$BM$3:$BM$28</c:f>
              <c:numCache>
                <c:formatCode>_-* #,##0_-;\-* #,##0_-;_-* "-"??_-;_-@_-</c:formatCode>
                <c:ptCount val="26"/>
                <c:pt idx="0">
                  <c:v>162671</c:v>
                </c:pt>
                <c:pt idx="1">
                  <c:v>112416</c:v>
                </c:pt>
                <c:pt idx="2">
                  <c:v>65300</c:v>
                </c:pt>
                <c:pt idx="3">
                  <c:v>37125</c:v>
                </c:pt>
                <c:pt idx="4">
                  <c:v>58329</c:v>
                </c:pt>
                <c:pt idx="5">
                  <c:v>70378</c:v>
                </c:pt>
                <c:pt idx="6">
                  <c:v>112037</c:v>
                </c:pt>
                <c:pt idx="7">
                  <c:v>124999</c:v>
                </c:pt>
                <c:pt idx="8">
                  <c:v>165588</c:v>
                </c:pt>
                <c:pt idx="9">
                  <c:v>133092</c:v>
                </c:pt>
                <c:pt idx="10">
                  <c:v>191930</c:v>
                </c:pt>
                <c:pt idx="11">
                  <c:v>309272</c:v>
                </c:pt>
                <c:pt idx="12">
                  <c:v>139826</c:v>
                </c:pt>
                <c:pt idx="13">
                  <c:v>291955</c:v>
                </c:pt>
                <c:pt idx="14">
                  <c:v>285894</c:v>
                </c:pt>
                <c:pt idx="15">
                  <c:v>245848</c:v>
                </c:pt>
                <c:pt idx="16">
                  <c:v>80779</c:v>
                </c:pt>
                <c:pt idx="17">
                  <c:v>123436</c:v>
                </c:pt>
                <c:pt idx="18">
                  <c:v>176437</c:v>
                </c:pt>
                <c:pt idx="19">
                  <c:v>160097</c:v>
                </c:pt>
                <c:pt idx="20">
                  <c:v>112687</c:v>
                </c:pt>
                <c:pt idx="21">
                  <c:v>194112</c:v>
                </c:pt>
                <c:pt idx="22">
                  <c:v>445403</c:v>
                </c:pt>
                <c:pt idx="23">
                  <c:v>426084</c:v>
                </c:pt>
                <c:pt idx="24">
                  <c:v>549434</c:v>
                </c:pt>
                <c:pt idx="25">
                  <c:v>430253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E31-4E77-A348-0AF1E2786936}"/>
            </c:ext>
          </c:extLst>
        </c:ser>
        <c:ser>
          <c:idx val="12"/>
          <c:order val="12"/>
          <c:tx>
            <c:strRef>
              <c:f>Base!$BN$2</c:f>
              <c:strCache>
                <c:ptCount val="1"/>
                <c:pt idx="0">
                  <c:v>INDUSTRIAS MANUFACTURERAS - Resto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Base!$BN$3:$BN$28</c:f>
              <c:numCache>
                <c:formatCode>_-* #,##0_-;\-* #,##0_-;_-* "-"??_-;_-@_-</c:formatCode>
                <c:ptCount val="26"/>
                <c:pt idx="0">
                  <c:v>64527</c:v>
                </c:pt>
                <c:pt idx="1">
                  <c:v>56012</c:v>
                </c:pt>
                <c:pt idx="2">
                  <c:v>44600</c:v>
                </c:pt>
                <c:pt idx="3">
                  <c:v>63828</c:v>
                </c:pt>
                <c:pt idx="4">
                  <c:v>74465</c:v>
                </c:pt>
                <c:pt idx="5">
                  <c:v>95373</c:v>
                </c:pt>
                <c:pt idx="6">
                  <c:v>79865</c:v>
                </c:pt>
                <c:pt idx="7">
                  <c:v>96715</c:v>
                </c:pt>
                <c:pt idx="8">
                  <c:v>110516</c:v>
                </c:pt>
                <c:pt idx="9">
                  <c:v>103362</c:v>
                </c:pt>
                <c:pt idx="10">
                  <c:v>158776</c:v>
                </c:pt>
                <c:pt idx="11">
                  <c:v>219213</c:v>
                </c:pt>
                <c:pt idx="12">
                  <c:v>268136</c:v>
                </c:pt>
                <c:pt idx="13">
                  <c:v>255893</c:v>
                </c:pt>
                <c:pt idx="14">
                  <c:v>245941</c:v>
                </c:pt>
                <c:pt idx="15">
                  <c:v>239683</c:v>
                </c:pt>
                <c:pt idx="16">
                  <c:v>214577</c:v>
                </c:pt>
                <c:pt idx="17">
                  <c:v>227774</c:v>
                </c:pt>
                <c:pt idx="18">
                  <c:v>228290</c:v>
                </c:pt>
                <c:pt idx="19">
                  <c:v>203688</c:v>
                </c:pt>
                <c:pt idx="20">
                  <c:v>158805</c:v>
                </c:pt>
                <c:pt idx="21">
                  <c:v>176450</c:v>
                </c:pt>
                <c:pt idx="22">
                  <c:v>194011</c:v>
                </c:pt>
                <c:pt idx="23">
                  <c:v>213627</c:v>
                </c:pt>
                <c:pt idx="24">
                  <c:v>216778</c:v>
                </c:pt>
                <c:pt idx="25">
                  <c:v>194880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E31-4E77-A348-0AF1E2786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1519280"/>
        <c:axId val="1101518032"/>
      </c:barChart>
      <c:catAx>
        <c:axId val="1101519280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01518032"/>
        <c:crosses val="autoZero"/>
        <c:auto val="1"/>
        <c:lblAlgn val="ctr"/>
        <c:lblOffset val="100"/>
        <c:noMultiLvlLbl val="0"/>
      </c:catAx>
      <c:valAx>
        <c:axId val="110151803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015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57844179348879965"/>
          <c:w val="0.9957161977645973"/>
          <c:h val="0.42155820651120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Participación</a:t>
            </a:r>
            <a:r>
              <a:rPr lang="es-AR" b="1" baseline="0"/>
              <a:t> de las exportaciones manufactureras y de alimentos </a:t>
            </a:r>
            <a:endParaRPr lang="es-A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Base!$BP$2</c:f>
              <c:strCache>
                <c:ptCount val="1"/>
                <c:pt idx="0">
                  <c:v>INDUSTRIAS MANUFACTURERAS / Total exportaciones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7A-46AB-B935-621EC7159670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47A-46AB-B935-621EC7159670}"/>
                </c:ext>
              </c:extLst>
            </c:dLbl>
            <c:dLbl>
              <c:idx val="25"/>
              <c:layout>
                <c:manualLayout>
                  <c:x val="-1.2376917210950902E-2"/>
                  <c:y val="5.6127719067261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7A-46AB-B935-621EC71596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Base!$BP$3:$BP$28</c:f>
              <c:numCache>
                <c:formatCode>0%</c:formatCode>
                <c:ptCount val="26"/>
                <c:pt idx="0">
                  <c:v>0.93906710858393894</c:v>
                </c:pt>
                <c:pt idx="1">
                  <c:v>0.9190485594136053</c:v>
                </c:pt>
                <c:pt idx="2">
                  <c:v>0.90985832092537655</c:v>
                </c:pt>
                <c:pt idx="3">
                  <c:v>0.87804276066265396</c:v>
                </c:pt>
                <c:pt idx="4">
                  <c:v>0.87658474140601861</c:v>
                </c:pt>
                <c:pt idx="5">
                  <c:v>0.89760229206465547</c:v>
                </c:pt>
                <c:pt idx="6">
                  <c:v>0.89218543902948921</c:v>
                </c:pt>
                <c:pt idx="7">
                  <c:v>0.84973786688011566</c:v>
                </c:pt>
                <c:pt idx="8">
                  <c:v>0.84494662982993984</c:v>
                </c:pt>
                <c:pt idx="9">
                  <c:v>0.77982494329538599</c:v>
                </c:pt>
                <c:pt idx="10">
                  <c:v>0.74205012579260798</c:v>
                </c:pt>
                <c:pt idx="11">
                  <c:v>0.77615814754534107</c:v>
                </c:pt>
                <c:pt idx="12">
                  <c:v>0.71153547720616217</c:v>
                </c:pt>
                <c:pt idx="13">
                  <c:v>0.67967797308583056</c:v>
                </c:pt>
                <c:pt idx="14">
                  <c:v>0.68586652809765358</c:v>
                </c:pt>
                <c:pt idx="15">
                  <c:v>0.70674884502539426</c:v>
                </c:pt>
                <c:pt idx="16">
                  <c:v>0.70835001672598852</c:v>
                </c:pt>
                <c:pt idx="17">
                  <c:v>0.67645981670137778</c:v>
                </c:pt>
                <c:pt idx="18">
                  <c:v>0.75291959832821143</c:v>
                </c:pt>
                <c:pt idx="19">
                  <c:v>0.7138483083965228</c:v>
                </c:pt>
                <c:pt idx="20">
                  <c:v>0.7121420941509532</c:v>
                </c:pt>
                <c:pt idx="21">
                  <c:v>0.6974975357307247</c:v>
                </c:pt>
                <c:pt idx="22">
                  <c:v>0.67600085268369137</c:v>
                </c:pt>
                <c:pt idx="23">
                  <c:v>0.75053095780645174</c:v>
                </c:pt>
                <c:pt idx="24">
                  <c:v>0.66760551401648571</c:v>
                </c:pt>
                <c:pt idx="25">
                  <c:v>0.67367971890552081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7A-46AB-B935-621EC7159670}"/>
            </c:ext>
          </c:extLst>
        </c:ser>
        <c:ser>
          <c:idx val="1"/>
          <c:order val="1"/>
          <c:tx>
            <c:strRef>
              <c:f>Base!$BR$2</c:f>
              <c:strCache>
                <c:ptCount val="1"/>
                <c:pt idx="0">
                  <c:v>Elaboración de productos alimenticios y bebidas / total manufactura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47A-46AB-B935-621EC7159670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47A-46AB-B935-621EC7159670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47A-46AB-B935-621EC71596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Base!$BR$3:$BR$28</c:f>
              <c:numCache>
                <c:formatCode>0%</c:formatCode>
                <c:ptCount val="26"/>
                <c:pt idx="0">
                  <c:v>0.44241580115245649</c:v>
                </c:pt>
                <c:pt idx="1">
                  <c:v>0.41114161422477508</c:v>
                </c:pt>
                <c:pt idx="2">
                  <c:v>0.45910894831333271</c:v>
                </c:pt>
                <c:pt idx="3">
                  <c:v>0.49121257899652937</c:v>
                </c:pt>
                <c:pt idx="4">
                  <c:v>0.50981714206260775</c:v>
                </c:pt>
                <c:pt idx="5">
                  <c:v>0.52707456522043472</c:v>
                </c:pt>
                <c:pt idx="6">
                  <c:v>0.53689001647835266</c:v>
                </c:pt>
                <c:pt idx="7">
                  <c:v>0.51803133063365925</c:v>
                </c:pt>
                <c:pt idx="8">
                  <c:v>0.56662082207551512</c:v>
                </c:pt>
                <c:pt idx="9">
                  <c:v>0.59924494082593849</c:v>
                </c:pt>
                <c:pt idx="10">
                  <c:v>0.56103594909959908</c:v>
                </c:pt>
                <c:pt idx="11">
                  <c:v>0.56452317868931745</c:v>
                </c:pt>
                <c:pt idx="12">
                  <c:v>0.58829979992053349</c:v>
                </c:pt>
                <c:pt idx="13">
                  <c:v>0.58033883974119349</c:v>
                </c:pt>
                <c:pt idx="14">
                  <c:v>0.58842240430611925</c:v>
                </c:pt>
                <c:pt idx="15">
                  <c:v>0.58001489810151363</c:v>
                </c:pt>
                <c:pt idx="16">
                  <c:v>0.62373736209527586</c:v>
                </c:pt>
                <c:pt idx="17">
                  <c:v>0.63157760598716839</c:v>
                </c:pt>
                <c:pt idx="18">
                  <c:v>0.63465723362188131</c:v>
                </c:pt>
                <c:pt idx="19">
                  <c:v>0.67273440603567425</c:v>
                </c:pt>
                <c:pt idx="20">
                  <c:v>0.71414566605675156</c:v>
                </c:pt>
                <c:pt idx="21">
                  <c:v>0.70937558968159642</c:v>
                </c:pt>
                <c:pt idx="22">
                  <c:v>0.68476342465309492</c:v>
                </c:pt>
                <c:pt idx="23">
                  <c:v>0.68778407723822843</c:v>
                </c:pt>
                <c:pt idx="24">
                  <c:v>0.66951966688473474</c:v>
                </c:pt>
                <c:pt idx="25">
                  <c:v>0.71470119446434976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7A-46AB-B935-621EC7159670}"/>
            </c:ext>
          </c:extLst>
        </c:ser>
        <c:ser>
          <c:idx val="2"/>
          <c:order val="2"/>
          <c:tx>
            <c:strRef>
              <c:f>Base!$BS$2</c:f>
              <c:strCache>
                <c:ptCount val="1"/>
                <c:pt idx="0">
                  <c:v>Fabricación de papel y de productos de papel / total manufactura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47A-46AB-B935-621EC7159670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47A-46AB-B935-621EC71596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Base!$BS$3:$BS$28</c:f>
              <c:numCache>
                <c:formatCode>0%</c:formatCode>
                <c:ptCount val="26"/>
                <c:pt idx="0">
                  <c:v>3.4873904682958826E-2</c:v>
                </c:pt>
                <c:pt idx="1">
                  <c:v>3.887475186890231E-2</c:v>
                </c:pt>
                <c:pt idx="2">
                  <c:v>3.3367192667485591E-2</c:v>
                </c:pt>
                <c:pt idx="3">
                  <c:v>2.6458454001880495E-2</c:v>
                </c:pt>
                <c:pt idx="4">
                  <c:v>2.1981713817870681E-2</c:v>
                </c:pt>
                <c:pt idx="5">
                  <c:v>2.2266977785114044E-2</c:v>
                </c:pt>
                <c:pt idx="6">
                  <c:v>2.0298577073877246E-2</c:v>
                </c:pt>
                <c:pt idx="7">
                  <c:v>1.6701856210444326E-2</c:v>
                </c:pt>
                <c:pt idx="8">
                  <c:v>1.690918488582506E-2</c:v>
                </c:pt>
                <c:pt idx="9">
                  <c:v>2.7780881941572598E-2</c:v>
                </c:pt>
                <c:pt idx="10">
                  <c:v>2.1586615216329107E-2</c:v>
                </c:pt>
                <c:pt idx="11">
                  <c:v>1.9541523294309998E-2</c:v>
                </c:pt>
                <c:pt idx="12">
                  <c:v>1.8769695974930483E-2</c:v>
                </c:pt>
                <c:pt idx="13">
                  <c:v>1.7000668186756416E-2</c:v>
                </c:pt>
                <c:pt idx="14">
                  <c:v>1.6026236118383278E-2</c:v>
                </c:pt>
                <c:pt idx="15">
                  <c:v>1.7868150513159899E-2</c:v>
                </c:pt>
                <c:pt idx="16">
                  <c:v>1.2512074399346864E-2</c:v>
                </c:pt>
                <c:pt idx="17">
                  <c:v>8.8484115698551705E-3</c:v>
                </c:pt>
                <c:pt idx="18">
                  <c:v>7.0400841850030592E-3</c:v>
                </c:pt>
                <c:pt idx="19">
                  <c:v>7.9400255572080556E-3</c:v>
                </c:pt>
                <c:pt idx="20">
                  <c:v>6.3713761059484729E-3</c:v>
                </c:pt>
                <c:pt idx="21">
                  <c:v>5.0151597506177797E-3</c:v>
                </c:pt>
                <c:pt idx="22">
                  <c:v>5.7921459669989612E-3</c:v>
                </c:pt>
                <c:pt idx="23">
                  <c:v>5.8578093937378256E-3</c:v>
                </c:pt>
                <c:pt idx="24">
                  <c:v>5.3705223611306306E-3</c:v>
                </c:pt>
                <c:pt idx="25">
                  <c:v>5.081583951325323E-3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47A-46AB-B935-621EC7159670}"/>
            </c:ext>
          </c:extLst>
        </c:ser>
        <c:ser>
          <c:idx val="4"/>
          <c:order val="3"/>
          <c:tx>
            <c:strRef>
              <c:f>Base!$BT$2</c:f>
              <c:strCache>
                <c:ptCount val="1"/>
                <c:pt idx="0">
                  <c:v>Carne / manufactura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layout>
                <c:manualLayout>
                  <c:x val="-1.0057046231575334E-2"/>
                  <c:y val="2.7834477910497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47A-46AB-B935-621EC71596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Base!$BT$3:$BT$28</c:f>
              <c:numCache>
                <c:formatCode>0%</c:formatCode>
                <c:ptCount val="26"/>
                <c:pt idx="0">
                  <c:v>0.22318586633373685</c:v>
                </c:pt>
                <c:pt idx="1">
                  <c:v>0.15892163280821051</c:v>
                </c:pt>
                <c:pt idx="2">
                  <c:v>0.20007027780402534</c:v>
                </c:pt>
                <c:pt idx="3">
                  <c:v>0.2393257656209786</c:v>
                </c:pt>
                <c:pt idx="4">
                  <c:v>0.28527446168162812</c:v>
                </c:pt>
                <c:pt idx="5">
                  <c:v>0.29441585362717032</c:v>
                </c:pt>
                <c:pt idx="6">
                  <c:v>0.31878040522980489</c:v>
                </c:pt>
                <c:pt idx="7">
                  <c:v>0.26440194491153984</c:v>
                </c:pt>
                <c:pt idx="8">
                  <c:v>0.29630750201420752</c:v>
                </c:pt>
                <c:pt idx="9">
                  <c:v>0.29104442022801252</c:v>
                </c:pt>
                <c:pt idx="10">
                  <c:v>0.28233853728886865</c:v>
                </c:pt>
                <c:pt idx="11">
                  <c:v>0.27316639444239077</c:v>
                </c:pt>
                <c:pt idx="12">
                  <c:v>0.28975146012399211</c:v>
                </c:pt>
                <c:pt idx="13">
                  <c:v>0.27424657161188626</c:v>
                </c:pt>
                <c:pt idx="14">
                  <c:v>0.29601721836751027</c:v>
                </c:pt>
                <c:pt idx="15">
                  <c:v>0.32272851348274506</c:v>
                </c:pt>
                <c:pt idx="16">
                  <c:v>0.34959562914260389</c:v>
                </c:pt>
                <c:pt idx="17">
                  <c:v>0.34860721425610525</c:v>
                </c:pt>
                <c:pt idx="18">
                  <c:v>0.35819787582995311</c:v>
                </c:pt>
                <c:pt idx="19">
                  <c:v>0.40037467611181699</c:v>
                </c:pt>
                <c:pt idx="20">
                  <c:v>0.39822246298775477</c:v>
                </c:pt>
                <c:pt idx="21">
                  <c:v>0.46014553059878949</c:v>
                </c:pt>
                <c:pt idx="22">
                  <c:v>0.42026503740377896</c:v>
                </c:pt>
                <c:pt idx="23">
                  <c:v>0.38044200333728662</c:v>
                </c:pt>
                <c:pt idx="24">
                  <c:v>0.37290674391281875</c:v>
                </c:pt>
                <c:pt idx="25">
                  <c:v>0.43325308943002189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F47A-46AB-B935-621EC7159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6550496"/>
        <c:axId val="946550912"/>
      </c:lineChart>
      <c:catAx>
        <c:axId val="946550496"/>
        <c:scaling>
          <c:orientation val="minMax"/>
        </c:scaling>
        <c:delete val="0"/>
        <c:axPos val="b"/>
        <c:numFmt formatCode="_(* #,##0_);_(* \(#,##0\);_(* &quot;-&quot;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46550912"/>
        <c:crosses val="autoZero"/>
        <c:auto val="1"/>
        <c:lblAlgn val="ctr"/>
        <c:lblOffset val="100"/>
        <c:noMultiLvlLbl val="0"/>
      </c:catAx>
      <c:valAx>
        <c:axId val="946550912"/>
        <c:scaling>
          <c:orientation val="minMax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4655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Exportaciones primarias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Base!$AR$2</c:f>
              <c:strCache>
                <c:ptCount val="1"/>
                <c:pt idx="0">
                  <c:v>Cultivos en general; horticultura; servicios agrícolas aplicados a estos cultivos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Base!$AR$3:$AR$28</c:f>
              <c:numCache>
                <c:formatCode>_-* #,##0_-;\-* #,##0_-;_-* "-"??_-;_-@_-</c:formatCode>
                <c:ptCount val="26"/>
                <c:pt idx="0">
                  <c:v>41866</c:v>
                </c:pt>
                <c:pt idx="1">
                  <c:v>72156</c:v>
                </c:pt>
                <c:pt idx="2">
                  <c:v>88817</c:v>
                </c:pt>
                <c:pt idx="3">
                  <c:v>171102</c:v>
                </c:pt>
                <c:pt idx="4">
                  <c:v>219104</c:v>
                </c:pt>
                <c:pt idx="5">
                  <c:v>224514</c:v>
                </c:pt>
                <c:pt idx="6">
                  <c:v>246951</c:v>
                </c:pt>
                <c:pt idx="7">
                  <c:v>376553</c:v>
                </c:pt>
                <c:pt idx="8">
                  <c:v>599442</c:v>
                </c:pt>
                <c:pt idx="9">
                  <c:v>826931</c:v>
                </c:pt>
                <c:pt idx="10">
                  <c:v>1188195</c:v>
                </c:pt>
                <c:pt idx="11">
                  <c:v>1236031</c:v>
                </c:pt>
                <c:pt idx="12">
                  <c:v>2059739</c:v>
                </c:pt>
                <c:pt idx="13">
                  <c:v>2403144</c:v>
                </c:pt>
                <c:pt idx="14">
                  <c:v>2125413</c:v>
                </c:pt>
                <c:pt idx="15">
                  <c:v>1402687</c:v>
                </c:pt>
                <c:pt idx="16">
                  <c:v>1141631</c:v>
                </c:pt>
                <c:pt idx="17">
                  <c:v>1409650</c:v>
                </c:pt>
                <c:pt idx="18">
                  <c:v>670474</c:v>
                </c:pt>
                <c:pt idx="19">
                  <c:v>1272870</c:v>
                </c:pt>
                <c:pt idx="20">
                  <c:v>1043220</c:v>
                </c:pt>
                <c:pt idx="21">
                  <c:v>1330372</c:v>
                </c:pt>
                <c:pt idx="22">
                  <c:v>2605519</c:v>
                </c:pt>
                <c:pt idx="23">
                  <c:v>1109745</c:v>
                </c:pt>
                <c:pt idx="24">
                  <c:v>1821624</c:v>
                </c:pt>
                <c:pt idx="25">
                  <c:v>2021950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18-4920-8AFF-EB1975514B65}"/>
            </c:ext>
          </c:extLst>
        </c:ser>
        <c:ser>
          <c:idx val="1"/>
          <c:order val="1"/>
          <c:tx>
            <c:strRef>
              <c:f>Base!$AS$2</c:f>
              <c:strCache>
                <c:ptCount val="1"/>
                <c:pt idx="0">
                  <c:v>Cría de animales; caza ordinaria y servicios conexos; producción de pieles finas mediante actividades de caza ordinaria y con trampas; servicios ganaderos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Base!$AS$3:$AS$28</c:f>
              <c:numCache>
                <c:formatCode>_-* #,##0_-;\-* #,##0_-;_-* "-"??_-;_-@_-</c:formatCode>
                <c:ptCount val="26"/>
                <c:pt idx="0">
                  <c:v>36721</c:v>
                </c:pt>
                <c:pt idx="1">
                  <c:v>31569</c:v>
                </c:pt>
                <c:pt idx="2">
                  <c:v>22575</c:v>
                </c:pt>
                <c:pt idx="3">
                  <c:v>40227</c:v>
                </c:pt>
                <c:pt idx="4">
                  <c:v>76389</c:v>
                </c:pt>
                <c:pt idx="5">
                  <c:v>45623</c:v>
                </c:pt>
                <c:pt idx="6">
                  <c:v>91480</c:v>
                </c:pt>
                <c:pt idx="7">
                  <c:v>107744</c:v>
                </c:pt>
                <c:pt idx="8">
                  <c:v>132712</c:v>
                </c:pt>
                <c:pt idx="9">
                  <c:v>149136</c:v>
                </c:pt>
                <c:pt idx="10">
                  <c:v>207795</c:v>
                </c:pt>
                <c:pt idx="11">
                  <c:v>255453</c:v>
                </c:pt>
                <c:pt idx="12">
                  <c:v>163716</c:v>
                </c:pt>
                <c:pt idx="13">
                  <c:v>145601</c:v>
                </c:pt>
                <c:pt idx="14">
                  <c:v>250904</c:v>
                </c:pt>
                <c:pt idx="15">
                  <c:v>251546</c:v>
                </c:pt>
                <c:pt idx="16">
                  <c:v>266491</c:v>
                </c:pt>
                <c:pt idx="17">
                  <c:v>291050</c:v>
                </c:pt>
                <c:pt idx="18">
                  <c:v>342185</c:v>
                </c:pt>
                <c:pt idx="19">
                  <c:v>154797</c:v>
                </c:pt>
                <c:pt idx="20">
                  <c:v>160488</c:v>
                </c:pt>
                <c:pt idx="21">
                  <c:v>300426</c:v>
                </c:pt>
                <c:pt idx="22">
                  <c:v>144046</c:v>
                </c:pt>
                <c:pt idx="23">
                  <c:v>295850</c:v>
                </c:pt>
                <c:pt idx="24">
                  <c:v>386341</c:v>
                </c:pt>
                <c:pt idx="25">
                  <c:v>483040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18-4920-8AFF-EB1975514B65}"/>
            </c:ext>
          </c:extLst>
        </c:ser>
        <c:ser>
          <c:idx val="2"/>
          <c:order val="2"/>
          <c:tx>
            <c:strRef>
              <c:f>Base!$AT$2</c:f>
              <c:strCache>
                <c:ptCount val="1"/>
                <c:pt idx="0">
                  <c:v>Silvicultura, extracción de madera y actividades de servicios conexas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Base!$AT$3:$AT$28</c:f>
              <c:numCache>
                <c:formatCode>_-* #,##0_-;\-* #,##0_-;_-* "-"??_-;_-@_-</c:formatCode>
                <c:ptCount val="26"/>
                <c:pt idx="0">
                  <c:v>39733</c:v>
                </c:pt>
                <c:pt idx="1">
                  <c:v>40360</c:v>
                </c:pt>
                <c:pt idx="2">
                  <c:v>42553</c:v>
                </c:pt>
                <c:pt idx="3">
                  <c:v>47537</c:v>
                </c:pt>
                <c:pt idx="4">
                  <c:v>55537</c:v>
                </c:pt>
                <c:pt idx="5">
                  <c:v>56384</c:v>
                </c:pt>
                <c:pt idx="6">
                  <c:v>74569</c:v>
                </c:pt>
                <c:pt idx="7">
                  <c:v>113226</c:v>
                </c:pt>
                <c:pt idx="8">
                  <c:v>177790</c:v>
                </c:pt>
                <c:pt idx="9">
                  <c:v>197544</c:v>
                </c:pt>
                <c:pt idx="10">
                  <c:v>249555</c:v>
                </c:pt>
                <c:pt idx="11">
                  <c:v>256007</c:v>
                </c:pt>
                <c:pt idx="12">
                  <c:v>271577</c:v>
                </c:pt>
                <c:pt idx="13">
                  <c:v>310396</c:v>
                </c:pt>
                <c:pt idx="14">
                  <c:v>439209</c:v>
                </c:pt>
                <c:pt idx="15">
                  <c:v>573466</c:v>
                </c:pt>
                <c:pt idx="16">
                  <c:v>568795</c:v>
                </c:pt>
                <c:pt idx="17">
                  <c:v>695623</c:v>
                </c:pt>
                <c:pt idx="18">
                  <c:v>757764</c:v>
                </c:pt>
                <c:pt idx="19">
                  <c:v>672625</c:v>
                </c:pt>
                <c:pt idx="20">
                  <c:v>678548</c:v>
                </c:pt>
                <c:pt idx="21">
                  <c:v>701917</c:v>
                </c:pt>
                <c:pt idx="22">
                  <c:v>674305</c:v>
                </c:pt>
                <c:pt idx="23">
                  <c:v>825247</c:v>
                </c:pt>
                <c:pt idx="24">
                  <c:v>986231</c:v>
                </c:pt>
                <c:pt idx="25">
                  <c:v>1018698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18-4920-8AFF-EB1975514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2487552"/>
        <c:axId val="1222481728"/>
      </c:lineChart>
      <c:catAx>
        <c:axId val="1222487552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2481728"/>
        <c:crosses val="autoZero"/>
        <c:auto val="1"/>
        <c:lblAlgn val="ctr"/>
        <c:lblOffset val="100"/>
        <c:noMultiLvlLbl val="0"/>
      </c:catAx>
      <c:valAx>
        <c:axId val="1222481728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248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254488941746306E-3"/>
          <c:y val="0.68737323394219152"/>
          <c:w val="0.98434890458932378"/>
          <c:h val="0.285392725937992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Exportaciones de manufactura de 15. Elaboración de productos alimenticios y bebidas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Base!$AW$2</c:f>
              <c:strCache>
                <c:ptCount val="1"/>
                <c:pt idx="0">
                  <c:v>Producción, procesamiento y conservación de carne y productos cárnicos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Base!$AW$3:$AW$28</c:f>
              <c:numCache>
                <c:formatCode>_-* #,##0_-;\-* #,##0_-;_-* "-"??_-;_-@_-</c:formatCode>
                <c:ptCount val="26"/>
                <c:pt idx="0">
                  <c:v>482487</c:v>
                </c:pt>
                <c:pt idx="1">
                  <c:v>301023</c:v>
                </c:pt>
                <c:pt idx="2">
                  <c:v>338775</c:v>
                </c:pt>
                <c:pt idx="3">
                  <c:v>464017</c:v>
                </c:pt>
                <c:pt idx="4">
                  <c:v>734505</c:v>
                </c:pt>
                <c:pt idx="5">
                  <c:v>904298</c:v>
                </c:pt>
                <c:pt idx="6">
                  <c:v>1134608</c:v>
                </c:pt>
                <c:pt idx="7">
                  <c:v>1014969</c:v>
                </c:pt>
                <c:pt idx="8">
                  <c:v>1487637</c:v>
                </c:pt>
                <c:pt idx="9">
                  <c:v>1226685</c:v>
                </c:pt>
                <c:pt idx="10">
                  <c:v>1408775</c:v>
                </c:pt>
                <c:pt idx="11">
                  <c:v>1677452</c:v>
                </c:pt>
                <c:pt idx="12">
                  <c:v>1804145</c:v>
                </c:pt>
                <c:pt idx="13">
                  <c:v>1691809</c:v>
                </c:pt>
                <c:pt idx="14">
                  <c:v>1860581</c:v>
                </c:pt>
                <c:pt idx="15">
                  <c:v>1753354</c:v>
                </c:pt>
                <c:pt idx="16">
                  <c:v>1744084</c:v>
                </c:pt>
                <c:pt idx="17">
                  <c:v>1860242</c:v>
                </c:pt>
                <c:pt idx="18">
                  <c:v>2023285</c:v>
                </c:pt>
                <c:pt idx="19">
                  <c:v>2195095</c:v>
                </c:pt>
                <c:pt idx="20">
                  <c:v>1946556</c:v>
                </c:pt>
                <c:pt idx="21">
                  <c:v>3060352</c:v>
                </c:pt>
                <c:pt idx="22">
                  <c:v>3177231</c:v>
                </c:pt>
                <c:pt idx="23">
                  <c:v>2632656</c:v>
                </c:pt>
                <c:pt idx="24">
                  <c:v>2552531</c:v>
                </c:pt>
                <c:pt idx="25">
                  <c:v>3270297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BB-430C-8A3C-EAD2424B75E0}"/>
            </c:ext>
          </c:extLst>
        </c:ser>
        <c:ser>
          <c:idx val="1"/>
          <c:order val="1"/>
          <c:tx>
            <c:strRef>
              <c:f>Base!$AX$2</c:f>
              <c:strCache>
                <c:ptCount val="1"/>
                <c:pt idx="0">
                  <c:v>Elaboración y conservación de pescado y productos de pescado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Base!$AX$3:$AX$28</c:f>
              <c:numCache>
                <c:formatCode>_-* #,##0_-;\-* #,##0_-;_-* "-"??_-;_-@_-</c:formatCode>
                <c:ptCount val="26"/>
                <c:pt idx="0">
                  <c:v>102258</c:v>
                </c:pt>
                <c:pt idx="1">
                  <c:v>89208</c:v>
                </c:pt>
                <c:pt idx="2">
                  <c:v>98874</c:v>
                </c:pt>
                <c:pt idx="3">
                  <c:v>105883</c:v>
                </c:pt>
                <c:pt idx="4">
                  <c:v>126510</c:v>
                </c:pt>
                <c:pt idx="5">
                  <c:v>137808</c:v>
                </c:pt>
                <c:pt idx="6">
                  <c:v>160679</c:v>
                </c:pt>
                <c:pt idx="7">
                  <c:v>189257</c:v>
                </c:pt>
                <c:pt idx="8">
                  <c:v>202141</c:v>
                </c:pt>
                <c:pt idx="9">
                  <c:v>175320</c:v>
                </c:pt>
                <c:pt idx="10">
                  <c:v>188899</c:v>
                </c:pt>
                <c:pt idx="11">
                  <c:v>235148</c:v>
                </c:pt>
                <c:pt idx="12">
                  <c:v>189354</c:v>
                </c:pt>
                <c:pt idx="13">
                  <c:v>142756</c:v>
                </c:pt>
                <c:pt idx="14">
                  <c:v>154455</c:v>
                </c:pt>
                <c:pt idx="15">
                  <c:v>114051</c:v>
                </c:pt>
                <c:pt idx="16">
                  <c:v>90215</c:v>
                </c:pt>
                <c:pt idx="17">
                  <c:v>102376</c:v>
                </c:pt>
                <c:pt idx="18">
                  <c:v>116551</c:v>
                </c:pt>
                <c:pt idx="19">
                  <c:v>117625</c:v>
                </c:pt>
                <c:pt idx="20">
                  <c:v>96893</c:v>
                </c:pt>
                <c:pt idx="21">
                  <c:v>101014</c:v>
                </c:pt>
                <c:pt idx="22">
                  <c:v>131130</c:v>
                </c:pt>
                <c:pt idx="23">
                  <c:v>132587</c:v>
                </c:pt>
                <c:pt idx="24">
                  <c:v>96624</c:v>
                </c:pt>
                <c:pt idx="25">
                  <c:v>109526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B-430C-8A3C-EAD2424B75E0}"/>
            </c:ext>
          </c:extLst>
        </c:ser>
        <c:ser>
          <c:idx val="2"/>
          <c:order val="2"/>
          <c:tx>
            <c:strRef>
              <c:f>Base!$AY$2</c:f>
              <c:strCache>
                <c:ptCount val="1"/>
                <c:pt idx="0">
                  <c:v>Elaboración de productos lácteos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Base!$AY$3:$AY$28</c:f>
              <c:numCache>
                <c:formatCode>_-* #,##0_-;\-* #,##0_-;_-* "-"??_-;_-@_-</c:formatCode>
                <c:ptCount val="26"/>
                <c:pt idx="0">
                  <c:v>129412</c:v>
                </c:pt>
                <c:pt idx="1">
                  <c:v>130011</c:v>
                </c:pt>
                <c:pt idx="2">
                  <c:v>126391</c:v>
                </c:pt>
                <c:pt idx="3">
                  <c:v>135638</c:v>
                </c:pt>
                <c:pt idx="4">
                  <c:v>174681</c:v>
                </c:pt>
                <c:pt idx="5">
                  <c:v>246135</c:v>
                </c:pt>
                <c:pt idx="6">
                  <c:v>257017</c:v>
                </c:pt>
                <c:pt idx="7">
                  <c:v>335821</c:v>
                </c:pt>
                <c:pt idx="8">
                  <c:v>431467</c:v>
                </c:pt>
                <c:pt idx="9">
                  <c:v>370626</c:v>
                </c:pt>
                <c:pt idx="10">
                  <c:v>520587</c:v>
                </c:pt>
                <c:pt idx="11">
                  <c:v>691951</c:v>
                </c:pt>
                <c:pt idx="12">
                  <c:v>787916</c:v>
                </c:pt>
                <c:pt idx="13">
                  <c:v>893909</c:v>
                </c:pt>
                <c:pt idx="14">
                  <c:v>814446</c:v>
                </c:pt>
                <c:pt idx="15">
                  <c:v>622958</c:v>
                </c:pt>
                <c:pt idx="16">
                  <c:v>564340</c:v>
                </c:pt>
                <c:pt idx="17">
                  <c:v>590894</c:v>
                </c:pt>
                <c:pt idx="18">
                  <c:v>674218</c:v>
                </c:pt>
                <c:pt idx="19">
                  <c:v>650180</c:v>
                </c:pt>
                <c:pt idx="20">
                  <c:v>640221</c:v>
                </c:pt>
                <c:pt idx="21">
                  <c:v>734461</c:v>
                </c:pt>
                <c:pt idx="22">
                  <c:v>858995</c:v>
                </c:pt>
                <c:pt idx="23">
                  <c:v>804940</c:v>
                </c:pt>
                <c:pt idx="24">
                  <c:v>795333</c:v>
                </c:pt>
                <c:pt idx="25">
                  <c:v>914700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B-430C-8A3C-EAD2424B75E0}"/>
            </c:ext>
          </c:extLst>
        </c:ser>
        <c:ser>
          <c:idx val="3"/>
          <c:order val="3"/>
          <c:tx>
            <c:strRef>
              <c:f>Base!$AZ$2</c:f>
              <c:strCache>
                <c:ptCount val="1"/>
                <c:pt idx="0">
                  <c:v>Elaboración de arroz y productos derivados del arroz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Base!$AZ$3:$AZ$28</c:f>
              <c:numCache>
                <c:formatCode>_-* #,##0_-;\-* #,##0_-;_-* "-"??_-;_-@_-</c:formatCode>
                <c:ptCount val="26"/>
                <c:pt idx="0">
                  <c:v>166527</c:v>
                </c:pt>
                <c:pt idx="1">
                  <c:v>163703</c:v>
                </c:pt>
                <c:pt idx="2">
                  <c:v>129809</c:v>
                </c:pt>
                <c:pt idx="3">
                  <c:v>159951</c:v>
                </c:pt>
                <c:pt idx="4">
                  <c:v>162890</c:v>
                </c:pt>
                <c:pt idx="5">
                  <c:v>199144</c:v>
                </c:pt>
                <c:pt idx="6">
                  <c:v>217511</c:v>
                </c:pt>
                <c:pt idx="7">
                  <c:v>278692</c:v>
                </c:pt>
                <c:pt idx="8">
                  <c:v>441087</c:v>
                </c:pt>
                <c:pt idx="9">
                  <c:v>451776</c:v>
                </c:pt>
                <c:pt idx="10">
                  <c:v>380045</c:v>
                </c:pt>
                <c:pt idx="11">
                  <c:v>469215</c:v>
                </c:pt>
                <c:pt idx="12">
                  <c:v>521554</c:v>
                </c:pt>
                <c:pt idx="13">
                  <c:v>482747</c:v>
                </c:pt>
                <c:pt idx="14">
                  <c:v>498307</c:v>
                </c:pt>
                <c:pt idx="15">
                  <c:v>343571</c:v>
                </c:pt>
                <c:pt idx="16">
                  <c:v>388874</c:v>
                </c:pt>
                <c:pt idx="17">
                  <c:v>447212</c:v>
                </c:pt>
                <c:pt idx="18">
                  <c:v>378304</c:v>
                </c:pt>
                <c:pt idx="19">
                  <c:v>312901</c:v>
                </c:pt>
                <c:pt idx="20">
                  <c:v>411814</c:v>
                </c:pt>
                <c:pt idx="21">
                  <c:v>337481</c:v>
                </c:pt>
                <c:pt idx="22">
                  <c:v>402498</c:v>
                </c:pt>
                <c:pt idx="23">
                  <c:v>482611</c:v>
                </c:pt>
                <c:pt idx="24">
                  <c:v>491198</c:v>
                </c:pt>
                <c:pt idx="25">
                  <c:v>408620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B-430C-8A3C-EAD2424B75E0}"/>
            </c:ext>
          </c:extLst>
        </c:ser>
        <c:ser>
          <c:idx val="4"/>
          <c:order val="4"/>
          <c:tx>
            <c:strRef>
              <c:f>Base!$BA$2</c:f>
              <c:strCache>
                <c:ptCount val="1"/>
                <c:pt idx="0">
                  <c:v>Elaboración de bebidas malteadas y de malta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Base!$BA$3:$BA$28</c:f>
              <c:numCache>
                <c:formatCode>_-* #,##0_-;\-* #,##0_-;_-* "-"??_-;_-@_-</c:formatCode>
                <c:ptCount val="26"/>
                <c:pt idx="0">
                  <c:v>45519</c:v>
                </c:pt>
                <c:pt idx="1">
                  <c:v>55058</c:v>
                </c:pt>
                <c:pt idx="2">
                  <c:v>49365</c:v>
                </c:pt>
                <c:pt idx="3">
                  <c:v>53825</c:v>
                </c:pt>
                <c:pt idx="4">
                  <c:v>73326</c:v>
                </c:pt>
                <c:pt idx="5">
                  <c:v>74566</c:v>
                </c:pt>
                <c:pt idx="6">
                  <c:v>81144</c:v>
                </c:pt>
                <c:pt idx="7">
                  <c:v>89878</c:v>
                </c:pt>
                <c:pt idx="8">
                  <c:v>175339</c:v>
                </c:pt>
                <c:pt idx="9">
                  <c:v>176437</c:v>
                </c:pt>
                <c:pt idx="10">
                  <c:v>151564</c:v>
                </c:pt>
                <c:pt idx="11">
                  <c:v>213026</c:v>
                </c:pt>
                <c:pt idx="12">
                  <c:v>208083</c:v>
                </c:pt>
                <c:pt idx="13">
                  <c:v>213028</c:v>
                </c:pt>
                <c:pt idx="14">
                  <c:v>194171</c:v>
                </c:pt>
                <c:pt idx="15">
                  <c:v>139657</c:v>
                </c:pt>
                <c:pt idx="16">
                  <c:v>164585</c:v>
                </c:pt>
                <c:pt idx="17">
                  <c:v>188997</c:v>
                </c:pt>
                <c:pt idx="18">
                  <c:v>197452</c:v>
                </c:pt>
                <c:pt idx="19">
                  <c:v>222266</c:v>
                </c:pt>
                <c:pt idx="20">
                  <c:v>189035</c:v>
                </c:pt>
                <c:pt idx="21">
                  <c:v>225163</c:v>
                </c:pt>
                <c:pt idx="22">
                  <c:v>285735</c:v>
                </c:pt>
                <c:pt idx="23">
                  <c:v>337562</c:v>
                </c:pt>
                <c:pt idx="24">
                  <c:v>287173</c:v>
                </c:pt>
                <c:pt idx="25">
                  <c:v>251100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BB-430C-8A3C-EAD2424B75E0}"/>
            </c:ext>
          </c:extLst>
        </c:ser>
        <c:ser>
          <c:idx val="5"/>
          <c:order val="5"/>
          <c:tx>
            <c:strRef>
              <c:f>Base!$BB$2</c:f>
              <c:strCache>
                <c:ptCount val="1"/>
                <c:pt idx="0">
                  <c:v>Elaboración de productos alimenticios y bebidas - Resto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Base!$BB$3:$BB$28</c:f>
              <c:numCache>
                <c:formatCode>_-* #,##0_-;\-* #,##0_-;_-* "-"??_-;_-@_-</c:formatCode>
                <c:ptCount val="26"/>
                <c:pt idx="0">
                  <c:v>30217</c:v>
                </c:pt>
                <c:pt idx="1">
                  <c:v>39760</c:v>
                </c:pt>
                <c:pt idx="2">
                  <c:v>34186</c:v>
                </c:pt>
                <c:pt idx="3">
                  <c:v>33078</c:v>
                </c:pt>
                <c:pt idx="4">
                  <c:v>40730</c:v>
                </c:pt>
                <c:pt idx="5">
                  <c:v>56962</c:v>
                </c:pt>
                <c:pt idx="6">
                  <c:v>59945</c:v>
                </c:pt>
                <c:pt idx="7">
                  <c:v>79970</c:v>
                </c:pt>
                <c:pt idx="8">
                  <c:v>107095</c:v>
                </c:pt>
                <c:pt idx="9">
                  <c:v>124840</c:v>
                </c:pt>
                <c:pt idx="10">
                  <c:v>149506</c:v>
                </c:pt>
                <c:pt idx="11">
                  <c:v>179811</c:v>
                </c:pt>
                <c:pt idx="12">
                  <c:v>152013</c:v>
                </c:pt>
                <c:pt idx="13">
                  <c:v>155821</c:v>
                </c:pt>
                <c:pt idx="14">
                  <c:v>176498</c:v>
                </c:pt>
                <c:pt idx="15">
                  <c:v>177578</c:v>
                </c:pt>
                <c:pt idx="16">
                  <c:v>159643</c:v>
                </c:pt>
                <c:pt idx="17">
                  <c:v>180511</c:v>
                </c:pt>
                <c:pt idx="18">
                  <c:v>195055</c:v>
                </c:pt>
                <c:pt idx="19">
                  <c:v>190272</c:v>
                </c:pt>
                <c:pt idx="20">
                  <c:v>206308</c:v>
                </c:pt>
                <c:pt idx="21">
                  <c:v>259465</c:v>
                </c:pt>
                <c:pt idx="22">
                  <c:v>321268</c:v>
                </c:pt>
                <c:pt idx="23">
                  <c:v>369107</c:v>
                </c:pt>
                <c:pt idx="24">
                  <c:v>359973</c:v>
                </c:pt>
                <c:pt idx="25">
                  <c:v>440492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BB-430C-8A3C-EAD2424B7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352496"/>
        <c:axId val="1295357904"/>
      </c:lineChart>
      <c:catAx>
        <c:axId val="1295352496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95357904"/>
        <c:crosses val="autoZero"/>
        <c:auto val="1"/>
        <c:lblAlgn val="ctr"/>
        <c:lblOffset val="100"/>
        <c:noMultiLvlLbl val="0"/>
      </c:catAx>
      <c:valAx>
        <c:axId val="129535790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9535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982369707861107E-2"/>
          <c:y val="0.63311987697738825"/>
          <c:w val="0.97901754526897422"/>
          <c:h val="0.363854898962773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Composición de las exportaciones industriales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8.5301315524243679E-2"/>
          <c:y val="8.9306241064266378E-2"/>
          <c:w val="0.89775524258230188"/>
          <c:h val="0.401318734723289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Base!$AV$2</c:f>
              <c:strCache>
                <c:ptCount val="1"/>
                <c:pt idx="0">
                  <c:v>Elaboración de productos alimenticios y bebidas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Base!$AV$3:$AV$28</c:f>
              <c:numCache>
                <c:formatCode>_-* #,##0_-;\-* #,##0_-;_-* "-"??_-;_-@_-</c:formatCode>
                <c:ptCount val="26"/>
                <c:pt idx="0">
                  <c:v>956422</c:v>
                </c:pt>
                <c:pt idx="1">
                  <c:v>778768</c:v>
                </c:pt>
                <c:pt idx="2">
                  <c:v>777400</c:v>
                </c:pt>
                <c:pt idx="3">
                  <c:v>952388</c:v>
                </c:pt>
                <c:pt idx="4">
                  <c:v>1312642</c:v>
                </c:pt>
                <c:pt idx="5">
                  <c:v>1618909</c:v>
                </c:pt>
                <c:pt idx="6">
                  <c:v>1910907</c:v>
                </c:pt>
                <c:pt idx="7">
                  <c:v>1988585</c:v>
                </c:pt>
                <c:pt idx="8">
                  <c:v>2844768</c:v>
                </c:pt>
                <c:pt idx="9">
                  <c:v>2525679</c:v>
                </c:pt>
                <c:pt idx="10">
                  <c:v>2799382</c:v>
                </c:pt>
                <c:pt idx="11">
                  <c:v>3466607</c:v>
                </c:pt>
                <c:pt idx="12">
                  <c:v>3663064</c:v>
                </c:pt>
                <c:pt idx="13">
                  <c:v>3580072</c:v>
                </c:pt>
                <c:pt idx="14">
                  <c:v>3698459</c:v>
                </c:pt>
                <c:pt idx="15">
                  <c:v>3151167</c:v>
                </c:pt>
                <c:pt idx="16">
                  <c:v>3111739</c:v>
                </c:pt>
                <c:pt idx="17">
                  <c:v>3370232</c:v>
                </c:pt>
                <c:pt idx="18">
                  <c:v>3584869</c:v>
                </c:pt>
                <c:pt idx="19">
                  <c:v>3688335</c:v>
                </c:pt>
                <c:pt idx="20">
                  <c:v>3490824</c:v>
                </c:pt>
                <c:pt idx="21">
                  <c:v>4717940</c:v>
                </c:pt>
                <c:pt idx="22">
                  <c:v>5176856</c:v>
                </c:pt>
                <c:pt idx="23">
                  <c:v>4759461</c:v>
                </c:pt>
                <c:pt idx="24">
                  <c:v>4582834</c:v>
                </c:pt>
                <c:pt idx="25">
                  <c:v>5394734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6-437E-BE65-A0B94BC48239}"/>
            </c:ext>
          </c:extLst>
        </c:ser>
        <c:ser>
          <c:idx val="1"/>
          <c:order val="1"/>
          <c:tx>
            <c:strRef>
              <c:f>Base!$BC$2</c:f>
              <c:strCache>
                <c:ptCount val="1"/>
                <c:pt idx="0">
                  <c:v>Elaboración de Productos de Tabaco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Base!$BC$3:$BC$28</c:f>
              <c:numCache>
                <c:formatCode>_-* #,##0_-;\-* #,##0_-;_-* "-"??_-;_-@_-</c:formatCode>
                <c:ptCount val="26"/>
                <c:pt idx="0">
                  <c:v>60062</c:v>
                </c:pt>
                <c:pt idx="1">
                  <c:v>50408</c:v>
                </c:pt>
                <c:pt idx="2">
                  <c:v>39741</c:v>
                </c:pt>
                <c:pt idx="3">
                  <c:v>23847</c:v>
                </c:pt>
                <c:pt idx="4">
                  <c:v>25925</c:v>
                </c:pt>
                <c:pt idx="5">
                  <c:v>21892</c:v>
                </c:pt>
                <c:pt idx="6">
                  <c:v>21270</c:v>
                </c:pt>
                <c:pt idx="7">
                  <c:v>21890</c:v>
                </c:pt>
                <c:pt idx="8">
                  <c:v>19407</c:v>
                </c:pt>
                <c:pt idx="9">
                  <c:v>25359</c:v>
                </c:pt>
                <c:pt idx="10">
                  <c:v>32508</c:v>
                </c:pt>
                <c:pt idx="11">
                  <c:v>39642</c:v>
                </c:pt>
                <c:pt idx="12">
                  <c:v>36276</c:v>
                </c:pt>
                <c:pt idx="13">
                  <c:v>33954</c:v>
                </c:pt>
                <c:pt idx="14">
                  <c:v>39857</c:v>
                </c:pt>
                <c:pt idx="15">
                  <c:v>28012</c:v>
                </c:pt>
                <c:pt idx="16">
                  <c:v>22621</c:v>
                </c:pt>
                <c:pt idx="17">
                  <c:v>28602</c:v>
                </c:pt>
                <c:pt idx="18">
                  <c:v>21807</c:v>
                </c:pt>
                <c:pt idx="19">
                  <c:v>21860</c:v>
                </c:pt>
                <c:pt idx="20">
                  <c:v>12334</c:v>
                </c:pt>
                <c:pt idx="21">
                  <c:v>14014</c:v>
                </c:pt>
                <c:pt idx="22">
                  <c:v>12760</c:v>
                </c:pt>
                <c:pt idx="23">
                  <c:v>14263</c:v>
                </c:pt>
                <c:pt idx="24">
                  <c:v>15313</c:v>
                </c:pt>
                <c:pt idx="25">
                  <c:v>19686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6-437E-BE65-A0B94BC48239}"/>
            </c:ext>
          </c:extLst>
        </c:ser>
        <c:ser>
          <c:idx val="2"/>
          <c:order val="2"/>
          <c:tx>
            <c:strRef>
              <c:f>Base!$BD$2</c:f>
              <c:strCache>
                <c:ptCount val="1"/>
                <c:pt idx="0">
                  <c:v>Fabricación de productos textiles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Base!$BD$3:$BD$28</c:f>
              <c:numCache>
                <c:formatCode>_-* #,##0_-;\-* #,##0_-;_-* "-"??_-;_-@_-</c:formatCode>
                <c:ptCount val="26"/>
                <c:pt idx="0">
                  <c:v>204257</c:v>
                </c:pt>
                <c:pt idx="1">
                  <c:v>206079</c:v>
                </c:pt>
                <c:pt idx="2">
                  <c:v>200795</c:v>
                </c:pt>
                <c:pt idx="3">
                  <c:v>202342</c:v>
                </c:pt>
                <c:pt idx="4">
                  <c:v>199846</c:v>
                </c:pt>
                <c:pt idx="5">
                  <c:v>208651</c:v>
                </c:pt>
                <c:pt idx="6">
                  <c:v>209476</c:v>
                </c:pt>
                <c:pt idx="7">
                  <c:v>235354</c:v>
                </c:pt>
                <c:pt idx="8">
                  <c:v>230583</c:v>
                </c:pt>
                <c:pt idx="9">
                  <c:v>185074</c:v>
                </c:pt>
                <c:pt idx="10">
                  <c:v>243748</c:v>
                </c:pt>
                <c:pt idx="11">
                  <c:v>317404</c:v>
                </c:pt>
                <c:pt idx="12">
                  <c:v>272225</c:v>
                </c:pt>
                <c:pt idx="13">
                  <c:v>255536</c:v>
                </c:pt>
                <c:pt idx="14">
                  <c:v>248176</c:v>
                </c:pt>
                <c:pt idx="15">
                  <c:v>223512</c:v>
                </c:pt>
                <c:pt idx="16">
                  <c:v>193601</c:v>
                </c:pt>
                <c:pt idx="17">
                  <c:v>213168</c:v>
                </c:pt>
                <c:pt idx="18">
                  <c:v>226036</c:v>
                </c:pt>
                <c:pt idx="19">
                  <c:v>190092</c:v>
                </c:pt>
                <c:pt idx="20">
                  <c:v>109266</c:v>
                </c:pt>
                <c:pt idx="21">
                  <c:v>168630</c:v>
                </c:pt>
                <c:pt idx="22">
                  <c:v>164766</c:v>
                </c:pt>
                <c:pt idx="23">
                  <c:v>131125</c:v>
                </c:pt>
                <c:pt idx="24">
                  <c:v>118342</c:v>
                </c:pt>
                <c:pt idx="25">
                  <c:v>129867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6-437E-BE65-A0B94BC48239}"/>
            </c:ext>
          </c:extLst>
        </c:ser>
        <c:ser>
          <c:idx val="3"/>
          <c:order val="3"/>
          <c:tx>
            <c:strRef>
              <c:f>Base!$BE$2</c:f>
              <c:strCache>
                <c:ptCount val="1"/>
                <c:pt idx="0">
                  <c:v>Fabricación de prendas de vestir; adobo y  teñido de pieles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Base!$BE$3:$BE$28</c:f>
              <c:numCache>
                <c:formatCode>_-* #,##0_-;\-* #,##0_-;_-* "-"??_-;_-@_-</c:formatCode>
                <c:ptCount val="26"/>
                <c:pt idx="0">
                  <c:v>96969</c:v>
                </c:pt>
                <c:pt idx="1">
                  <c:v>79242</c:v>
                </c:pt>
                <c:pt idx="2">
                  <c:v>53051</c:v>
                </c:pt>
                <c:pt idx="3">
                  <c:v>61662</c:v>
                </c:pt>
                <c:pt idx="4">
                  <c:v>67862</c:v>
                </c:pt>
                <c:pt idx="5">
                  <c:v>66945</c:v>
                </c:pt>
                <c:pt idx="6">
                  <c:v>67960</c:v>
                </c:pt>
                <c:pt idx="7">
                  <c:v>67272</c:v>
                </c:pt>
                <c:pt idx="8">
                  <c:v>68214</c:v>
                </c:pt>
                <c:pt idx="9">
                  <c:v>49994</c:v>
                </c:pt>
                <c:pt idx="10">
                  <c:v>50541</c:v>
                </c:pt>
                <c:pt idx="11">
                  <c:v>61111</c:v>
                </c:pt>
                <c:pt idx="12">
                  <c:v>50909</c:v>
                </c:pt>
                <c:pt idx="13">
                  <c:v>31126</c:v>
                </c:pt>
                <c:pt idx="14">
                  <c:v>21632</c:v>
                </c:pt>
                <c:pt idx="15">
                  <c:v>19917</c:v>
                </c:pt>
                <c:pt idx="16">
                  <c:v>13688</c:v>
                </c:pt>
                <c:pt idx="17">
                  <c:v>15623</c:v>
                </c:pt>
                <c:pt idx="18">
                  <c:v>14994</c:v>
                </c:pt>
                <c:pt idx="19">
                  <c:v>12725</c:v>
                </c:pt>
                <c:pt idx="20">
                  <c:v>8792</c:v>
                </c:pt>
                <c:pt idx="21">
                  <c:v>9030</c:v>
                </c:pt>
                <c:pt idx="22">
                  <c:v>8445</c:v>
                </c:pt>
                <c:pt idx="23">
                  <c:v>7664</c:v>
                </c:pt>
                <c:pt idx="24">
                  <c:v>6868</c:v>
                </c:pt>
                <c:pt idx="25">
                  <c:v>7070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76-437E-BE65-A0B94BC48239}"/>
            </c:ext>
          </c:extLst>
        </c:ser>
        <c:ser>
          <c:idx val="4"/>
          <c:order val="4"/>
          <c:tx>
            <c:strRef>
              <c:f>Base!$BF$2</c:f>
              <c:strCache>
                <c:ptCount val="1"/>
                <c:pt idx="0">
                  <c:v>Curtido y adobo de cueros; fabricación de maletas, bolsos de mano, artículos de talabartería y guarnicionería, y calzado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Base!$BF$3:$BF$28</c:f>
              <c:numCache>
                <c:formatCode>_-* #,##0_-;\-* #,##0_-;_-* "-"??_-;_-@_-</c:formatCode>
                <c:ptCount val="26"/>
                <c:pt idx="0">
                  <c:v>228573</c:v>
                </c:pt>
                <c:pt idx="1">
                  <c:v>235640</c:v>
                </c:pt>
                <c:pt idx="2">
                  <c:v>210830</c:v>
                </c:pt>
                <c:pt idx="3">
                  <c:v>228346</c:v>
                </c:pt>
                <c:pt idx="4">
                  <c:v>239150</c:v>
                </c:pt>
                <c:pt idx="5">
                  <c:v>247853</c:v>
                </c:pt>
                <c:pt idx="6">
                  <c:v>301994</c:v>
                </c:pt>
                <c:pt idx="7">
                  <c:v>304703</c:v>
                </c:pt>
                <c:pt idx="8">
                  <c:v>255033</c:v>
                </c:pt>
                <c:pt idx="9">
                  <c:v>167951</c:v>
                </c:pt>
                <c:pt idx="10">
                  <c:v>204059</c:v>
                </c:pt>
                <c:pt idx="11">
                  <c:v>231021</c:v>
                </c:pt>
                <c:pt idx="12">
                  <c:v>245164</c:v>
                </c:pt>
                <c:pt idx="13">
                  <c:v>269101</c:v>
                </c:pt>
                <c:pt idx="14">
                  <c:v>317226</c:v>
                </c:pt>
                <c:pt idx="15">
                  <c:v>295343</c:v>
                </c:pt>
                <c:pt idx="16">
                  <c:v>276342</c:v>
                </c:pt>
                <c:pt idx="17">
                  <c:v>238260</c:v>
                </c:pt>
                <c:pt idx="18">
                  <c:v>216849</c:v>
                </c:pt>
                <c:pt idx="19">
                  <c:v>148773</c:v>
                </c:pt>
                <c:pt idx="20">
                  <c:v>80047</c:v>
                </c:pt>
                <c:pt idx="21">
                  <c:v>129332</c:v>
                </c:pt>
                <c:pt idx="22">
                  <c:v>154746</c:v>
                </c:pt>
                <c:pt idx="23">
                  <c:v>128557</c:v>
                </c:pt>
                <c:pt idx="24">
                  <c:v>147580</c:v>
                </c:pt>
                <c:pt idx="25">
                  <c:v>103138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76-437E-BE65-A0B94BC48239}"/>
            </c:ext>
          </c:extLst>
        </c:ser>
        <c:ser>
          <c:idx val="5"/>
          <c:order val="5"/>
          <c:tx>
            <c:strRef>
              <c:f>Base!$BG$2</c:f>
              <c:strCache>
                <c:ptCount val="1"/>
                <c:pt idx="0">
                  <c:v>Producción de madera y fabricación de productos de madera y corcho excepto muebles; fabricación de artículos de paja y de materiales trenzables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Base!$BG$3:$BG$28</c:f>
              <c:numCache>
                <c:formatCode>_-* #,##0_-;\-* #,##0_-;_-* "-"??_-;_-@_-</c:formatCode>
                <c:ptCount val="26"/>
                <c:pt idx="0">
                  <c:v>9173</c:v>
                </c:pt>
                <c:pt idx="1">
                  <c:v>8946</c:v>
                </c:pt>
                <c:pt idx="2">
                  <c:v>9616</c:v>
                </c:pt>
                <c:pt idx="3">
                  <c:v>24576</c:v>
                </c:pt>
                <c:pt idx="4">
                  <c:v>51174</c:v>
                </c:pt>
                <c:pt idx="5">
                  <c:v>85898</c:v>
                </c:pt>
                <c:pt idx="6">
                  <c:v>115782</c:v>
                </c:pt>
                <c:pt idx="7">
                  <c:v>134537</c:v>
                </c:pt>
                <c:pt idx="8">
                  <c:v>244424</c:v>
                </c:pt>
                <c:pt idx="9">
                  <c:v>137405</c:v>
                </c:pt>
                <c:pt idx="10">
                  <c:v>224502</c:v>
                </c:pt>
                <c:pt idx="11">
                  <c:v>265632</c:v>
                </c:pt>
                <c:pt idx="12">
                  <c:v>202086</c:v>
                </c:pt>
                <c:pt idx="13">
                  <c:v>229033</c:v>
                </c:pt>
                <c:pt idx="14">
                  <c:v>229489</c:v>
                </c:pt>
                <c:pt idx="15">
                  <c:v>196302</c:v>
                </c:pt>
                <c:pt idx="16">
                  <c:v>210610</c:v>
                </c:pt>
                <c:pt idx="17">
                  <c:v>232555</c:v>
                </c:pt>
                <c:pt idx="18">
                  <c:v>296084</c:v>
                </c:pt>
                <c:pt idx="19">
                  <c:v>267661</c:v>
                </c:pt>
                <c:pt idx="20">
                  <c:v>198528</c:v>
                </c:pt>
                <c:pt idx="21">
                  <c:v>340918</c:v>
                </c:pt>
                <c:pt idx="22">
                  <c:v>409439</c:v>
                </c:pt>
                <c:pt idx="23">
                  <c:v>365937</c:v>
                </c:pt>
                <c:pt idx="24">
                  <c:v>335572</c:v>
                </c:pt>
                <c:pt idx="25">
                  <c:v>351005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76-437E-BE65-A0B94BC48239}"/>
            </c:ext>
          </c:extLst>
        </c:ser>
        <c:ser>
          <c:idx val="6"/>
          <c:order val="6"/>
          <c:tx>
            <c:strRef>
              <c:f>Base!$BH$2</c:f>
              <c:strCache>
                <c:ptCount val="1"/>
                <c:pt idx="0">
                  <c:v>Fabricación de papel y de productos de papel; Actividades de edición e impresión y de reproducción de grabaciones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Base!$BH$3:$BH$28</c:f>
              <c:numCache>
                <c:formatCode>_-* #,##0_-;\-* #,##0_-;_-* "-"??_-;_-@_-</c:formatCode>
                <c:ptCount val="26"/>
                <c:pt idx="0">
                  <c:v>75391</c:v>
                </c:pt>
                <c:pt idx="1">
                  <c:v>73635</c:v>
                </c:pt>
                <c:pt idx="2">
                  <c:v>56500</c:v>
                </c:pt>
                <c:pt idx="3">
                  <c:v>51299</c:v>
                </c:pt>
                <c:pt idx="4">
                  <c:v>56597</c:v>
                </c:pt>
                <c:pt idx="5">
                  <c:v>68393</c:v>
                </c:pt>
                <c:pt idx="6">
                  <c:v>72247</c:v>
                </c:pt>
                <c:pt idx="7">
                  <c:v>64114</c:v>
                </c:pt>
                <c:pt idx="8">
                  <c:v>84894</c:v>
                </c:pt>
                <c:pt idx="9">
                  <c:v>117090</c:v>
                </c:pt>
                <c:pt idx="10">
                  <c:v>107710</c:v>
                </c:pt>
                <c:pt idx="11">
                  <c:v>120000</c:v>
                </c:pt>
                <c:pt idx="12">
                  <c:v>116870</c:v>
                </c:pt>
                <c:pt idx="13">
                  <c:v>104876</c:v>
                </c:pt>
                <c:pt idx="14">
                  <c:v>100731</c:v>
                </c:pt>
                <c:pt idx="15">
                  <c:v>97076</c:v>
                </c:pt>
                <c:pt idx="16">
                  <c:v>62421</c:v>
                </c:pt>
                <c:pt idx="17">
                  <c:v>47217</c:v>
                </c:pt>
                <c:pt idx="18">
                  <c:v>39766</c:v>
                </c:pt>
                <c:pt idx="19">
                  <c:v>43532</c:v>
                </c:pt>
                <c:pt idx="20">
                  <c:v>31144</c:v>
                </c:pt>
                <c:pt idx="21">
                  <c:v>33355</c:v>
                </c:pt>
                <c:pt idx="22">
                  <c:v>43789</c:v>
                </c:pt>
                <c:pt idx="23">
                  <c:v>40536</c:v>
                </c:pt>
                <c:pt idx="24">
                  <c:v>36761</c:v>
                </c:pt>
                <c:pt idx="25">
                  <c:v>38357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76-437E-BE65-A0B94BC48239}"/>
            </c:ext>
          </c:extLst>
        </c:ser>
        <c:ser>
          <c:idx val="7"/>
          <c:order val="7"/>
          <c:tx>
            <c:strRef>
              <c:f>Base!$BI$2</c:f>
              <c:strCache>
                <c:ptCount val="1"/>
                <c:pt idx="0">
                  <c:v>Fabricación de coque, productos de la refinación del petróleo y combustible nuclear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Base!$BI$3:$BI$28</c:f>
              <c:numCache>
                <c:formatCode>_-* #,##0_-;\-* #,##0_-;_-* "-"??_-;_-@_-</c:formatCode>
                <c:ptCount val="26"/>
                <c:pt idx="0">
                  <c:v>25611</c:v>
                </c:pt>
                <c:pt idx="1">
                  <c:v>30579</c:v>
                </c:pt>
                <c:pt idx="2">
                  <c:v>9170</c:v>
                </c:pt>
                <c:pt idx="3">
                  <c:v>30516</c:v>
                </c:pt>
                <c:pt idx="4">
                  <c:v>128189</c:v>
                </c:pt>
                <c:pt idx="5">
                  <c:v>150661</c:v>
                </c:pt>
                <c:pt idx="6">
                  <c:v>138182</c:v>
                </c:pt>
                <c:pt idx="7">
                  <c:v>125794</c:v>
                </c:pt>
                <c:pt idx="8">
                  <c:v>187209</c:v>
                </c:pt>
                <c:pt idx="9">
                  <c:v>75902</c:v>
                </c:pt>
                <c:pt idx="10">
                  <c:v>131958</c:v>
                </c:pt>
                <c:pt idx="11">
                  <c:v>57907</c:v>
                </c:pt>
                <c:pt idx="12">
                  <c:v>93345</c:v>
                </c:pt>
                <c:pt idx="13">
                  <c:v>23656</c:v>
                </c:pt>
                <c:pt idx="14">
                  <c:v>60055</c:v>
                </c:pt>
                <c:pt idx="15">
                  <c:v>21813</c:v>
                </c:pt>
                <c:pt idx="16">
                  <c:v>33443</c:v>
                </c:pt>
                <c:pt idx="17">
                  <c:v>15853</c:v>
                </c:pt>
                <c:pt idx="18">
                  <c:v>21736</c:v>
                </c:pt>
                <c:pt idx="19">
                  <c:v>4091</c:v>
                </c:pt>
                <c:pt idx="20">
                  <c:v>5817</c:v>
                </c:pt>
                <c:pt idx="21">
                  <c:v>13684</c:v>
                </c:pt>
                <c:pt idx="22">
                  <c:v>959</c:v>
                </c:pt>
                <c:pt idx="23">
                  <c:v>792</c:v>
                </c:pt>
                <c:pt idx="24">
                  <c:v>228</c:v>
                </c:pt>
                <c:pt idx="25">
                  <c:v>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76-437E-BE65-A0B94BC48239}"/>
            </c:ext>
          </c:extLst>
        </c:ser>
        <c:ser>
          <c:idx val="8"/>
          <c:order val="8"/>
          <c:tx>
            <c:strRef>
              <c:f>Base!$BJ$2</c:f>
              <c:strCache>
                <c:ptCount val="1"/>
                <c:pt idx="0">
                  <c:v>Fabricación de sustancias y productos químicos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Base!$BJ$3:$BJ$28</c:f>
              <c:numCache>
                <c:formatCode>_-* #,##0_-;\-* #,##0_-;_-* "-"??_-;_-@_-</c:formatCode>
                <c:ptCount val="26"/>
                <c:pt idx="0">
                  <c:v>157873</c:v>
                </c:pt>
                <c:pt idx="1">
                  <c:v>143864</c:v>
                </c:pt>
                <c:pt idx="2">
                  <c:v>116382</c:v>
                </c:pt>
                <c:pt idx="3">
                  <c:v>123978</c:v>
                </c:pt>
                <c:pt idx="4">
                  <c:v>167553</c:v>
                </c:pt>
                <c:pt idx="5">
                  <c:v>185444</c:v>
                </c:pt>
                <c:pt idx="6">
                  <c:v>213001</c:v>
                </c:pt>
                <c:pt idx="7">
                  <c:v>272361</c:v>
                </c:pt>
                <c:pt idx="8">
                  <c:v>375065</c:v>
                </c:pt>
                <c:pt idx="9">
                  <c:v>327416</c:v>
                </c:pt>
                <c:pt idx="10">
                  <c:v>402798</c:v>
                </c:pt>
                <c:pt idx="11">
                  <c:v>487418</c:v>
                </c:pt>
                <c:pt idx="12">
                  <c:v>534101</c:v>
                </c:pt>
                <c:pt idx="13">
                  <c:v>521123</c:v>
                </c:pt>
                <c:pt idx="14">
                  <c:v>507148</c:v>
                </c:pt>
                <c:pt idx="15">
                  <c:v>482840</c:v>
                </c:pt>
                <c:pt idx="16">
                  <c:v>431683</c:v>
                </c:pt>
                <c:pt idx="17">
                  <c:v>423250</c:v>
                </c:pt>
                <c:pt idx="18">
                  <c:v>433836</c:v>
                </c:pt>
                <c:pt idx="19">
                  <c:v>383459</c:v>
                </c:pt>
                <c:pt idx="20">
                  <c:v>380455</c:v>
                </c:pt>
                <c:pt idx="21">
                  <c:v>479172</c:v>
                </c:pt>
                <c:pt idx="22">
                  <c:v>528783</c:v>
                </c:pt>
                <c:pt idx="23">
                  <c:v>475856</c:v>
                </c:pt>
                <c:pt idx="24">
                  <c:v>497892</c:v>
                </c:pt>
                <c:pt idx="25">
                  <c:v>529279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76-437E-BE65-A0B94BC48239}"/>
            </c:ext>
          </c:extLst>
        </c:ser>
        <c:ser>
          <c:idx val="9"/>
          <c:order val="9"/>
          <c:tx>
            <c:strRef>
              <c:f>Base!$BK$2</c:f>
              <c:strCache>
                <c:ptCount val="1"/>
                <c:pt idx="0">
                  <c:v>Fabricación de productos de caucho y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Base!$BK$3:$BK$28</c:f>
              <c:numCache>
                <c:formatCode>_-* #,##0_-;\-* #,##0_-;_-* "-"??_-;_-@_-</c:formatCode>
                <c:ptCount val="26"/>
                <c:pt idx="0">
                  <c:v>46776</c:v>
                </c:pt>
                <c:pt idx="1">
                  <c:v>48018</c:v>
                </c:pt>
                <c:pt idx="2">
                  <c:v>52529</c:v>
                </c:pt>
                <c:pt idx="3">
                  <c:v>75270</c:v>
                </c:pt>
                <c:pt idx="4">
                  <c:v>105039</c:v>
                </c:pt>
                <c:pt idx="5">
                  <c:v>139253</c:v>
                </c:pt>
                <c:pt idx="6">
                  <c:v>171456</c:v>
                </c:pt>
                <c:pt idx="7">
                  <c:v>207886</c:v>
                </c:pt>
                <c:pt idx="8">
                  <c:v>247599</c:v>
                </c:pt>
                <c:pt idx="9">
                  <c:v>218829</c:v>
                </c:pt>
                <c:pt idx="10">
                  <c:v>282568</c:v>
                </c:pt>
                <c:pt idx="11">
                  <c:v>365086</c:v>
                </c:pt>
                <c:pt idx="12">
                  <c:v>378449</c:v>
                </c:pt>
                <c:pt idx="13">
                  <c:v>368970</c:v>
                </c:pt>
                <c:pt idx="14">
                  <c:v>355877</c:v>
                </c:pt>
                <c:pt idx="15">
                  <c:v>280313</c:v>
                </c:pt>
                <c:pt idx="16">
                  <c:v>207046</c:v>
                </c:pt>
                <c:pt idx="17">
                  <c:v>228371</c:v>
                </c:pt>
                <c:pt idx="18">
                  <c:v>249201</c:v>
                </c:pt>
                <c:pt idx="19">
                  <c:v>248399</c:v>
                </c:pt>
                <c:pt idx="20">
                  <c:v>220596</c:v>
                </c:pt>
                <c:pt idx="21">
                  <c:v>263312</c:v>
                </c:pt>
                <c:pt idx="22">
                  <c:v>313669</c:v>
                </c:pt>
                <c:pt idx="23">
                  <c:v>278247</c:v>
                </c:pt>
                <c:pt idx="24">
                  <c:v>271223</c:v>
                </c:pt>
                <c:pt idx="25">
                  <c:v>259361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76-437E-BE65-A0B94BC48239}"/>
            </c:ext>
          </c:extLst>
        </c:ser>
        <c:ser>
          <c:idx val="10"/>
          <c:order val="10"/>
          <c:tx>
            <c:strRef>
              <c:f>Base!$BL$2</c:f>
              <c:strCache>
                <c:ptCount val="1"/>
                <c:pt idx="0">
                  <c:v>Fabricación de metales comunes; Fabricación de otros productos minerales no metálicos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Base!$BL$3:$BL$28</c:f>
              <c:numCache>
                <c:formatCode>_-* #,##0_-;\-* #,##0_-;_-* "-"??_-;_-@_-</c:formatCode>
                <c:ptCount val="26"/>
                <c:pt idx="0">
                  <c:v>73515</c:v>
                </c:pt>
                <c:pt idx="1">
                  <c:v>70557</c:v>
                </c:pt>
                <c:pt idx="2">
                  <c:v>57370</c:v>
                </c:pt>
                <c:pt idx="3">
                  <c:v>63672</c:v>
                </c:pt>
                <c:pt idx="4">
                  <c:v>87966</c:v>
                </c:pt>
                <c:pt idx="5">
                  <c:v>111849</c:v>
                </c:pt>
                <c:pt idx="6">
                  <c:v>145040</c:v>
                </c:pt>
                <c:pt idx="7">
                  <c:v>194523</c:v>
                </c:pt>
                <c:pt idx="8">
                  <c:v>187281</c:v>
                </c:pt>
                <c:pt idx="9">
                  <c:v>147616</c:v>
                </c:pt>
                <c:pt idx="10">
                  <c:v>159192</c:v>
                </c:pt>
                <c:pt idx="11">
                  <c:v>200458</c:v>
                </c:pt>
                <c:pt idx="12">
                  <c:v>226082</c:v>
                </c:pt>
                <c:pt idx="13">
                  <c:v>203631</c:v>
                </c:pt>
                <c:pt idx="14">
                  <c:v>174898</c:v>
                </c:pt>
                <c:pt idx="15">
                  <c:v>151076</c:v>
                </c:pt>
                <c:pt idx="16">
                  <c:v>130304</c:v>
                </c:pt>
                <c:pt idx="17">
                  <c:v>171865</c:v>
                </c:pt>
                <c:pt idx="18">
                  <c:v>138606</c:v>
                </c:pt>
                <c:pt idx="19">
                  <c:v>109886</c:v>
                </c:pt>
                <c:pt idx="20">
                  <c:v>78823</c:v>
                </c:pt>
                <c:pt idx="21">
                  <c:v>110882</c:v>
                </c:pt>
                <c:pt idx="22">
                  <c:v>106438</c:v>
                </c:pt>
                <c:pt idx="23">
                  <c:v>77845</c:v>
                </c:pt>
                <c:pt idx="24">
                  <c:v>66133</c:v>
                </c:pt>
                <c:pt idx="25">
                  <c:v>84441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76-437E-BE65-A0B94BC48239}"/>
            </c:ext>
          </c:extLst>
        </c:ser>
        <c:ser>
          <c:idx val="11"/>
          <c:order val="11"/>
          <c:tx>
            <c:strRef>
              <c:f>Base!$BM$2</c:f>
              <c:strCache>
                <c:ptCount val="1"/>
                <c:pt idx="0">
                  <c:v>Fabricación de vehículos automotores, remolques y semirremolques; Fabricación de otros tipos de equipo de transporte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Base!$BM$3:$BM$28</c:f>
              <c:numCache>
                <c:formatCode>_-* #,##0_-;\-* #,##0_-;_-* "-"??_-;_-@_-</c:formatCode>
                <c:ptCount val="26"/>
                <c:pt idx="0">
                  <c:v>162671</c:v>
                </c:pt>
                <c:pt idx="1">
                  <c:v>112416</c:v>
                </c:pt>
                <c:pt idx="2">
                  <c:v>65300</c:v>
                </c:pt>
                <c:pt idx="3">
                  <c:v>37125</c:v>
                </c:pt>
                <c:pt idx="4">
                  <c:v>58329</c:v>
                </c:pt>
                <c:pt idx="5">
                  <c:v>70378</c:v>
                </c:pt>
                <c:pt idx="6">
                  <c:v>112037</c:v>
                </c:pt>
                <c:pt idx="7">
                  <c:v>124999</c:v>
                </c:pt>
                <c:pt idx="8">
                  <c:v>165588</c:v>
                </c:pt>
                <c:pt idx="9">
                  <c:v>133092</c:v>
                </c:pt>
                <c:pt idx="10">
                  <c:v>191930</c:v>
                </c:pt>
                <c:pt idx="11">
                  <c:v>309272</c:v>
                </c:pt>
                <c:pt idx="12">
                  <c:v>139826</c:v>
                </c:pt>
                <c:pt idx="13">
                  <c:v>291955</c:v>
                </c:pt>
                <c:pt idx="14">
                  <c:v>285894</c:v>
                </c:pt>
                <c:pt idx="15">
                  <c:v>245848</c:v>
                </c:pt>
                <c:pt idx="16">
                  <c:v>80779</c:v>
                </c:pt>
                <c:pt idx="17">
                  <c:v>123436</c:v>
                </c:pt>
                <c:pt idx="18">
                  <c:v>176437</c:v>
                </c:pt>
                <c:pt idx="19">
                  <c:v>160097</c:v>
                </c:pt>
                <c:pt idx="20">
                  <c:v>112687</c:v>
                </c:pt>
                <c:pt idx="21">
                  <c:v>194112</c:v>
                </c:pt>
                <c:pt idx="22">
                  <c:v>445403</c:v>
                </c:pt>
                <c:pt idx="23">
                  <c:v>426084</c:v>
                </c:pt>
                <c:pt idx="24">
                  <c:v>549434</c:v>
                </c:pt>
                <c:pt idx="25">
                  <c:v>430253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76-437E-BE65-A0B94BC48239}"/>
            </c:ext>
          </c:extLst>
        </c:ser>
        <c:ser>
          <c:idx val="12"/>
          <c:order val="12"/>
          <c:tx>
            <c:strRef>
              <c:f>Base!$BN$2</c:f>
              <c:strCache>
                <c:ptCount val="1"/>
                <c:pt idx="0">
                  <c:v>INDUSTRIAS MANUFACTURERAS - Resto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Base!$BN$3:$BN$28</c:f>
              <c:numCache>
                <c:formatCode>_-* #,##0_-;\-* #,##0_-;_-* "-"??_-;_-@_-</c:formatCode>
                <c:ptCount val="26"/>
                <c:pt idx="0">
                  <c:v>64527</c:v>
                </c:pt>
                <c:pt idx="1">
                  <c:v>56012</c:v>
                </c:pt>
                <c:pt idx="2">
                  <c:v>44600</c:v>
                </c:pt>
                <c:pt idx="3">
                  <c:v>63828</c:v>
                </c:pt>
                <c:pt idx="4">
                  <c:v>74465</c:v>
                </c:pt>
                <c:pt idx="5">
                  <c:v>95373</c:v>
                </c:pt>
                <c:pt idx="6">
                  <c:v>79865</c:v>
                </c:pt>
                <c:pt idx="7">
                  <c:v>96715</c:v>
                </c:pt>
                <c:pt idx="8">
                  <c:v>110516</c:v>
                </c:pt>
                <c:pt idx="9">
                  <c:v>103362</c:v>
                </c:pt>
                <c:pt idx="10">
                  <c:v>158776</c:v>
                </c:pt>
                <c:pt idx="11">
                  <c:v>219213</c:v>
                </c:pt>
                <c:pt idx="12">
                  <c:v>268136</c:v>
                </c:pt>
                <c:pt idx="13">
                  <c:v>255893</c:v>
                </c:pt>
                <c:pt idx="14">
                  <c:v>245941</c:v>
                </c:pt>
                <c:pt idx="15">
                  <c:v>239683</c:v>
                </c:pt>
                <c:pt idx="16">
                  <c:v>214577</c:v>
                </c:pt>
                <c:pt idx="17">
                  <c:v>227774</c:v>
                </c:pt>
                <c:pt idx="18">
                  <c:v>228290</c:v>
                </c:pt>
                <c:pt idx="19">
                  <c:v>203688</c:v>
                </c:pt>
                <c:pt idx="20">
                  <c:v>158805</c:v>
                </c:pt>
                <c:pt idx="21">
                  <c:v>176450</c:v>
                </c:pt>
                <c:pt idx="22">
                  <c:v>194011</c:v>
                </c:pt>
                <c:pt idx="23">
                  <c:v>213627</c:v>
                </c:pt>
                <c:pt idx="24">
                  <c:v>216778</c:v>
                </c:pt>
                <c:pt idx="25">
                  <c:v>194880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76-437E-BE65-A0B94BC48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1519280"/>
        <c:axId val="1101518032"/>
      </c:barChart>
      <c:catAx>
        <c:axId val="1101519280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01518032"/>
        <c:crosses val="autoZero"/>
        <c:auto val="1"/>
        <c:lblAlgn val="ctr"/>
        <c:lblOffset val="100"/>
        <c:noMultiLvlLbl val="0"/>
      </c:catAx>
      <c:valAx>
        <c:axId val="110151803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015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57844179348879965"/>
          <c:w val="0.9957161977645973"/>
          <c:h val="0.42155820651120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Participación</a:t>
            </a:r>
            <a:r>
              <a:rPr lang="es-AR" b="1" baseline="0"/>
              <a:t> de las exportaciones manufactureras y de alimentos </a:t>
            </a:r>
            <a:endParaRPr lang="es-A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Base!$BP$2</c:f>
              <c:strCache>
                <c:ptCount val="1"/>
                <c:pt idx="0">
                  <c:v>INDUSTRIAS MANUFACTURERAS / Total exportaciones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9B-440F-909C-F1F90124C34F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9B-440F-909C-F1F90124C34F}"/>
                </c:ext>
              </c:extLst>
            </c:dLbl>
            <c:dLbl>
              <c:idx val="25"/>
              <c:layout>
                <c:manualLayout>
                  <c:x val="-1.2376917210950902E-2"/>
                  <c:y val="5.6127719067261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9B-440F-909C-F1F90124C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Base!$BP$3:$BP$28</c:f>
              <c:numCache>
                <c:formatCode>0%</c:formatCode>
                <c:ptCount val="26"/>
                <c:pt idx="0">
                  <c:v>0.93906710858393894</c:v>
                </c:pt>
                <c:pt idx="1">
                  <c:v>0.9190485594136053</c:v>
                </c:pt>
                <c:pt idx="2">
                  <c:v>0.90985832092537655</c:v>
                </c:pt>
                <c:pt idx="3">
                  <c:v>0.87804276066265396</c:v>
                </c:pt>
                <c:pt idx="4">
                  <c:v>0.87658474140601861</c:v>
                </c:pt>
                <c:pt idx="5">
                  <c:v>0.89760229206465547</c:v>
                </c:pt>
                <c:pt idx="6">
                  <c:v>0.89218543902948921</c:v>
                </c:pt>
                <c:pt idx="7">
                  <c:v>0.84973786688011566</c:v>
                </c:pt>
                <c:pt idx="8">
                  <c:v>0.84494662982993984</c:v>
                </c:pt>
                <c:pt idx="9">
                  <c:v>0.77982494329538599</c:v>
                </c:pt>
                <c:pt idx="10">
                  <c:v>0.74205012579260798</c:v>
                </c:pt>
                <c:pt idx="11">
                  <c:v>0.77615814754534107</c:v>
                </c:pt>
                <c:pt idx="12">
                  <c:v>0.71153547720616217</c:v>
                </c:pt>
                <c:pt idx="13">
                  <c:v>0.67967797308583056</c:v>
                </c:pt>
                <c:pt idx="14">
                  <c:v>0.68586652809765358</c:v>
                </c:pt>
                <c:pt idx="15">
                  <c:v>0.70674884502539426</c:v>
                </c:pt>
                <c:pt idx="16">
                  <c:v>0.70835001672598852</c:v>
                </c:pt>
                <c:pt idx="17">
                  <c:v>0.67645981670137778</c:v>
                </c:pt>
                <c:pt idx="18">
                  <c:v>0.75291959832821143</c:v>
                </c:pt>
                <c:pt idx="19">
                  <c:v>0.7138483083965228</c:v>
                </c:pt>
                <c:pt idx="20">
                  <c:v>0.7121420941509532</c:v>
                </c:pt>
                <c:pt idx="21">
                  <c:v>0.6974975357307247</c:v>
                </c:pt>
                <c:pt idx="22">
                  <c:v>0.67600085268369137</c:v>
                </c:pt>
                <c:pt idx="23">
                  <c:v>0.75053095780645174</c:v>
                </c:pt>
                <c:pt idx="24">
                  <c:v>0.66760551401648571</c:v>
                </c:pt>
                <c:pt idx="25">
                  <c:v>0.67367971890552081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C9B-440F-909C-F1F90124C34F}"/>
            </c:ext>
          </c:extLst>
        </c:ser>
        <c:ser>
          <c:idx val="1"/>
          <c:order val="1"/>
          <c:tx>
            <c:strRef>
              <c:f>Base!$BR$2</c:f>
              <c:strCache>
                <c:ptCount val="1"/>
                <c:pt idx="0">
                  <c:v>Elaboración de productos alimenticios y bebidas / total manufactura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9B-440F-909C-F1F90124C34F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9B-440F-909C-F1F90124C34F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9B-440F-909C-F1F90124C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Base!$BR$3:$BR$28</c:f>
              <c:numCache>
                <c:formatCode>0%</c:formatCode>
                <c:ptCount val="26"/>
                <c:pt idx="0">
                  <c:v>0.44241580115245649</c:v>
                </c:pt>
                <c:pt idx="1">
                  <c:v>0.41114161422477508</c:v>
                </c:pt>
                <c:pt idx="2">
                  <c:v>0.45910894831333271</c:v>
                </c:pt>
                <c:pt idx="3">
                  <c:v>0.49121257899652937</c:v>
                </c:pt>
                <c:pt idx="4">
                  <c:v>0.50981714206260775</c:v>
                </c:pt>
                <c:pt idx="5">
                  <c:v>0.52707456522043472</c:v>
                </c:pt>
                <c:pt idx="6">
                  <c:v>0.53689001647835266</c:v>
                </c:pt>
                <c:pt idx="7">
                  <c:v>0.51803133063365925</c:v>
                </c:pt>
                <c:pt idx="8">
                  <c:v>0.56662082207551512</c:v>
                </c:pt>
                <c:pt idx="9">
                  <c:v>0.59924494082593849</c:v>
                </c:pt>
                <c:pt idx="10">
                  <c:v>0.56103594909959908</c:v>
                </c:pt>
                <c:pt idx="11">
                  <c:v>0.56452317868931745</c:v>
                </c:pt>
                <c:pt idx="12">
                  <c:v>0.58829979992053349</c:v>
                </c:pt>
                <c:pt idx="13">
                  <c:v>0.58033883974119349</c:v>
                </c:pt>
                <c:pt idx="14">
                  <c:v>0.58842240430611925</c:v>
                </c:pt>
                <c:pt idx="15">
                  <c:v>0.58001489810151363</c:v>
                </c:pt>
                <c:pt idx="16">
                  <c:v>0.62373736209527586</c:v>
                </c:pt>
                <c:pt idx="17">
                  <c:v>0.63157760598716839</c:v>
                </c:pt>
                <c:pt idx="18">
                  <c:v>0.63465723362188131</c:v>
                </c:pt>
                <c:pt idx="19">
                  <c:v>0.67273440603567425</c:v>
                </c:pt>
                <c:pt idx="20">
                  <c:v>0.71414566605675156</c:v>
                </c:pt>
                <c:pt idx="21">
                  <c:v>0.70937558968159642</c:v>
                </c:pt>
                <c:pt idx="22">
                  <c:v>0.68476342465309492</c:v>
                </c:pt>
                <c:pt idx="23">
                  <c:v>0.68778407723822843</c:v>
                </c:pt>
                <c:pt idx="24">
                  <c:v>0.66951966688473474</c:v>
                </c:pt>
                <c:pt idx="25">
                  <c:v>0.71470119446434976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C9B-440F-909C-F1F90124C34F}"/>
            </c:ext>
          </c:extLst>
        </c:ser>
        <c:ser>
          <c:idx val="2"/>
          <c:order val="2"/>
          <c:tx>
            <c:strRef>
              <c:f>Base!$BS$2</c:f>
              <c:strCache>
                <c:ptCount val="1"/>
                <c:pt idx="0">
                  <c:v>Fabricación de papel y de productos de papel / total manufactura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9B-440F-909C-F1F90124C34F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9B-440F-909C-F1F90124C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Base!$BS$3:$BS$28</c:f>
              <c:numCache>
                <c:formatCode>0%</c:formatCode>
                <c:ptCount val="26"/>
                <c:pt idx="0">
                  <c:v>3.4873904682958826E-2</c:v>
                </c:pt>
                <c:pt idx="1">
                  <c:v>3.887475186890231E-2</c:v>
                </c:pt>
                <c:pt idx="2">
                  <c:v>3.3367192667485591E-2</c:v>
                </c:pt>
                <c:pt idx="3">
                  <c:v>2.6458454001880495E-2</c:v>
                </c:pt>
                <c:pt idx="4">
                  <c:v>2.1981713817870681E-2</c:v>
                </c:pt>
                <c:pt idx="5">
                  <c:v>2.2266977785114044E-2</c:v>
                </c:pt>
                <c:pt idx="6">
                  <c:v>2.0298577073877246E-2</c:v>
                </c:pt>
                <c:pt idx="7">
                  <c:v>1.6701856210444326E-2</c:v>
                </c:pt>
                <c:pt idx="8">
                  <c:v>1.690918488582506E-2</c:v>
                </c:pt>
                <c:pt idx="9">
                  <c:v>2.7780881941572598E-2</c:v>
                </c:pt>
                <c:pt idx="10">
                  <c:v>2.1586615216329107E-2</c:v>
                </c:pt>
                <c:pt idx="11">
                  <c:v>1.9541523294309998E-2</c:v>
                </c:pt>
                <c:pt idx="12">
                  <c:v>1.8769695974930483E-2</c:v>
                </c:pt>
                <c:pt idx="13">
                  <c:v>1.7000668186756416E-2</c:v>
                </c:pt>
                <c:pt idx="14">
                  <c:v>1.6026236118383278E-2</c:v>
                </c:pt>
                <c:pt idx="15">
                  <c:v>1.7868150513159899E-2</c:v>
                </c:pt>
                <c:pt idx="16">
                  <c:v>1.2512074399346864E-2</c:v>
                </c:pt>
                <c:pt idx="17">
                  <c:v>8.8484115698551705E-3</c:v>
                </c:pt>
                <c:pt idx="18">
                  <c:v>7.0400841850030592E-3</c:v>
                </c:pt>
                <c:pt idx="19">
                  <c:v>7.9400255572080556E-3</c:v>
                </c:pt>
                <c:pt idx="20">
                  <c:v>6.3713761059484729E-3</c:v>
                </c:pt>
                <c:pt idx="21">
                  <c:v>5.0151597506177797E-3</c:v>
                </c:pt>
                <c:pt idx="22">
                  <c:v>5.7921459669989612E-3</c:v>
                </c:pt>
                <c:pt idx="23">
                  <c:v>5.8578093937378256E-3</c:v>
                </c:pt>
                <c:pt idx="24">
                  <c:v>5.3705223611306306E-3</c:v>
                </c:pt>
                <c:pt idx="25">
                  <c:v>5.081583951325323E-3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9B-440F-909C-F1F90124C34F}"/>
            </c:ext>
          </c:extLst>
        </c:ser>
        <c:ser>
          <c:idx val="4"/>
          <c:order val="3"/>
          <c:tx>
            <c:strRef>
              <c:f>Base!$BT$2</c:f>
              <c:strCache>
                <c:ptCount val="1"/>
                <c:pt idx="0">
                  <c:v>Carne / manufactura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layout>
                <c:manualLayout>
                  <c:x val="-1.0057046231575334E-2"/>
                  <c:y val="2.7834477910497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C9B-440F-909C-F1F90124C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Base!$BT$3:$BT$28</c:f>
              <c:numCache>
                <c:formatCode>0%</c:formatCode>
                <c:ptCount val="26"/>
                <c:pt idx="0">
                  <c:v>0.22318586633373685</c:v>
                </c:pt>
                <c:pt idx="1">
                  <c:v>0.15892163280821051</c:v>
                </c:pt>
                <c:pt idx="2">
                  <c:v>0.20007027780402534</c:v>
                </c:pt>
                <c:pt idx="3">
                  <c:v>0.2393257656209786</c:v>
                </c:pt>
                <c:pt idx="4">
                  <c:v>0.28527446168162812</c:v>
                </c:pt>
                <c:pt idx="5">
                  <c:v>0.29441585362717032</c:v>
                </c:pt>
                <c:pt idx="6">
                  <c:v>0.31878040522980489</c:v>
                </c:pt>
                <c:pt idx="7">
                  <c:v>0.26440194491153984</c:v>
                </c:pt>
                <c:pt idx="8">
                  <c:v>0.29630750201420752</c:v>
                </c:pt>
                <c:pt idx="9">
                  <c:v>0.29104442022801252</c:v>
                </c:pt>
                <c:pt idx="10">
                  <c:v>0.28233853728886865</c:v>
                </c:pt>
                <c:pt idx="11">
                  <c:v>0.27316639444239077</c:v>
                </c:pt>
                <c:pt idx="12">
                  <c:v>0.28975146012399211</c:v>
                </c:pt>
                <c:pt idx="13">
                  <c:v>0.27424657161188626</c:v>
                </c:pt>
                <c:pt idx="14">
                  <c:v>0.29601721836751027</c:v>
                </c:pt>
                <c:pt idx="15">
                  <c:v>0.32272851348274506</c:v>
                </c:pt>
                <c:pt idx="16">
                  <c:v>0.34959562914260389</c:v>
                </c:pt>
                <c:pt idx="17">
                  <c:v>0.34860721425610525</c:v>
                </c:pt>
                <c:pt idx="18">
                  <c:v>0.35819787582995311</c:v>
                </c:pt>
                <c:pt idx="19">
                  <c:v>0.40037467611181699</c:v>
                </c:pt>
                <c:pt idx="20">
                  <c:v>0.39822246298775477</c:v>
                </c:pt>
                <c:pt idx="21">
                  <c:v>0.46014553059878949</c:v>
                </c:pt>
                <c:pt idx="22">
                  <c:v>0.42026503740377896</c:v>
                </c:pt>
                <c:pt idx="23">
                  <c:v>0.38044200333728662</c:v>
                </c:pt>
                <c:pt idx="24">
                  <c:v>0.37290674391281875</c:v>
                </c:pt>
                <c:pt idx="25">
                  <c:v>0.43325308943002189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4C9B-440F-909C-F1F90124C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6550496"/>
        <c:axId val="946550912"/>
      </c:lineChart>
      <c:catAx>
        <c:axId val="946550496"/>
        <c:scaling>
          <c:orientation val="minMax"/>
        </c:scaling>
        <c:delete val="0"/>
        <c:axPos val="b"/>
        <c:numFmt formatCode="_(* #,##0_);_(* \(#,##0\);_(* &quot;-&quot;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46550912"/>
        <c:crosses val="autoZero"/>
        <c:auto val="1"/>
        <c:lblAlgn val="ctr"/>
        <c:lblOffset val="100"/>
        <c:noMultiLvlLbl val="0"/>
      </c:catAx>
      <c:valAx>
        <c:axId val="946550912"/>
        <c:scaling>
          <c:orientation val="minMax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4655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Exportaciones primarias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Base!$AR$2</c:f>
              <c:strCache>
                <c:ptCount val="1"/>
                <c:pt idx="0">
                  <c:v>Cultivos en general; horticultura; servicios agrícolas aplicados a estos cultivos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Base!$AR$3:$AR$28</c:f>
              <c:numCache>
                <c:formatCode>_-* #,##0_-;\-* #,##0_-;_-* "-"??_-;_-@_-</c:formatCode>
                <c:ptCount val="26"/>
                <c:pt idx="0">
                  <c:v>41866</c:v>
                </c:pt>
                <c:pt idx="1">
                  <c:v>72156</c:v>
                </c:pt>
                <c:pt idx="2">
                  <c:v>88817</c:v>
                </c:pt>
                <c:pt idx="3">
                  <c:v>171102</c:v>
                </c:pt>
                <c:pt idx="4">
                  <c:v>219104</c:v>
                </c:pt>
                <c:pt idx="5">
                  <c:v>224514</c:v>
                </c:pt>
                <c:pt idx="6">
                  <c:v>246951</c:v>
                </c:pt>
                <c:pt idx="7">
                  <c:v>376553</c:v>
                </c:pt>
                <c:pt idx="8">
                  <c:v>599442</c:v>
                </c:pt>
                <c:pt idx="9">
                  <c:v>826931</c:v>
                </c:pt>
                <c:pt idx="10">
                  <c:v>1188195</c:v>
                </c:pt>
                <c:pt idx="11">
                  <c:v>1236031</c:v>
                </c:pt>
                <c:pt idx="12">
                  <c:v>2059739</c:v>
                </c:pt>
                <c:pt idx="13">
                  <c:v>2403144</c:v>
                </c:pt>
                <c:pt idx="14">
                  <c:v>2125413</c:v>
                </c:pt>
                <c:pt idx="15">
                  <c:v>1402687</c:v>
                </c:pt>
                <c:pt idx="16">
                  <c:v>1141631</c:v>
                </c:pt>
                <c:pt idx="17">
                  <c:v>1409650</c:v>
                </c:pt>
                <c:pt idx="18">
                  <c:v>670474</c:v>
                </c:pt>
                <c:pt idx="19">
                  <c:v>1272870</c:v>
                </c:pt>
                <c:pt idx="20">
                  <c:v>1043220</c:v>
                </c:pt>
                <c:pt idx="21">
                  <c:v>1330372</c:v>
                </c:pt>
                <c:pt idx="22">
                  <c:v>2605519</c:v>
                </c:pt>
                <c:pt idx="23">
                  <c:v>1109745</c:v>
                </c:pt>
                <c:pt idx="24">
                  <c:v>1821624</c:v>
                </c:pt>
                <c:pt idx="25">
                  <c:v>2021950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CE-45AC-BB52-3E30753104A1}"/>
            </c:ext>
          </c:extLst>
        </c:ser>
        <c:ser>
          <c:idx val="1"/>
          <c:order val="1"/>
          <c:tx>
            <c:strRef>
              <c:f>Base!$AS$2</c:f>
              <c:strCache>
                <c:ptCount val="1"/>
                <c:pt idx="0">
                  <c:v>Cría de animales; caza ordinaria y servicios conexos; producción de pieles finas mediante actividades de caza ordinaria y con trampas; servicios ganaderos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Base!$AS$3:$AS$28</c:f>
              <c:numCache>
                <c:formatCode>_-* #,##0_-;\-* #,##0_-;_-* "-"??_-;_-@_-</c:formatCode>
                <c:ptCount val="26"/>
                <c:pt idx="0">
                  <c:v>36721</c:v>
                </c:pt>
                <c:pt idx="1">
                  <c:v>31569</c:v>
                </c:pt>
                <c:pt idx="2">
                  <c:v>22575</c:v>
                </c:pt>
                <c:pt idx="3">
                  <c:v>40227</c:v>
                </c:pt>
                <c:pt idx="4">
                  <c:v>76389</c:v>
                </c:pt>
                <c:pt idx="5">
                  <c:v>45623</c:v>
                </c:pt>
                <c:pt idx="6">
                  <c:v>91480</c:v>
                </c:pt>
                <c:pt idx="7">
                  <c:v>107744</c:v>
                </c:pt>
                <c:pt idx="8">
                  <c:v>132712</c:v>
                </c:pt>
                <c:pt idx="9">
                  <c:v>149136</c:v>
                </c:pt>
                <c:pt idx="10">
                  <c:v>207795</c:v>
                </c:pt>
                <c:pt idx="11">
                  <c:v>255453</c:v>
                </c:pt>
                <c:pt idx="12">
                  <c:v>163716</c:v>
                </c:pt>
                <c:pt idx="13">
                  <c:v>145601</c:v>
                </c:pt>
                <c:pt idx="14">
                  <c:v>250904</c:v>
                </c:pt>
                <c:pt idx="15">
                  <c:v>251546</c:v>
                </c:pt>
                <c:pt idx="16">
                  <c:v>266491</c:v>
                </c:pt>
                <c:pt idx="17">
                  <c:v>291050</c:v>
                </c:pt>
                <c:pt idx="18">
                  <c:v>342185</c:v>
                </c:pt>
                <c:pt idx="19">
                  <c:v>154797</c:v>
                </c:pt>
                <c:pt idx="20">
                  <c:v>160488</c:v>
                </c:pt>
                <c:pt idx="21">
                  <c:v>300426</c:v>
                </c:pt>
                <c:pt idx="22">
                  <c:v>144046</c:v>
                </c:pt>
                <c:pt idx="23">
                  <c:v>295850</c:v>
                </c:pt>
                <c:pt idx="24">
                  <c:v>386341</c:v>
                </c:pt>
                <c:pt idx="25">
                  <c:v>483040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CE-45AC-BB52-3E30753104A1}"/>
            </c:ext>
          </c:extLst>
        </c:ser>
        <c:ser>
          <c:idx val="2"/>
          <c:order val="2"/>
          <c:tx>
            <c:strRef>
              <c:f>Base!$AT$2</c:f>
              <c:strCache>
                <c:ptCount val="1"/>
                <c:pt idx="0">
                  <c:v>Silvicultura, extracción de madera y actividades de servicios conexas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Base!$AT$3:$AT$28</c:f>
              <c:numCache>
                <c:formatCode>_-* #,##0_-;\-* #,##0_-;_-* "-"??_-;_-@_-</c:formatCode>
                <c:ptCount val="26"/>
                <c:pt idx="0">
                  <c:v>39733</c:v>
                </c:pt>
                <c:pt idx="1">
                  <c:v>40360</c:v>
                </c:pt>
                <c:pt idx="2">
                  <c:v>42553</c:v>
                </c:pt>
                <c:pt idx="3">
                  <c:v>47537</c:v>
                </c:pt>
                <c:pt idx="4">
                  <c:v>55537</c:v>
                </c:pt>
                <c:pt idx="5">
                  <c:v>56384</c:v>
                </c:pt>
                <c:pt idx="6">
                  <c:v>74569</c:v>
                </c:pt>
                <c:pt idx="7">
                  <c:v>113226</c:v>
                </c:pt>
                <c:pt idx="8">
                  <c:v>177790</c:v>
                </c:pt>
                <c:pt idx="9">
                  <c:v>197544</c:v>
                </c:pt>
                <c:pt idx="10">
                  <c:v>249555</c:v>
                </c:pt>
                <c:pt idx="11">
                  <c:v>256007</c:v>
                </c:pt>
                <c:pt idx="12">
                  <c:v>271577</c:v>
                </c:pt>
                <c:pt idx="13">
                  <c:v>310396</c:v>
                </c:pt>
                <c:pt idx="14">
                  <c:v>439209</c:v>
                </c:pt>
                <c:pt idx="15">
                  <c:v>573466</c:v>
                </c:pt>
                <c:pt idx="16">
                  <c:v>568795</c:v>
                </c:pt>
                <c:pt idx="17">
                  <c:v>695623</c:v>
                </c:pt>
                <c:pt idx="18">
                  <c:v>757764</c:v>
                </c:pt>
                <c:pt idx="19">
                  <c:v>672625</c:v>
                </c:pt>
                <c:pt idx="20">
                  <c:v>678548</c:v>
                </c:pt>
                <c:pt idx="21">
                  <c:v>701917</c:v>
                </c:pt>
                <c:pt idx="22">
                  <c:v>674305</c:v>
                </c:pt>
                <c:pt idx="23">
                  <c:v>825247</c:v>
                </c:pt>
                <c:pt idx="24">
                  <c:v>986231</c:v>
                </c:pt>
                <c:pt idx="25">
                  <c:v>1018698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1CE-45AC-BB52-3E3075310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2487552"/>
        <c:axId val="1222481728"/>
      </c:lineChart>
      <c:catAx>
        <c:axId val="1222487552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2481728"/>
        <c:crosses val="autoZero"/>
        <c:auto val="1"/>
        <c:lblAlgn val="ctr"/>
        <c:lblOffset val="100"/>
        <c:noMultiLvlLbl val="0"/>
      </c:catAx>
      <c:valAx>
        <c:axId val="1222481728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248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254488941746306E-3"/>
          <c:y val="0.68737323394219152"/>
          <c:w val="0.98434890458932378"/>
          <c:h val="0.285392725937992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Exportaciones de manufactura de 15. Elaboración de productos alimenticios y bebidas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Base!$AW$2</c:f>
              <c:strCache>
                <c:ptCount val="1"/>
                <c:pt idx="0">
                  <c:v>Producción, procesamiento y conservación de carne y productos cárnicos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Base!$AW$3:$AW$28</c:f>
              <c:numCache>
                <c:formatCode>_-* #,##0_-;\-* #,##0_-;_-* "-"??_-;_-@_-</c:formatCode>
                <c:ptCount val="26"/>
                <c:pt idx="0">
                  <c:v>482487</c:v>
                </c:pt>
                <c:pt idx="1">
                  <c:v>301023</c:v>
                </c:pt>
                <c:pt idx="2">
                  <c:v>338775</c:v>
                </c:pt>
                <c:pt idx="3">
                  <c:v>464017</c:v>
                </c:pt>
                <c:pt idx="4">
                  <c:v>734505</c:v>
                </c:pt>
                <c:pt idx="5">
                  <c:v>904298</c:v>
                </c:pt>
                <c:pt idx="6">
                  <c:v>1134608</c:v>
                </c:pt>
                <c:pt idx="7">
                  <c:v>1014969</c:v>
                </c:pt>
                <c:pt idx="8">
                  <c:v>1487637</c:v>
                </c:pt>
                <c:pt idx="9">
                  <c:v>1226685</c:v>
                </c:pt>
                <c:pt idx="10">
                  <c:v>1408775</c:v>
                </c:pt>
                <c:pt idx="11">
                  <c:v>1677452</c:v>
                </c:pt>
                <c:pt idx="12">
                  <c:v>1804145</c:v>
                </c:pt>
                <c:pt idx="13">
                  <c:v>1691809</c:v>
                </c:pt>
                <c:pt idx="14">
                  <c:v>1860581</c:v>
                </c:pt>
                <c:pt idx="15">
                  <c:v>1753354</c:v>
                </c:pt>
                <c:pt idx="16">
                  <c:v>1744084</c:v>
                </c:pt>
                <c:pt idx="17">
                  <c:v>1860242</c:v>
                </c:pt>
                <c:pt idx="18">
                  <c:v>2023285</c:v>
                </c:pt>
                <c:pt idx="19">
                  <c:v>2195095</c:v>
                </c:pt>
                <c:pt idx="20">
                  <c:v>1946556</c:v>
                </c:pt>
                <c:pt idx="21">
                  <c:v>3060352</c:v>
                </c:pt>
                <c:pt idx="22">
                  <c:v>3177231</c:v>
                </c:pt>
                <c:pt idx="23">
                  <c:v>2632656</c:v>
                </c:pt>
                <c:pt idx="24">
                  <c:v>2552531</c:v>
                </c:pt>
                <c:pt idx="25">
                  <c:v>3270297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F2-4BE3-B78B-498E38465D77}"/>
            </c:ext>
          </c:extLst>
        </c:ser>
        <c:ser>
          <c:idx val="1"/>
          <c:order val="1"/>
          <c:tx>
            <c:strRef>
              <c:f>Base!$AX$2</c:f>
              <c:strCache>
                <c:ptCount val="1"/>
                <c:pt idx="0">
                  <c:v>Elaboración y conservación de pescado y productos de pescado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Base!$AX$3:$AX$28</c:f>
              <c:numCache>
                <c:formatCode>_-* #,##0_-;\-* #,##0_-;_-* "-"??_-;_-@_-</c:formatCode>
                <c:ptCount val="26"/>
                <c:pt idx="0">
                  <c:v>102258</c:v>
                </c:pt>
                <c:pt idx="1">
                  <c:v>89208</c:v>
                </c:pt>
                <c:pt idx="2">
                  <c:v>98874</c:v>
                </c:pt>
                <c:pt idx="3">
                  <c:v>105883</c:v>
                </c:pt>
                <c:pt idx="4">
                  <c:v>126510</c:v>
                </c:pt>
                <c:pt idx="5">
                  <c:v>137808</c:v>
                </c:pt>
                <c:pt idx="6">
                  <c:v>160679</c:v>
                </c:pt>
                <c:pt idx="7">
                  <c:v>189257</c:v>
                </c:pt>
                <c:pt idx="8">
                  <c:v>202141</c:v>
                </c:pt>
                <c:pt idx="9">
                  <c:v>175320</c:v>
                </c:pt>
                <c:pt idx="10">
                  <c:v>188899</c:v>
                </c:pt>
                <c:pt idx="11">
                  <c:v>235148</c:v>
                </c:pt>
                <c:pt idx="12">
                  <c:v>189354</c:v>
                </c:pt>
                <c:pt idx="13">
                  <c:v>142756</c:v>
                </c:pt>
                <c:pt idx="14">
                  <c:v>154455</c:v>
                </c:pt>
                <c:pt idx="15">
                  <c:v>114051</c:v>
                </c:pt>
                <c:pt idx="16">
                  <c:v>90215</c:v>
                </c:pt>
                <c:pt idx="17">
                  <c:v>102376</c:v>
                </c:pt>
                <c:pt idx="18">
                  <c:v>116551</c:v>
                </c:pt>
                <c:pt idx="19">
                  <c:v>117625</c:v>
                </c:pt>
                <c:pt idx="20">
                  <c:v>96893</c:v>
                </c:pt>
                <c:pt idx="21">
                  <c:v>101014</c:v>
                </c:pt>
                <c:pt idx="22">
                  <c:v>131130</c:v>
                </c:pt>
                <c:pt idx="23">
                  <c:v>132587</c:v>
                </c:pt>
                <c:pt idx="24">
                  <c:v>96624</c:v>
                </c:pt>
                <c:pt idx="25">
                  <c:v>109526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F2-4BE3-B78B-498E38465D77}"/>
            </c:ext>
          </c:extLst>
        </c:ser>
        <c:ser>
          <c:idx val="2"/>
          <c:order val="2"/>
          <c:tx>
            <c:strRef>
              <c:f>Base!$AY$2</c:f>
              <c:strCache>
                <c:ptCount val="1"/>
                <c:pt idx="0">
                  <c:v>Elaboración de productos lácteos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Base!$AY$3:$AY$28</c:f>
              <c:numCache>
                <c:formatCode>_-* #,##0_-;\-* #,##0_-;_-* "-"??_-;_-@_-</c:formatCode>
                <c:ptCount val="26"/>
                <c:pt idx="0">
                  <c:v>129412</c:v>
                </c:pt>
                <c:pt idx="1">
                  <c:v>130011</c:v>
                </c:pt>
                <c:pt idx="2">
                  <c:v>126391</c:v>
                </c:pt>
                <c:pt idx="3">
                  <c:v>135638</c:v>
                </c:pt>
                <c:pt idx="4">
                  <c:v>174681</c:v>
                </c:pt>
                <c:pt idx="5">
                  <c:v>246135</c:v>
                </c:pt>
                <c:pt idx="6">
                  <c:v>257017</c:v>
                </c:pt>
                <c:pt idx="7">
                  <c:v>335821</c:v>
                </c:pt>
                <c:pt idx="8">
                  <c:v>431467</c:v>
                </c:pt>
                <c:pt idx="9">
                  <c:v>370626</c:v>
                </c:pt>
                <c:pt idx="10">
                  <c:v>520587</c:v>
                </c:pt>
                <c:pt idx="11">
                  <c:v>691951</c:v>
                </c:pt>
                <c:pt idx="12">
                  <c:v>787916</c:v>
                </c:pt>
                <c:pt idx="13">
                  <c:v>893909</c:v>
                </c:pt>
                <c:pt idx="14">
                  <c:v>814446</c:v>
                </c:pt>
                <c:pt idx="15">
                  <c:v>622958</c:v>
                </c:pt>
                <c:pt idx="16">
                  <c:v>564340</c:v>
                </c:pt>
                <c:pt idx="17">
                  <c:v>590894</c:v>
                </c:pt>
                <c:pt idx="18">
                  <c:v>674218</c:v>
                </c:pt>
                <c:pt idx="19">
                  <c:v>650180</c:v>
                </c:pt>
                <c:pt idx="20">
                  <c:v>640221</c:v>
                </c:pt>
                <c:pt idx="21">
                  <c:v>734461</c:v>
                </c:pt>
                <c:pt idx="22">
                  <c:v>858995</c:v>
                </c:pt>
                <c:pt idx="23">
                  <c:v>804940</c:v>
                </c:pt>
                <c:pt idx="24">
                  <c:v>795333</c:v>
                </c:pt>
                <c:pt idx="25">
                  <c:v>914700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F2-4BE3-B78B-498E38465D77}"/>
            </c:ext>
          </c:extLst>
        </c:ser>
        <c:ser>
          <c:idx val="3"/>
          <c:order val="3"/>
          <c:tx>
            <c:strRef>
              <c:f>Base!$AZ$2</c:f>
              <c:strCache>
                <c:ptCount val="1"/>
                <c:pt idx="0">
                  <c:v>Elaboración de arroz y productos derivados del arroz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Base!$AZ$3:$AZ$28</c:f>
              <c:numCache>
                <c:formatCode>_-* #,##0_-;\-* #,##0_-;_-* "-"??_-;_-@_-</c:formatCode>
                <c:ptCount val="26"/>
                <c:pt idx="0">
                  <c:v>166527</c:v>
                </c:pt>
                <c:pt idx="1">
                  <c:v>163703</c:v>
                </c:pt>
                <c:pt idx="2">
                  <c:v>129809</c:v>
                </c:pt>
                <c:pt idx="3">
                  <c:v>159951</c:v>
                </c:pt>
                <c:pt idx="4">
                  <c:v>162890</c:v>
                </c:pt>
                <c:pt idx="5">
                  <c:v>199144</c:v>
                </c:pt>
                <c:pt idx="6">
                  <c:v>217511</c:v>
                </c:pt>
                <c:pt idx="7">
                  <c:v>278692</c:v>
                </c:pt>
                <c:pt idx="8">
                  <c:v>441087</c:v>
                </c:pt>
                <c:pt idx="9">
                  <c:v>451776</c:v>
                </c:pt>
                <c:pt idx="10">
                  <c:v>380045</c:v>
                </c:pt>
                <c:pt idx="11">
                  <c:v>469215</c:v>
                </c:pt>
                <c:pt idx="12">
                  <c:v>521554</c:v>
                </c:pt>
                <c:pt idx="13">
                  <c:v>482747</c:v>
                </c:pt>
                <c:pt idx="14">
                  <c:v>498307</c:v>
                </c:pt>
                <c:pt idx="15">
                  <c:v>343571</c:v>
                </c:pt>
                <c:pt idx="16">
                  <c:v>388874</c:v>
                </c:pt>
                <c:pt idx="17">
                  <c:v>447212</c:v>
                </c:pt>
                <c:pt idx="18">
                  <c:v>378304</c:v>
                </c:pt>
                <c:pt idx="19">
                  <c:v>312901</c:v>
                </c:pt>
                <c:pt idx="20">
                  <c:v>411814</c:v>
                </c:pt>
                <c:pt idx="21">
                  <c:v>337481</c:v>
                </c:pt>
                <c:pt idx="22">
                  <c:v>402498</c:v>
                </c:pt>
                <c:pt idx="23">
                  <c:v>482611</c:v>
                </c:pt>
                <c:pt idx="24">
                  <c:v>491198</c:v>
                </c:pt>
                <c:pt idx="25">
                  <c:v>408620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F2-4BE3-B78B-498E38465D77}"/>
            </c:ext>
          </c:extLst>
        </c:ser>
        <c:ser>
          <c:idx val="4"/>
          <c:order val="4"/>
          <c:tx>
            <c:strRef>
              <c:f>Base!$BA$2</c:f>
              <c:strCache>
                <c:ptCount val="1"/>
                <c:pt idx="0">
                  <c:v>Elaboración de bebidas malteadas y de malta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Base!$BA$3:$BA$28</c:f>
              <c:numCache>
                <c:formatCode>_-* #,##0_-;\-* #,##0_-;_-* "-"??_-;_-@_-</c:formatCode>
                <c:ptCount val="26"/>
                <c:pt idx="0">
                  <c:v>45519</c:v>
                </c:pt>
                <c:pt idx="1">
                  <c:v>55058</c:v>
                </c:pt>
                <c:pt idx="2">
                  <c:v>49365</c:v>
                </c:pt>
                <c:pt idx="3">
                  <c:v>53825</c:v>
                </c:pt>
                <c:pt idx="4">
                  <c:v>73326</c:v>
                </c:pt>
                <c:pt idx="5">
                  <c:v>74566</c:v>
                </c:pt>
                <c:pt idx="6">
                  <c:v>81144</c:v>
                </c:pt>
                <c:pt idx="7">
                  <c:v>89878</c:v>
                </c:pt>
                <c:pt idx="8">
                  <c:v>175339</c:v>
                </c:pt>
                <c:pt idx="9">
                  <c:v>176437</c:v>
                </c:pt>
                <c:pt idx="10">
                  <c:v>151564</c:v>
                </c:pt>
                <c:pt idx="11">
                  <c:v>213026</c:v>
                </c:pt>
                <c:pt idx="12">
                  <c:v>208083</c:v>
                </c:pt>
                <c:pt idx="13">
                  <c:v>213028</c:v>
                </c:pt>
                <c:pt idx="14">
                  <c:v>194171</c:v>
                </c:pt>
                <c:pt idx="15">
                  <c:v>139657</c:v>
                </c:pt>
                <c:pt idx="16">
                  <c:v>164585</c:v>
                </c:pt>
                <c:pt idx="17">
                  <c:v>188997</c:v>
                </c:pt>
                <c:pt idx="18">
                  <c:v>197452</c:v>
                </c:pt>
                <c:pt idx="19">
                  <c:v>222266</c:v>
                </c:pt>
                <c:pt idx="20">
                  <c:v>189035</c:v>
                </c:pt>
                <c:pt idx="21">
                  <c:v>225163</c:v>
                </c:pt>
                <c:pt idx="22">
                  <c:v>285735</c:v>
                </c:pt>
                <c:pt idx="23">
                  <c:v>337562</c:v>
                </c:pt>
                <c:pt idx="24">
                  <c:v>287173</c:v>
                </c:pt>
                <c:pt idx="25">
                  <c:v>251100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F2-4BE3-B78B-498E38465D77}"/>
            </c:ext>
          </c:extLst>
        </c:ser>
        <c:ser>
          <c:idx val="5"/>
          <c:order val="5"/>
          <c:tx>
            <c:strRef>
              <c:f>Base!$BB$2</c:f>
              <c:strCache>
                <c:ptCount val="1"/>
                <c:pt idx="0">
                  <c:v>Elaboración de productos alimenticios y bebidas - Resto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Base!$AO$3:$AO$28</c:f>
              <c:numCache>
                <c:formatCode>_(* #,##0_);_(* \(#,##0\);_(* "-"_);_(@_)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Base!$BB$3:$BB$28</c:f>
              <c:numCache>
                <c:formatCode>_-* #,##0_-;\-* #,##0_-;_-* "-"??_-;_-@_-</c:formatCode>
                <c:ptCount val="26"/>
                <c:pt idx="0">
                  <c:v>30217</c:v>
                </c:pt>
                <c:pt idx="1">
                  <c:v>39760</c:v>
                </c:pt>
                <c:pt idx="2">
                  <c:v>34186</c:v>
                </c:pt>
                <c:pt idx="3">
                  <c:v>33078</c:v>
                </c:pt>
                <c:pt idx="4">
                  <c:v>40730</c:v>
                </c:pt>
                <c:pt idx="5">
                  <c:v>56962</c:v>
                </c:pt>
                <c:pt idx="6">
                  <c:v>59945</c:v>
                </c:pt>
                <c:pt idx="7">
                  <c:v>79970</c:v>
                </c:pt>
                <c:pt idx="8">
                  <c:v>107095</c:v>
                </c:pt>
                <c:pt idx="9">
                  <c:v>124840</c:v>
                </c:pt>
                <c:pt idx="10">
                  <c:v>149506</c:v>
                </c:pt>
                <c:pt idx="11">
                  <c:v>179811</c:v>
                </c:pt>
                <c:pt idx="12">
                  <c:v>152013</c:v>
                </c:pt>
                <c:pt idx="13">
                  <c:v>155821</c:v>
                </c:pt>
                <c:pt idx="14">
                  <c:v>176498</c:v>
                </c:pt>
                <c:pt idx="15">
                  <c:v>177578</c:v>
                </c:pt>
                <c:pt idx="16">
                  <c:v>159643</c:v>
                </c:pt>
                <c:pt idx="17">
                  <c:v>180511</c:v>
                </c:pt>
                <c:pt idx="18">
                  <c:v>195055</c:v>
                </c:pt>
                <c:pt idx="19">
                  <c:v>190272</c:v>
                </c:pt>
                <c:pt idx="20">
                  <c:v>206308</c:v>
                </c:pt>
                <c:pt idx="21">
                  <c:v>259465</c:v>
                </c:pt>
                <c:pt idx="22">
                  <c:v>321268</c:v>
                </c:pt>
                <c:pt idx="23">
                  <c:v>369107</c:v>
                </c:pt>
                <c:pt idx="24">
                  <c:v>359973</c:v>
                </c:pt>
                <c:pt idx="25">
                  <c:v>440492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F2-4BE3-B78B-498E38465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352496"/>
        <c:axId val="1295357904"/>
      </c:lineChart>
      <c:catAx>
        <c:axId val="1295352496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95357904"/>
        <c:crosses val="autoZero"/>
        <c:auto val="1"/>
        <c:lblAlgn val="ctr"/>
        <c:lblOffset val="100"/>
        <c:noMultiLvlLbl val="0"/>
      </c:catAx>
      <c:valAx>
        <c:axId val="129535790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9535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982369707861107E-2"/>
          <c:y val="0.63311987697738825"/>
          <c:w val="0.97901754526897422"/>
          <c:h val="0.363854898962773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Incremento de apropiación de pesos en relación a exportaciones efectivas frente a una eventual devaluación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9.2108923884514429E-2"/>
          <c:y val="0.31101851851851858"/>
          <c:w val="0.87733552055993003"/>
          <c:h val="0.64731481481481468"/>
        </c:manualLayout>
      </c:layout>
      <c:lineChart>
        <c:grouping val="standard"/>
        <c:varyColors val="0"/>
        <c:ser>
          <c:idx val="0"/>
          <c:order val="0"/>
          <c:tx>
            <c:strRef>
              <c:f>'Eventual devaluación'!$J$4</c:f>
              <c:strCache>
                <c:ptCount val="1"/>
                <c:pt idx="0">
                  <c:v>Incremento de apropiación en relación a exportaciones efectivas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43-4D2E-9558-BF9785707216}"/>
                </c:ext>
              </c:extLst>
            </c:dLbl>
            <c:dLbl>
              <c:idx val="2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43-4D2E-9558-BF97857072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'Eventual devaluación'!$A$5:$A$29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'Eventual devaluación'!$J$5:$J$29</c:f>
              <c:numCache>
                <c:formatCode>0%</c:formatCode>
                <c:ptCount val="25"/>
                <c:pt idx="0">
                  <c:v>0.47178558678654653</c:v>
                </c:pt>
                <c:pt idx="1">
                  <c:v>0.4228659545201931</c:v>
                </c:pt>
                <c:pt idx="2">
                  <c:v>4.9352192227381374E-2</c:v>
                </c:pt>
                <c:pt idx="3">
                  <c:v>-7.0589753471094849E-2</c:v>
                </c:pt>
                <c:pt idx="4">
                  <c:v>1.4599255735966819E-2</c:v>
                </c:pt>
                <c:pt idx="5">
                  <c:v>0.15714302697064239</c:v>
                </c:pt>
                <c:pt idx="6">
                  <c:v>0.24429014395738641</c:v>
                </c:pt>
                <c:pt idx="7">
                  <c:v>0.31488183989833246</c:v>
                </c:pt>
                <c:pt idx="8">
                  <c:v>0.45455449800459169</c:v>
                </c:pt>
                <c:pt idx="9">
                  <c:v>0.43018896116093036</c:v>
                </c:pt>
                <c:pt idx="10">
                  <c:v>0.63658998412601697</c:v>
                </c:pt>
                <c:pt idx="11">
                  <c:v>0.79406907111753799</c:v>
                </c:pt>
                <c:pt idx="12">
                  <c:v>0.73524290596570263</c:v>
                </c:pt>
                <c:pt idx="13">
                  <c:v>0.75725545706398778</c:v>
                </c:pt>
                <c:pt idx="14">
                  <c:v>0.65072151363622421</c:v>
                </c:pt>
                <c:pt idx="15">
                  <c:v>0.50579337983299133</c:v>
                </c:pt>
                <c:pt idx="16">
                  <c:v>0.46021699057773502</c:v>
                </c:pt>
                <c:pt idx="17">
                  <c:v>0.55392746945898774</c:v>
                </c:pt>
                <c:pt idx="18">
                  <c:v>0.54661553461163492</c:v>
                </c:pt>
                <c:pt idx="19">
                  <c:v>0.42750875354107654</c:v>
                </c:pt>
                <c:pt idx="20">
                  <c:v>0.37156383333333326</c:v>
                </c:pt>
                <c:pt idx="21">
                  <c:v>0.3539074380165288</c:v>
                </c:pt>
                <c:pt idx="22">
                  <c:v>0.40760767554479432</c:v>
                </c:pt>
                <c:pt idx="23">
                  <c:v>0.55075490373433256</c:v>
                </c:pt>
                <c:pt idx="24">
                  <c:v>0.53717445010562936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E43-4D2E-9558-BF9785707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313456"/>
        <c:axId val="1370310544"/>
      </c:lineChart>
      <c:catAx>
        <c:axId val="137031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0310544"/>
        <c:crosses val="autoZero"/>
        <c:auto val="1"/>
        <c:lblAlgn val="ctr"/>
        <c:lblOffset val="100"/>
        <c:noMultiLvlLbl val="0"/>
      </c:catAx>
      <c:valAx>
        <c:axId val="137031054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031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Uruguay. Ratio expo manuf / VBP manuf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'Exp-VBP'!$C$10:$P$10</c:f>
              <c:strCach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2017*</c:v>
                </c:pt>
                <c:pt idx="12">
                  <c:v>2018*</c:v>
                </c:pt>
                <c:pt idx="13">
                  <c:v>2019*</c:v>
                </c:pt>
              </c:strCache>
            </c:strRef>
          </c:cat>
          <c:val>
            <c:numRef>
              <c:f>'Exp-VBP'!$C$14:$P$14</c:f>
              <c:numCache>
                <c:formatCode>General</c:formatCode>
                <c:ptCount val="14"/>
                <c:pt idx="0">
                  <c:v>0.37174403817770402</c:v>
                </c:pt>
                <c:pt idx="1">
                  <c:v>0.35832647886531355</c:v>
                </c:pt>
                <c:pt idx="2">
                  <c:v>0.33039034986783694</c:v>
                </c:pt>
                <c:pt idx="3">
                  <c:v>0.32063568116064517</c:v>
                </c:pt>
                <c:pt idx="4">
                  <c:v>0.31705635706352275</c:v>
                </c:pt>
                <c:pt idx="5">
                  <c:v>0.32937600720058879</c:v>
                </c:pt>
                <c:pt idx="6">
                  <c:v>0.32286196062073469</c:v>
                </c:pt>
                <c:pt idx="7">
                  <c:v>0.30550071273862456</c:v>
                </c:pt>
                <c:pt idx="8">
                  <c:v>0.30945682287355614</c:v>
                </c:pt>
                <c:pt idx="9">
                  <c:v>0.292159371430045</c:v>
                </c:pt>
                <c:pt idx="10">
                  <c:v>0.28417340626500581</c:v>
                </c:pt>
                <c:pt idx="11">
                  <c:v>0.29666359339984161</c:v>
                </c:pt>
                <c:pt idx="12">
                  <c:v>0.29869517951404517</c:v>
                </c:pt>
                <c:pt idx="13">
                  <c:v>0.30973061662363277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AE-4B90-93F8-63CFCB78F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206079"/>
        <c:axId val="1536206911"/>
      </c:lineChart>
      <c:catAx>
        <c:axId val="15362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36206911"/>
        <c:crosses val="autoZero"/>
        <c:auto val="1"/>
        <c:lblAlgn val="ctr"/>
        <c:lblOffset val="100"/>
        <c:noMultiLvlLbl val="0"/>
      </c:catAx>
      <c:valAx>
        <c:axId val="1536206911"/>
        <c:scaling>
          <c:orientation val="minMax"/>
          <c:min val="0.2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3620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619124</xdr:colOff>
      <xdr:row>13</xdr:row>
      <xdr:rowOff>35718</xdr:rowOff>
    </xdr:from>
    <xdr:to>
      <xdr:col>80</xdr:col>
      <xdr:colOff>547687</xdr:colOff>
      <xdr:row>44</xdr:row>
      <xdr:rowOff>11905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5F5693-4C60-41FE-9DDF-6AAA7CEB5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72</xdr:col>
      <xdr:colOff>381000</xdr:colOff>
      <xdr:row>0</xdr:row>
      <xdr:rowOff>336947</xdr:rowOff>
    </xdr:from>
    <xdr:to>
      <xdr:col>80</xdr:col>
      <xdr:colOff>738187</xdr:colOff>
      <xdr:row>13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0A55B1-2F52-4B5F-8EF7-358307332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81</xdr:col>
      <xdr:colOff>440530</xdr:colOff>
      <xdr:row>0</xdr:row>
      <xdr:rowOff>357186</xdr:rowOff>
    </xdr:from>
    <xdr:to>
      <xdr:col>88</xdr:col>
      <xdr:colOff>166687</xdr:colOff>
      <xdr:row>9</xdr:row>
      <xdr:rowOff>202405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1E33101-EA0D-498D-9C03-E90D1A818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81</xdr:col>
      <xdr:colOff>369093</xdr:colOff>
      <xdr:row>14</xdr:row>
      <xdr:rowOff>154782</xdr:rowOff>
    </xdr:from>
    <xdr:to>
      <xdr:col>88</xdr:col>
      <xdr:colOff>500062</xdr:colOff>
      <xdr:row>30</xdr:row>
      <xdr:rowOff>127399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5746A21-D478-43A9-9756-F38F9FD5C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26</xdr:row>
      <xdr:rowOff>184546</xdr:rowOff>
    </xdr:from>
    <xdr:to>
      <xdr:col>8</xdr:col>
      <xdr:colOff>42862</xdr:colOff>
      <xdr:row>59</xdr:row>
      <xdr:rowOff>75008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52DE7D-C505-4453-93D6-14693FD1E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7</xdr:row>
      <xdr:rowOff>123825</xdr:rowOff>
    </xdr:from>
    <xdr:to>
      <xdr:col>8</xdr:col>
      <xdr:colOff>395287</xdr:colOff>
      <xdr:row>25</xdr:row>
      <xdr:rowOff>91678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412B2F-E170-40C1-BE4B-E7707C503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383380</xdr:colOff>
      <xdr:row>9</xdr:row>
      <xdr:rowOff>77389</xdr:rowOff>
    </xdr:from>
    <xdr:to>
      <xdr:col>16</xdr:col>
      <xdr:colOff>109537</xdr:colOff>
      <xdr:row>23</xdr:row>
      <xdr:rowOff>189308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5EA7-E8F4-464E-A952-EF1626FF4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169068</xdr:colOff>
      <xdr:row>26</xdr:row>
      <xdr:rowOff>65485</xdr:rowOff>
    </xdr:from>
    <xdr:to>
      <xdr:col>16</xdr:col>
      <xdr:colOff>300037</xdr:colOff>
      <xdr:row>43</xdr:row>
      <xdr:rowOff>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F392E19-F135-4766-A41C-A23AF4774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161925</xdr:colOff>
      <xdr:row>54</xdr:row>
      <xdr:rowOff>0</xdr:rowOff>
    </xdr:from>
    <xdr:to>
      <xdr:col>6</xdr:col>
      <xdr:colOff>161925</xdr:colOff>
      <xdr:row>68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8FB154-6C9D-4290-9699-128A25F0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14</xdr:row>
      <xdr:rowOff>52387</xdr:rowOff>
    </xdr:from>
    <xdr:to>
      <xdr:col>11</xdr:col>
      <xdr:colOff>628650</xdr:colOff>
      <xdr:row>28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879264-763F-4D58-8AF7-A82691316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B130-DEDB-44C3-9344-6961D42DA1CA}">
  <dimension ref="A1:BT323"/>
  <sheetViews>
    <sheetView showGridLines="0" zoomScale="80" zoomScaleNormal="80" workbookViewId="0">
      <pane xSplit="1" ySplit="2" topLeftCell="AK21" activePane="bottomRight" state="frozen"/>
      <selection pane="topRight" activeCell="B1" sqref="B1"/>
      <selection pane="bottomLeft" activeCell="A3" sqref="A3"/>
      <selection pane="bottomRight" activeCell="AU32" sqref="AU32"/>
    </sheetView>
  </sheetViews>
  <sheetFormatPr baseColWidth="10" defaultRowHeight="15"/>
  <cols>
    <col min="1" max="2" width="11.42578125" style="36"/>
    <col min="3" max="3" width="18" style="36" customWidth="1"/>
    <col min="4" max="5" width="11.42578125" style="36"/>
    <col min="6" max="6" width="11.42578125" style="2"/>
    <col min="7" max="8" width="11.42578125" style="2" customWidth="1"/>
    <col min="9" max="9" width="18" style="2" customWidth="1"/>
    <col min="10" max="11" width="22.140625" style="2" customWidth="1"/>
    <col min="12" max="12" width="11.42578125" style="2" customWidth="1"/>
    <col min="13" max="14" width="14.5703125" style="2" customWidth="1"/>
    <col min="15" max="15" width="17.140625" style="2" customWidth="1"/>
    <col min="16" max="36" width="11.42578125" style="2"/>
    <col min="37" max="37" width="15.7109375" style="2" customWidth="1"/>
    <col min="38" max="46" width="11.42578125" style="2"/>
    <col min="47" max="47" width="25.42578125" style="2" customWidth="1"/>
    <col min="48" max="16384" width="11.42578125" style="2"/>
  </cols>
  <sheetData>
    <row r="1" spans="1:72" ht="27.75" thickBot="1">
      <c r="A1" s="48" t="s">
        <v>78</v>
      </c>
      <c r="I1" s="42" t="s">
        <v>69</v>
      </c>
      <c r="J1" s="42" t="s">
        <v>70</v>
      </c>
      <c r="K1" s="46" t="s">
        <v>71</v>
      </c>
      <c r="L1" s="42" t="s">
        <v>72</v>
      </c>
      <c r="M1" s="1"/>
      <c r="N1" s="42" t="s">
        <v>36</v>
      </c>
      <c r="O1" s="42" t="s">
        <v>37</v>
      </c>
      <c r="P1" s="42" t="s">
        <v>38</v>
      </c>
      <c r="Q1" s="42" t="s">
        <v>39</v>
      </c>
      <c r="R1" s="42" t="s">
        <v>40</v>
      </c>
      <c r="S1" s="42" t="s">
        <v>41</v>
      </c>
      <c r="T1" s="42" t="s">
        <v>42</v>
      </c>
      <c r="U1" s="42" t="s">
        <v>43</v>
      </c>
      <c r="V1" s="42" t="s">
        <v>44</v>
      </c>
      <c r="W1" s="42" t="s">
        <v>45</v>
      </c>
      <c r="X1" s="42" t="s">
        <v>46</v>
      </c>
      <c r="Y1" s="42" t="s">
        <v>47</v>
      </c>
      <c r="Z1" s="42" t="s">
        <v>48</v>
      </c>
      <c r="AA1" s="42" t="s">
        <v>49</v>
      </c>
      <c r="AB1" s="42" t="s">
        <v>50</v>
      </c>
      <c r="AC1" s="42" t="s">
        <v>51</v>
      </c>
      <c r="AD1" s="42" t="s">
        <v>52</v>
      </c>
      <c r="AE1" s="42" t="s">
        <v>53</v>
      </c>
      <c r="AF1" s="42" t="s">
        <v>54</v>
      </c>
      <c r="AG1" s="42" t="s">
        <v>55</v>
      </c>
      <c r="AH1" s="42" t="s">
        <v>56</v>
      </c>
      <c r="AI1" s="42" t="s">
        <v>57</v>
      </c>
      <c r="AJ1" s="42" t="s">
        <v>58</v>
      </c>
      <c r="AK1" s="42" t="s">
        <v>59</v>
      </c>
      <c r="AL1" s="43" t="s">
        <v>60</v>
      </c>
      <c r="AV1" s="42" t="s">
        <v>36</v>
      </c>
      <c r="AW1" s="47" t="s">
        <v>37</v>
      </c>
      <c r="AX1" s="47" t="s">
        <v>38</v>
      </c>
      <c r="AY1" s="47" t="s">
        <v>39</v>
      </c>
      <c r="AZ1" s="47" t="s">
        <v>40</v>
      </c>
      <c r="BA1" s="47" t="s">
        <v>41</v>
      </c>
      <c r="BB1" s="47" t="s">
        <v>42</v>
      </c>
      <c r="BC1" s="42" t="s">
        <v>43</v>
      </c>
      <c r="BD1" s="42" t="s">
        <v>44</v>
      </c>
      <c r="BE1" s="42" t="s">
        <v>46</v>
      </c>
      <c r="BF1" s="42" t="s">
        <v>47</v>
      </c>
      <c r="BG1" s="42" t="s">
        <v>49</v>
      </c>
      <c r="BH1" s="42" t="s">
        <v>50</v>
      </c>
      <c r="BI1" s="42" t="s">
        <v>51</v>
      </c>
      <c r="BJ1" s="42" t="s">
        <v>52</v>
      </c>
      <c r="BK1" s="42" t="s">
        <v>57</v>
      </c>
      <c r="BL1" s="42" t="s">
        <v>58</v>
      </c>
      <c r="BM1" s="42" t="s">
        <v>59</v>
      </c>
      <c r="BN1" s="43" t="s">
        <v>60</v>
      </c>
      <c r="BO1" s="45"/>
    </row>
    <row r="2" spans="1:72" ht="93" customHeight="1" thickBot="1">
      <c r="C2" s="37"/>
      <c r="D2" s="38" t="s">
        <v>0</v>
      </c>
      <c r="E2" s="37"/>
      <c r="F2" s="35" t="s">
        <v>1</v>
      </c>
      <c r="G2" s="3" t="s">
        <v>2</v>
      </c>
      <c r="H2" s="4" t="s">
        <v>3</v>
      </c>
      <c r="I2" s="5" t="s">
        <v>4</v>
      </c>
      <c r="J2" s="6" t="s">
        <v>5</v>
      </c>
      <c r="K2" s="6" t="s">
        <v>6</v>
      </c>
      <c r="L2" s="5" t="s">
        <v>7</v>
      </c>
      <c r="M2" s="4" t="s">
        <v>8</v>
      </c>
      <c r="N2" s="5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14</v>
      </c>
      <c r="T2" s="6" t="s">
        <v>15</v>
      </c>
      <c r="U2" s="5" t="s">
        <v>16</v>
      </c>
      <c r="V2" s="5" t="s">
        <v>17</v>
      </c>
      <c r="W2" s="6" t="s">
        <v>18</v>
      </c>
      <c r="X2" s="5" t="s">
        <v>19</v>
      </c>
      <c r="Y2" s="5" t="s">
        <v>20</v>
      </c>
      <c r="Z2" s="6" t="s">
        <v>21</v>
      </c>
      <c r="AA2" s="5" t="s">
        <v>22</v>
      </c>
      <c r="AB2" s="5" t="s">
        <v>23</v>
      </c>
      <c r="AC2" s="5" t="s">
        <v>24</v>
      </c>
      <c r="AD2" s="5" t="s">
        <v>25</v>
      </c>
      <c r="AE2" s="6" t="s">
        <v>26</v>
      </c>
      <c r="AF2" s="6" t="s">
        <v>27</v>
      </c>
      <c r="AG2" s="6" t="s">
        <v>28</v>
      </c>
      <c r="AH2" s="6" t="s">
        <v>29</v>
      </c>
      <c r="AI2" s="5" t="s">
        <v>30</v>
      </c>
      <c r="AJ2" s="5" t="s">
        <v>31</v>
      </c>
      <c r="AK2" s="5" t="s">
        <v>32</v>
      </c>
      <c r="AL2" s="5" t="s">
        <v>33</v>
      </c>
      <c r="AM2" s="7" t="s">
        <v>34</v>
      </c>
      <c r="AP2" s="5" t="s">
        <v>62</v>
      </c>
      <c r="AQ2" s="5" t="s">
        <v>68</v>
      </c>
      <c r="AR2" s="6" t="s">
        <v>5</v>
      </c>
      <c r="AS2" s="6" t="s">
        <v>6</v>
      </c>
      <c r="AT2" s="5" t="s">
        <v>7</v>
      </c>
      <c r="AU2" s="5" t="s">
        <v>63</v>
      </c>
      <c r="AV2" s="5" t="s">
        <v>9</v>
      </c>
      <c r="AW2" s="6" t="s">
        <v>10</v>
      </c>
      <c r="AX2" s="6" t="s">
        <v>11</v>
      </c>
      <c r="AY2" s="6" t="s">
        <v>12</v>
      </c>
      <c r="AZ2" s="6" t="s">
        <v>13</v>
      </c>
      <c r="BA2" s="6" t="s">
        <v>14</v>
      </c>
      <c r="BB2" s="6" t="s">
        <v>15</v>
      </c>
      <c r="BC2" s="5" t="s">
        <v>16</v>
      </c>
      <c r="BD2" s="5" t="s">
        <v>17</v>
      </c>
      <c r="BE2" s="5" t="s">
        <v>19</v>
      </c>
      <c r="BF2" s="5" t="s">
        <v>20</v>
      </c>
      <c r="BG2" s="5" t="s">
        <v>22</v>
      </c>
      <c r="BH2" s="5" t="s">
        <v>23</v>
      </c>
      <c r="BI2" s="5" t="s">
        <v>24</v>
      </c>
      <c r="BJ2" s="5" t="s">
        <v>25</v>
      </c>
      <c r="BK2" s="5" t="s">
        <v>30</v>
      </c>
      <c r="BL2" s="5" t="s">
        <v>31</v>
      </c>
      <c r="BM2" s="5" t="s">
        <v>32</v>
      </c>
      <c r="BN2" s="5" t="s">
        <v>33</v>
      </c>
      <c r="BO2" s="5" t="s">
        <v>67</v>
      </c>
      <c r="BP2" s="5" t="s">
        <v>65</v>
      </c>
      <c r="BQ2" s="5" t="s">
        <v>64</v>
      </c>
      <c r="BR2" s="5" t="s">
        <v>61</v>
      </c>
      <c r="BS2" s="5" t="s">
        <v>66</v>
      </c>
      <c r="BT2" s="5" t="s">
        <v>73</v>
      </c>
    </row>
    <row r="3" spans="1:72" ht="15.75" thickBot="1">
      <c r="A3" s="36">
        <f t="shared" ref="A3:A67" si="0">YEAR(C3)</f>
        <v>2000</v>
      </c>
      <c r="B3" s="36">
        <f>MONTH(C3)</f>
        <v>1</v>
      </c>
      <c r="C3" s="39">
        <v>36526</v>
      </c>
      <c r="D3" s="40" t="s">
        <v>35</v>
      </c>
      <c r="E3" s="37"/>
      <c r="F3" s="14">
        <v>177304</v>
      </c>
      <c r="G3" s="8"/>
      <c r="H3" s="9">
        <v>12707</v>
      </c>
      <c r="I3" s="10">
        <v>8956</v>
      </c>
      <c r="J3" s="10">
        <v>279</v>
      </c>
      <c r="K3" s="10">
        <v>8677</v>
      </c>
      <c r="L3" s="10">
        <v>2782</v>
      </c>
      <c r="M3" s="11">
        <v>164593</v>
      </c>
      <c r="N3" s="10">
        <v>84012</v>
      </c>
      <c r="O3" s="10">
        <v>45732</v>
      </c>
      <c r="P3" s="10">
        <v>4722</v>
      </c>
      <c r="Q3" s="10">
        <v>10514</v>
      </c>
      <c r="R3" s="10">
        <v>14187</v>
      </c>
      <c r="S3" s="10">
        <v>4087</v>
      </c>
      <c r="T3" s="10">
        <v>4771</v>
      </c>
      <c r="U3" s="10">
        <v>4315</v>
      </c>
      <c r="V3" s="10">
        <v>20132</v>
      </c>
      <c r="W3" s="10">
        <v>19053</v>
      </c>
      <c r="X3" s="10">
        <v>4495</v>
      </c>
      <c r="Y3" s="10">
        <v>15122</v>
      </c>
      <c r="Z3" s="10">
        <v>14828</v>
      </c>
      <c r="AA3" s="10">
        <v>555</v>
      </c>
      <c r="AB3" s="10">
        <v>4863</v>
      </c>
      <c r="AC3" s="10">
        <v>74</v>
      </c>
      <c r="AD3" s="10">
        <v>11679</v>
      </c>
      <c r="AE3" s="10">
        <v>5782</v>
      </c>
      <c r="AF3" s="10">
        <v>511</v>
      </c>
      <c r="AG3" s="10">
        <v>2500</v>
      </c>
      <c r="AH3" s="10">
        <v>549</v>
      </c>
      <c r="AI3" s="10">
        <v>2780</v>
      </c>
      <c r="AJ3" s="10">
        <v>5341</v>
      </c>
      <c r="AK3" s="10">
        <v>5330</v>
      </c>
      <c r="AL3" s="10">
        <v>5894</v>
      </c>
      <c r="AM3" s="12">
        <v>0</v>
      </c>
      <c r="AO3" s="13">
        <v>2000</v>
      </c>
      <c r="AP3" s="41">
        <f>SUMIF($A$3:$A$501,AO3,F$3:F$501)</f>
        <v>2302090</v>
      </c>
      <c r="AQ3" s="41">
        <f>SUMIF($A$3:$A$501,$AO3,H$3:H$501)</f>
        <v>130899</v>
      </c>
      <c r="AR3" s="41">
        <f>SUMIF($A$3:$A$501,$AO3,J$3:J$501)</f>
        <v>41866</v>
      </c>
      <c r="AS3" s="41">
        <f>SUMIF($A$3:$A$501,$AO3,K$3:K$501)</f>
        <v>36721</v>
      </c>
      <c r="AT3" s="41">
        <f>SUMIF($A$3:$A$501,$AO3,L$3:L$501)</f>
        <v>39733</v>
      </c>
      <c r="AU3" s="41">
        <f>SUMIF($A$3:$A$501,AO3,M$3:M$501)</f>
        <v>2161817</v>
      </c>
      <c r="AV3" s="41">
        <f>SUMIF($A$3:$A$501,$AO3,N$3:N$501)</f>
        <v>956422</v>
      </c>
      <c r="AW3" s="41">
        <f>SUMIF($A$3:$A$501,$AO3,O$3:O$501)</f>
        <v>482487</v>
      </c>
      <c r="AX3" s="41">
        <f t="shared" ref="AX3:BB3" si="1">SUMIF($A$3:$A$501,$AO3,P$3:P$501)</f>
        <v>102258</v>
      </c>
      <c r="AY3" s="41">
        <f t="shared" si="1"/>
        <v>129412</v>
      </c>
      <c r="AZ3" s="41">
        <f t="shared" si="1"/>
        <v>166527</v>
      </c>
      <c r="BA3" s="41">
        <f t="shared" si="1"/>
        <v>45519</v>
      </c>
      <c r="BB3" s="41">
        <f t="shared" si="1"/>
        <v>30217</v>
      </c>
      <c r="BC3" s="41">
        <f t="shared" ref="BC3" si="2">SUMIF($A$3:$A$501,$AO3,U$3:U$501)</f>
        <v>60062</v>
      </c>
      <c r="BD3" s="41">
        <f>SUMIF($A$3:$A$501,$AO3,V$3:V$501)</f>
        <v>204257</v>
      </c>
      <c r="BE3" s="41">
        <f t="shared" ref="BE3" si="3">SUMIF($A$3:$A$501,$AO3,X$3:X$501)</f>
        <v>96969</v>
      </c>
      <c r="BF3" s="41">
        <f>SUMIF($A$3:$A$501,$AO3,Y$3:Y$501)</f>
        <v>228573</v>
      </c>
      <c r="BG3" s="41">
        <f t="shared" ref="BG3" si="4">SUMIF($A$3:$A$501,$AO3,AA$3:AA$501)</f>
        <v>9173</v>
      </c>
      <c r="BH3" s="41">
        <f>SUMIF($A$3:$A$501,$AO3,AB$3:AB$501)</f>
        <v>75391</v>
      </c>
      <c r="BI3" s="41">
        <f>SUMIF($A$3:$A$501,$AO3,AC$3:AC$501)</f>
        <v>25611</v>
      </c>
      <c r="BJ3" s="41">
        <f t="shared" ref="BJ3" si="5">SUMIF($A$3:$A$501,$AO3,AD$3:AD$501)</f>
        <v>157873</v>
      </c>
      <c r="BK3" s="41">
        <f>SUMIF($A$3:$A$501,$AO3,AI$3:AI$501)</f>
        <v>46776</v>
      </c>
      <c r="BL3" s="41">
        <f t="shared" ref="BL3" si="6">SUMIF($A$3:$A$501,$AO3,AJ$3:AJ$501)</f>
        <v>73515</v>
      </c>
      <c r="BM3" s="41">
        <f>SUMIF($A$3:$A$501,$AO3,AK$3:AK$501)</f>
        <v>162671</v>
      </c>
      <c r="BN3" s="41">
        <f>SUMIF($A$3:$A$501,$AO3,AL$3:AL$501)</f>
        <v>64527</v>
      </c>
      <c r="BO3" s="44">
        <f>AQ3/$AP3</f>
        <v>5.6860939407234294E-2</v>
      </c>
      <c r="BP3" s="44">
        <f>AU3/$AP3</f>
        <v>0.93906710858393894</v>
      </c>
      <c r="BQ3" s="44">
        <f>AV3/AP3</f>
        <v>0.41545812718008418</v>
      </c>
      <c r="BR3" s="44">
        <f t="shared" ref="BR3:BR27" si="7">AV3/AU3</f>
        <v>0.44241580115245649</v>
      </c>
      <c r="BS3" s="44">
        <f t="shared" ref="BS3:BS28" si="8">BH3/AU3</f>
        <v>3.4873904682958826E-2</v>
      </c>
      <c r="BT3" s="44">
        <f>AW3/AU3</f>
        <v>0.22318586633373685</v>
      </c>
    </row>
    <row r="4" spans="1:72" ht="15.75" thickBot="1">
      <c r="A4" s="36">
        <f t="shared" si="0"/>
        <v>2000</v>
      </c>
      <c r="B4" s="36">
        <f t="shared" ref="B4:B67" si="9">MONTH(C4)</f>
        <v>2</v>
      </c>
      <c r="C4" s="39">
        <v>36557</v>
      </c>
      <c r="D4" s="40" t="s">
        <v>35</v>
      </c>
      <c r="E4" s="37"/>
      <c r="F4" s="14">
        <v>201986</v>
      </c>
      <c r="G4" s="8"/>
      <c r="H4" s="15">
        <v>9294</v>
      </c>
      <c r="I4" s="16">
        <v>6973</v>
      </c>
      <c r="J4" s="16">
        <v>1691</v>
      </c>
      <c r="K4" s="16">
        <v>5282</v>
      </c>
      <c r="L4" s="16">
        <v>1122</v>
      </c>
      <c r="M4" s="17">
        <v>192692</v>
      </c>
      <c r="N4" s="16">
        <v>90754</v>
      </c>
      <c r="O4" s="16">
        <v>48021</v>
      </c>
      <c r="P4" s="16">
        <v>7078</v>
      </c>
      <c r="Q4" s="16">
        <v>10294</v>
      </c>
      <c r="R4" s="16">
        <v>21297</v>
      </c>
      <c r="S4" s="16">
        <v>2692</v>
      </c>
      <c r="T4" s="16">
        <v>1371</v>
      </c>
      <c r="U4" s="16">
        <v>5289</v>
      </c>
      <c r="V4" s="16">
        <v>18905</v>
      </c>
      <c r="W4" s="16">
        <v>17219</v>
      </c>
      <c r="X4" s="16">
        <v>7554</v>
      </c>
      <c r="Y4" s="16">
        <v>15844</v>
      </c>
      <c r="Z4" s="16">
        <v>15415</v>
      </c>
      <c r="AA4" s="16">
        <v>947</v>
      </c>
      <c r="AB4" s="16">
        <v>5315</v>
      </c>
      <c r="AC4" s="16">
        <v>136</v>
      </c>
      <c r="AD4" s="16">
        <v>12544</v>
      </c>
      <c r="AE4" s="16">
        <v>6552</v>
      </c>
      <c r="AF4" s="16">
        <v>1220</v>
      </c>
      <c r="AG4" s="16">
        <v>2082</v>
      </c>
      <c r="AH4" s="16">
        <v>995</v>
      </c>
      <c r="AI4" s="16">
        <v>4003</v>
      </c>
      <c r="AJ4" s="16">
        <v>6019</v>
      </c>
      <c r="AK4" s="16">
        <v>21733</v>
      </c>
      <c r="AL4" s="16">
        <v>3649</v>
      </c>
      <c r="AM4" s="18">
        <v>0</v>
      </c>
      <c r="AO4" s="13">
        <v>2001</v>
      </c>
      <c r="AP4" s="41">
        <f t="shared" ref="AP4:AP28" si="10">SUMIF($A$3:$A$501,AO4,F$3:F$501)</f>
        <v>2061001</v>
      </c>
      <c r="AQ4" s="41">
        <f t="shared" ref="AQ4:AQ28" si="11">SUMIF($A$3:$A$501,AO4,H$3:H$501)</f>
        <v>157398</v>
      </c>
      <c r="AR4" s="41">
        <f t="shared" ref="AR4:AR28" si="12">SUMIF($A$3:$A$501,$AO4,J$3:J$501)</f>
        <v>72156</v>
      </c>
      <c r="AS4" s="41">
        <f t="shared" ref="AS4:AS28" si="13">SUMIF($A$3:$A$501,$AO4,K$3:K$501)</f>
        <v>31569</v>
      </c>
      <c r="AT4" s="41">
        <f t="shared" ref="AT4:AT28" si="14">SUMIF($A$3:$A$501,$AO4,L$3:L$501)</f>
        <v>40360</v>
      </c>
      <c r="AU4" s="41">
        <f t="shared" ref="AU4:AU28" si="15">SUMIF($A$3:$A$501,AO4,M$3:M$501)</f>
        <v>1894160</v>
      </c>
      <c r="AV4" s="41">
        <f t="shared" ref="AV4:AV28" si="16">SUMIF($A$3:$A$501,$AO4,N$3:N$501)</f>
        <v>778768</v>
      </c>
      <c r="AW4" s="41">
        <f t="shared" ref="AW4:AW10" si="17">SUMIF($A$3:$A$501,$AO4,O$3:O$501)</f>
        <v>301023</v>
      </c>
      <c r="AX4" s="41">
        <f t="shared" ref="AX4:AX10" si="18">SUMIF($A$3:$A$501,$AO4,P$3:P$501)</f>
        <v>89208</v>
      </c>
      <c r="AY4" s="41">
        <f t="shared" ref="AY4:AY10" si="19">SUMIF($A$3:$A$501,$AO4,Q$3:Q$501)</f>
        <v>130011</v>
      </c>
      <c r="AZ4" s="41">
        <f t="shared" ref="AZ4:AZ10" si="20">SUMIF($A$3:$A$501,$AO4,R$3:R$501)</f>
        <v>163703</v>
      </c>
      <c r="BA4" s="41">
        <f t="shared" ref="BA4:BA10" si="21">SUMIF($A$3:$A$501,$AO4,S$3:S$501)</f>
        <v>55058</v>
      </c>
      <c r="BB4" s="41">
        <f t="shared" ref="BB4:BB10" si="22">SUMIF($A$3:$A$501,$AO4,T$3:T$501)</f>
        <v>39760</v>
      </c>
      <c r="BC4" s="41">
        <f t="shared" ref="BC4:BC28" si="23">SUMIF($A$3:$A$501,$AO4,U$3:U$501)</f>
        <v>50408</v>
      </c>
      <c r="BD4" s="41">
        <f t="shared" ref="BD4:BD28" si="24">SUMIF($A$3:$A$501,$AO4,V$3:V$501)</f>
        <v>206079</v>
      </c>
      <c r="BE4" s="41">
        <f t="shared" ref="BE4:BE28" si="25">SUMIF($A$3:$A$501,$AO4,X$3:X$501)</f>
        <v>79242</v>
      </c>
      <c r="BF4" s="41">
        <f t="shared" ref="BF4:BF28" si="26">SUMIF($A$3:$A$501,$AO4,Y$3:Y$501)</f>
        <v>235640</v>
      </c>
      <c r="BG4" s="41">
        <f t="shared" ref="BG4:BG28" si="27">SUMIF($A$3:$A$501,$AO4,AA$3:AA$501)</f>
        <v>8946</v>
      </c>
      <c r="BH4" s="41">
        <f t="shared" ref="BH4:BH28" si="28">SUMIF($A$3:$A$501,$AO4,AB$3:AB$501)</f>
        <v>73635</v>
      </c>
      <c r="BI4" s="41">
        <f t="shared" ref="BI4:BI28" si="29">SUMIF($A$3:$A$501,$AO4,AC$3:AC$501)</f>
        <v>30579</v>
      </c>
      <c r="BJ4" s="41">
        <f t="shared" ref="BJ4:BJ28" si="30">SUMIF($A$3:$A$501,$AO4,AD$3:AD$501)</f>
        <v>143864</v>
      </c>
      <c r="BK4" s="41">
        <f t="shared" ref="BK4:BK28" si="31">SUMIF($A$3:$A$501,$AO4,AI$3:AI$501)</f>
        <v>48018</v>
      </c>
      <c r="BL4" s="41">
        <f t="shared" ref="BL4:BL28" si="32">SUMIF($A$3:$A$501,$AO4,AJ$3:AJ$501)</f>
        <v>70557</v>
      </c>
      <c r="BM4" s="41">
        <f t="shared" ref="BM4:BM28" si="33">SUMIF($A$3:$A$501,$AO4,AK$3:AK$501)</f>
        <v>112416</v>
      </c>
      <c r="BN4" s="41">
        <f t="shared" ref="BN4:BN28" si="34">SUMIF($A$3:$A$501,$AO4,AL$3:AL$501)</f>
        <v>56012</v>
      </c>
      <c r="BO4" s="44">
        <f t="shared" ref="BO4:BO28" si="35">AQ4/$AP4</f>
        <v>7.6369686380550028E-2</v>
      </c>
      <c r="BP4" s="44">
        <f t="shared" ref="BP4:BP28" si="36">AU4/AP4</f>
        <v>0.9190485594136053</v>
      </c>
      <c r="BQ4" s="44">
        <f t="shared" ref="BQ4:BQ28" si="37">AV4/AP4</f>
        <v>0.3778591082682638</v>
      </c>
      <c r="BR4" s="44">
        <f t="shared" si="7"/>
        <v>0.41114161422477508</v>
      </c>
      <c r="BS4" s="44">
        <f t="shared" si="8"/>
        <v>3.887475186890231E-2</v>
      </c>
      <c r="BT4" s="44">
        <f t="shared" ref="BT4:BT28" si="38">AW4/AU4</f>
        <v>0.15892163280821051</v>
      </c>
    </row>
    <row r="5" spans="1:72" ht="15.75" thickBot="1">
      <c r="A5" s="36">
        <f t="shared" si="0"/>
        <v>2000</v>
      </c>
      <c r="B5" s="36">
        <f t="shared" si="9"/>
        <v>3</v>
      </c>
      <c r="C5" s="39">
        <v>36586</v>
      </c>
      <c r="D5" s="40" t="s">
        <v>35</v>
      </c>
      <c r="E5" s="37"/>
      <c r="F5" s="14">
        <v>185997</v>
      </c>
      <c r="G5" s="8"/>
      <c r="H5" s="15">
        <v>9429</v>
      </c>
      <c r="I5" s="16">
        <v>5403</v>
      </c>
      <c r="J5" s="16">
        <v>2914</v>
      </c>
      <c r="K5" s="16">
        <v>2489</v>
      </c>
      <c r="L5" s="16">
        <v>2444</v>
      </c>
      <c r="M5" s="17">
        <v>176561</v>
      </c>
      <c r="N5" s="16">
        <v>79890</v>
      </c>
      <c r="O5" s="16">
        <v>45985</v>
      </c>
      <c r="P5" s="16">
        <v>9990</v>
      </c>
      <c r="Q5" s="16">
        <v>9360</v>
      </c>
      <c r="R5" s="16">
        <v>10666</v>
      </c>
      <c r="S5" s="16">
        <v>2395</v>
      </c>
      <c r="T5" s="16">
        <v>1495</v>
      </c>
      <c r="U5" s="16">
        <v>5947</v>
      </c>
      <c r="V5" s="16">
        <v>16597</v>
      </c>
      <c r="W5" s="16">
        <v>13946</v>
      </c>
      <c r="X5" s="16">
        <v>9786</v>
      </c>
      <c r="Y5" s="16">
        <v>17532</v>
      </c>
      <c r="Z5" s="16">
        <v>16907</v>
      </c>
      <c r="AA5" s="16">
        <v>885</v>
      </c>
      <c r="AB5" s="16">
        <v>6505</v>
      </c>
      <c r="AC5" s="16">
        <v>1112</v>
      </c>
      <c r="AD5" s="16">
        <v>13956</v>
      </c>
      <c r="AE5" s="16">
        <v>7348</v>
      </c>
      <c r="AF5" s="16">
        <v>1166</v>
      </c>
      <c r="AG5" s="16">
        <v>2735</v>
      </c>
      <c r="AH5" s="16">
        <v>626</v>
      </c>
      <c r="AI5" s="16">
        <v>3594</v>
      </c>
      <c r="AJ5" s="16">
        <v>6749</v>
      </c>
      <c r="AK5" s="16">
        <v>10907</v>
      </c>
      <c r="AL5" s="16">
        <v>3100</v>
      </c>
      <c r="AM5" s="18">
        <v>0</v>
      </c>
      <c r="AO5" s="13">
        <v>2002</v>
      </c>
      <c r="AP5" s="41">
        <f t="shared" si="10"/>
        <v>1861037</v>
      </c>
      <c r="AQ5" s="41">
        <f t="shared" si="11"/>
        <v>162095</v>
      </c>
      <c r="AR5" s="41">
        <f t="shared" si="12"/>
        <v>88817</v>
      </c>
      <c r="AS5" s="41">
        <f t="shared" si="13"/>
        <v>22575</v>
      </c>
      <c r="AT5" s="41">
        <f t="shared" si="14"/>
        <v>42553</v>
      </c>
      <c r="AU5" s="41">
        <f t="shared" si="15"/>
        <v>1693280</v>
      </c>
      <c r="AV5" s="41">
        <f t="shared" si="16"/>
        <v>777400</v>
      </c>
      <c r="AW5" s="41">
        <f t="shared" si="17"/>
        <v>338775</v>
      </c>
      <c r="AX5" s="41">
        <f t="shared" si="18"/>
        <v>98874</v>
      </c>
      <c r="AY5" s="41">
        <f t="shared" si="19"/>
        <v>126391</v>
      </c>
      <c r="AZ5" s="41">
        <f t="shared" si="20"/>
        <v>129809</v>
      </c>
      <c r="BA5" s="41">
        <f t="shared" si="21"/>
        <v>49365</v>
      </c>
      <c r="BB5" s="41">
        <f t="shared" si="22"/>
        <v>34186</v>
      </c>
      <c r="BC5" s="41">
        <f t="shared" si="23"/>
        <v>39741</v>
      </c>
      <c r="BD5" s="41">
        <f t="shared" si="24"/>
        <v>200795</v>
      </c>
      <c r="BE5" s="41">
        <f t="shared" si="25"/>
        <v>53051</v>
      </c>
      <c r="BF5" s="41">
        <f t="shared" si="26"/>
        <v>210830</v>
      </c>
      <c r="BG5" s="41">
        <f t="shared" si="27"/>
        <v>9616</v>
      </c>
      <c r="BH5" s="41">
        <f t="shared" si="28"/>
        <v>56500</v>
      </c>
      <c r="BI5" s="41">
        <f t="shared" si="29"/>
        <v>9170</v>
      </c>
      <c r="BJ5" s="41">
        <f t="shared" si="30"/>
        <v>116382</v>
      </c>
      <c r="BK5" s="41">
        <f t="shared" si="31"/>
        <v>52529</v>
      </c>
      <c r="BL5" s="41">
        <f t="shared" si="32"/>
        <v>57370</v>
      </c>
      <c r="BM5" s="41">
        <f t="shared" si="33"/>
        <v>65300</v>
      </c>
      <c r="BN5" s="41">
        <f t="shared" si="34"/>
        <v>44600</v>
      </c>
      <c r="BO5" s="44">
        <f t="shared" si="35"/>
        <v>8.7099289267220367E-2</v>
      </c>
      <c r="BP5" s="44">
        <f t="shared" si="36"/>
        <v>0.90985832092537655</v>
      </c>
      <c r="BQ5" s="44">
        <f t="shared" si="37"/>
        <v>0.41772409683418438</v>
      </c>
      <c r="BR5" s="44">
        <f t="shared" si="7"/>
        <v>0.45910894831333271</v>
      </c>
      <c r="BS5" s="44">
        <f t="shared" si="8"/>
        <v>3.3367192667485591E-2</v>
      </c>
      <c r="BT5" s="44">
        <f t="shared" si="38"/>
        <v>0.20007027780402534</v>
      </c>
    </row>
    <row r="6" spans="1:72" ht="15.75" thickBot="1">
      <c r="A6" s="36">
        <f t="shared" si="0"/>
        <v>2000</v>
      </c>
      <c r="B6" s="36">
        <f t="shared" si="9"/>
        <v>4</v>
      </c>
      <c r="C6" s="39">
        <v>36617</v>
      </c>
      <c r="D6" s="40" t="s">
        <v>35</v>
      </c>
      <c r="E6" s="37"/>
      <c r="F6" s="14">
        <v>178242</v>
      </c>
      <c r="G6" s="8"/>
      <c r="H6" s="15">
        <v>8486</v>
      </c>
      <c r="I6" s="16">
        <v>6016</v>
      </c>
      <c r="J6" s="16">
        <v>3465</v>
      </c>
      <c r="K6" s="16">
        <v>2551</v>
      </c>
      <c r="L6" s="16">
        <v>1552</v>
      </c>
      <c r="M6" s="17">
        <v>169752</v>
      </c>
      <c r="N6" s="16">
        <v>69188</v>
      </c>
      <c r="O6" s="16">
        <v>40985</v>
      </c>
      <c r="P6" s="16">
        <v>7466</v>
      </c>
      <c r="Q6" s="16">
        <v>7203</v>
      </c>
      <c r="R6" s="16">
        <v>9770</v>
      </c>
      <c r="S6" s="16">
        <v>1604</v>
      </c>
      <c r="T6" s="16">
        <v>2161</v>
      </c>
      <c r="U6" s="16">
        <v>3927</v>
      </c>
      <c r="V6" s="16">
        <v>17504</v>
      </c>
      <c r="W6" s="16">
        <v>14857</v>
      </c>
      <c r="X6" s="16">
        <v>11002</v>
      </c>
      <c r="Y6" s="16">
        <v>18211</v>
      </c>
      <c r="Z6" s="16">
        <v>17073</v>
      </c>
      <c r="AA6" s="16">
        <v>909</v>
      </c>
      <c r="AB6" s="16">
        <v>6728</v>
      </c>
      <c r="AC6" s="16">
        <v>2623</v>
      </c>
      <c r="AD6" s="16">
        <v>13630</v>
      </c>
      <c r="AE6" s="16">
        <v>7198</v>
      </c>
      <c r="AF6" s="16">
        <v>806</v>
      </c>
      <c r="AG6" s="16">
        <v>2502</v>
      </c>
      <c r="AH6" s="16">
        <v>668</v>
      </c>
      <c r="AI6" s="16">
        <v>2962</v>
      </c>
      <c r="AJ6" s="16">
        <v>5672</v>
      </c>
      <c r="AK6" s="16">
        <v>13873</v>
      </c>
      <c r="AL6" s="16">
        <v>3524</v>
      </c>
      <c r="AM6" s="18">
        <v>0</v>
      </c>
      <c r="AO6" s="13">
        <v>2003</v>
      </c>
      <c r="AP6" s="41">
        <f t="shared" si="10"/>
        <v>2208151</v>
      </c>
      <c r="AQ6" s="41">
        <f t="shared" si="11"/>
        <v>265384</v>
      </c>
      <c r="AR6" s="41">
        <f t="shared" si="12"/>
        <v>171102</v>
      </c>
      <c r="AS6" s="41">
        <f t="shared" si="13"/>
        <v>40227</v>
      </c>
      <c r="AT6" s="41">
        <f t="shared" si="14"/>
        <v>47537</v>
      </c>
      <c r="AU6" s="41">
        <f t="shared" si="15"/>
        <v>1938851</v>
      </c>
      <c r="AV6" s="41">
        <f t="shared" si="16"/>
        <v>952388</v>
      </c>
      <c r="AW6" s="41">
        <f t="shared" si="17"/>
        <v>464017</v>
      </c>
      <c r="AX6" s="41">
        <f t="shared" si="18"/>
        <v>105883</v>
      </c>
      <c r="AY6" s="41">
        <f t="shared" si="19"/>
        <v>135638</v>
      </c>
      <c r="AZ6" s="41">
        <f t="shared" si="20"/>
        <v>159951</v>
      </c>
      <c r="BA6" s="41">
        <f t="shared" si="21"/>
        <v>53825</v>
      </c>
      <c r="BB6" s="41">
        <f t="shared" si="22"/>
        <v>33078</v>
      </c>
      <c r="BC6" s="41">
        <f t="shared" si="23"/>
        <v>23847</v>
      </c>
      <c r="BD6" s="41">
        <f t="shared" si="24"/>
        <v>202342</v>
      </c>
      <c r="BE6" s="41">
        <f t="shared" si="25"/>
        <v>61662</v>
      </c>
      <c r="BF6" s="41">
        <f t="shared" si="26"/>
        <v>228346</v>
      </c>
      <c r="BG6" s="41">
        <f t="shared" si="27"/>
        <v>24576</v>
      </c>
      <c r="BH6" s="41">
        <f t="shared" si="28"/>
        <v>51299</v>
      </c>
      <c r="BI6" s="41">
        <f t="shared" si="29"/>
        <v>30516</v>
      </c>
      <c r="BJ6" s="41">
        <f t="shared" si="30"/>
        <v>123978</v>
      </c>
      <c r="BK6" s="41">
        <f t="shared" si="31"/>
        <v>75270</v>
      </c>
      <c r="BL6" s="41">
        <f t="shared" si="32"/>
        <v>63672</v>
      </c>
      <c r="BM6" s="41">
        <f t="shared" si="33"/>
        <v>37125</v>
      </c>
      <c r="BN6" s="41">
        <f t="shared" si="34"/>
        <v>63828</v>
      </c>
      <c r="BO6" s="44">
        <f t="shared" si="35"/>
        <v>0.12018380989343573</v>
      </c>
      <c r="BP6" s="44">
        <f t="shared" si="36"/>
        <v>0.87804276066265396</v>
      </c>
      <c r="BQ6" s="44">
        <f t="shared" si="37"/>
        <v>0.43130564893433465</v>
      </c>
      <c r="BR6" s="44">
        <f t="shared" si="7"/>
        <v>0.49121257899652937</v>
      </c>
      <c r="BS6" s="44">
        <f t="shared" si="8"/>
        <v>2.6458454001880495E-2</v>
      </c>
      <c r="BT6" s="44">
        <f t="shared" si="38"/>
        <v>0.2393257656209786</v>
      </c>
    </row>
    <row r="7" spans="1:72" ht="15.75" thickBot="1">
      <c r="A7" s="36">
        <f t="shared" si="0"/>
        <v>2000</v>
      </c>
      <c r="B7" s="36">
        <f t="shared" si="9"/>
        <v>5</v>
      </c>
      <c r="C7" s="39">
        <v>36647</v>
      </c>
      <c r="D7" s="40" t="s">
        <v>35</v>
      </c>
      <c r="E7" s="37"/>
      <c r="F7" s="14">
        <v>191487</v>
      </c>
      <c r="G7" s="8"/>
      <c r="H7" s="15">
        <v>13568</v>
      </c>
      <c r="I7" s="16">
        <v>7482</v>
      </c>
      <c r="J7" s="16">
        <v>3696</v>
      </c>
      <c r="K7" s="16">
        <v>3786</v>
      </c>
      <c r="L7" s="16">
        <v>5170</v>
      </c>
      <c r="M7" s="17">
        <v>177601</v>
      </c>
      <c r="N7" s="16">
        <v>73310</v>
      </c>
      <c r="O7" s="16">
        <v>42788</v>
      </c>
      <c r="P7" s="16">
        <v>8307</v>
      </c>
      <c r="Q7" s="16">
        <v>9506</v>
      </c>
      <c r="R7" s="16">
        <v>6373</v>
      </c>
      <c r="S7" s="16">
        <v>3737</v>
      </c>
      <c r="T7" s="16">
        <v>2599</v>
      </c>
      <c r="U7" s="16">
        <v>4901</v>
      </c>
      <c r="V7" s="16">
        <v>22239</v>
      </c>
      <c r="W7" s="16">
        <v>19252</v>
      </c>
      <c r="X7" s="16">
        <v>10871</v>
      </c>
      <c r="Y7" s="16">
        <v>17977</v>
      </c>
      <c r="Z7" s="16">
        <v>16878</v>
      </c>
      <c r="AA7" s="16">
        <v>823</v>
      </c>
      <c r="AB7" s="16">
        <v>6689</v>
      </c>
      <c r="AC7" s="16">
        <v>2137</v>
      </c>
      <c r="AD7" s="16">
        <v>13158</v>
      </c>
      <c r="AE7" s="16">
        <v>6354</v>
      </c>
      <c r="AF7" s="16">
        <v>1061</v>
      </c>
      <c r="AG7" s="16">
        <v>2783</v>
      </c>
      <c r="AH7" s="16">
        <v>746</v>
      </c>
      <c r="AI7" s="16">
        <v>2524</v>
      </c>
      <c r="AJ7" s="16">
        <v>5552</v>
      </c>
      <c r="AK7" s="16">
        <v>12902</v>
      </c>
      <c r="AL7" s="16">
        <v>4519</v>
      </c>
      <c r="AM7" s="18">
        <v>314</v>
      </c>
      <c r="AO7" s="13">
        <v>2004</v>
      </c>
      <c r="AP7" s="41">
        <f t="shared" si="10"/>
        <v>2937230</v>
      </c>
      <c r="AQ7" s="41">
        <f t="shared" si="11"/>
        <v>361814</v>
      </c>
      <c r="AR7" s="41">
        <f t="shared" si="12"/>
        <v>219104</v>
      </c>
      <c r="AS7" s="41">
        <f t="shared" si="13"/>
        <v>76389</v>
      </c>
      <c r="AT7" s="41">
        <f t="shared" si="14"/>
        <v>55537</v>
      </c>
      <c r="AU7" s="41">
        <f t="shared" si="15"/>
        <v>2574731</v>
      </c>
      <c r="AV7" s="41">
        <f t="shared" si="16"/>
        <v>1312642</v>
      </c>
      <c r="AW7" s="41">
        <f t="shared" si="17"/>
        <v>734505</v>
      </c>
      <c r="AX7" s="41">
        <f t="shared" si="18"/>
        <v>126510</v>
      </c>
      <c r="AY7" s="41">
        <f t="shared" si="19"/>
        <v>174681</v>
      </c>
      <c r="AZ7" s="41">
        <f t="shared" si="20"/>
        <v>162890</v>
      </c>
      <c r="BA7" s="41">
        <f t="shared" si="21"/>
        <v>73326</v>
      </c>
      <c r="BB7" s="41">
        <f t="shared" si="22"/>
        <v>40730</v>
      </c>
      <c r="BC7" s="41">
        <f t="shared" si="23"/>
        <v>25925</v>
      </c>
      <c r="BD7" s="41">
        <f t="shared" si="24"/>
        <v>199846</v>
      </c>
      <c r="BE7" s="41">
        <f t="shared" si="25"/>
        <v>67862</v>
      </c>
      <c r="BF7" s="41">
        <f t="shared" si="26"/>
        <v>239150</v>
      </c>
      <c r="BG7" s="41">
        <f t="shared" si="27"/>
        <v>51174</v>
      </c>
      <c r="BH7" s="41">
        <f t="shared" si="28"/>
        <v>56597</v>
      </c>
      <c r="BI7" s="41">
        <f t="shared" si="29"/>
        <v>128189</v>
      </c>
      <c r="BJ7" s="41">
        <f t="shared" si="30"/>
        <v>167553</v>
      </c>
      <c r="BK7" s="41">
        <f t="shared" si="31"/>
        <v>105039</v>
      </c>
      <c r="BL7" s="41">
        <f t="shared" si="32"/>
        <v>87966</v>
      </c>
      <c r="BM7" s="41">
        <f t="shared" si="33"/>
        <v>58329</v>
      </c>
      <c r="BN7" s="41">
        <f t="shared" si="34"/>
        <v>74465</v>
      </c>
      <c r="BO7" s="44">
        <f t="shared" si="35"/>
        <v>0.1231820456688785</v>
      </c>
      <c r="BP7" s="44">
        <f t="shared" si="36"/>
        <v>0.87658474140601861</v>
      </c>
      <c r="BQ7" s="44">
        <f t="shared" si="37"/>
        <v>0.44689792763930641</v>
      </c>
      <c r="BR7" s="44">
        <f t="shared" si="7"/>
        <v>0.50981714206260775</v>
      </c>
      <c r="BS7" s="44">
        <f t="shared" si="8"/>
        <v>2.1981713817870681E-2</v>
      </c>
      <c r="BT7" s="44">
        <f t="shared" si="38"/>
        <v>0.28527446168162812</v>
      </c>
    </row>
    <row r="8" spans="1:72" ht="15.75" thickBot="1">
      <c r="A8" s="36">
        <f t="shared" si="0"/>
        <v>2000</v>
      </c>
      <c r="B8" s="36">
        <f t="shared" si="9"/>
        <v>6</v>
      </c>
      <c r="C8" s="39">
        <v>36678</v>
      </c>
      <c r="D8" s="40" t="s">
        <v>35</v>
      </c>
      <c r="E8" s="37"/>
      <c r="F8" s="14">
        <v>199539</v>
      </c>
      <c r="G8" s="8"/>
      <c r="H8" s="15">
        <v>11416</v>
      </c>
      <c r="I8" s="16">
        <v>8900</v>
      </c>
      <c r="J8" s="16">
        <v>5804</v>
      </c>
      <c r="K8" s="16">
        <v>3096</v>
      </c>
      <c r="L8" s="16">
        <v>1167</v>
      </c>
      <c r="M8" s="17">
        <v>186469</v>
      </c>
      <c r="N8" s="16">
        <v>76312</v>
      </c>
      <c r="O8" s="16">
        <v>37566</v>
      </c>
      <c r="P8" s="16">
        <v>10541</v>
      </c>
      <c r="Q8" s="16">
        <v>11915</v>
      </c>
      <c r="R8" s="16">
        <v>10241</v>
      </c>
      <c r="S8" s="16">
        <v>3509</v>
      </c>
      <c r="T8" s="16">
        <v>2540</v>
      </c>
      <c r="U8" s="16">
        <v>4654</v>
      </c>
      <c r="V8" s="16">
        <v>18002</v>
      </c>
      <c r="W8" s="16">
        <v>15269</v>
      </c>
      <c r="X8" s="16">
        <v>7815</v>
      </c>
      <c r="Y8" s="16">
        <v>20858</v>
      </c>
      <c r="Z8" s="16">
        <v>18595</v>
      </c>
      <c r="AA8" s="16">
        <v>783</v>
      </c>
      <c r="AB8" s="16">
        <v>6594</v>
      </c>
      <c r="AC8" s="16">
        <v>3346</v>
      </c>
      <c r="AD8" s="16">
        <v>13218</v>
      </c>
      <c r="AE8" s="16">
        <v>6689</v>
      </c>
      <c r="AF8" s="16">
        <v>1645</v>
      </c>
      <c r="AG8" s="16">
        <v>2336</v>
      </c>
      <c r="AH8" s="16">
        <v>563</v>
      </c>
      <c r="AI8" s="16">
        <v>3386</v>
      </c>
      <c r="AJ8" s="16">
        <v>7638</v>
      </c>
      <c r="AK8" s="16">
        <v>18243</v>
      </c>
      <c r="AL8" s="16">
        <v>5621</v>
      </c>
      <c r="AM8" s="18">
        <v>1648</v>
      </c>
      <c r="AO8" s="13">
        <v>2005</v>
      </c>
      <c r="AP8" s="41">
        <f t="shared" si="10"/>
        <v>3421893</v>
      </c>
      <c r="AQ8" s="41">
        <f t="shared" si="11"/>
        <v>338127</v>
      </c>
      <c r="AR8" s="41">
        <f t="shared" si="12"/>
        <v>224514</v>
      </c>
      <c r="AS8" s="41">
        <f t="shared" si="13"/>
        <v>45623</v>
      </c>
      <c r="AT8" s="41">
        <f t="shared" si="14"/>
        <v>56384</v>
      </c>
      <c r="AU8" s="41">
        <f t="shared" si="15"/>
        <v>3071499</v>
      </c>
      <c r="AV8" s="41">
        <f t="shared" si="16"/>
        <v>1618909</v>
      </c>
      <c r="AW8" s="41">
        <f t="shared" si="17"/>
        <v>904298</v>
      </c>
      <c r="AX8" s="41">
        <f t="shared" si="18"/>
        <v>137808</v>
      </c>
      <c r="AY8" s="41">
        <f t="shared" si="19"/>
        <v>246135</v>
      </c>
      <c r="AZ8" s="41">
        <f t="shared" si="20"/>
        <v>199144</v>
      </c>
      <c r="BA8" s="41">
        <f t="shared" si="21"/>
        <v>74566</v>
      </c>
      <c r="BB8" s="41">
        <f t="shared" si="22"/>
        <v>56962</v>
      </c>
      <c r="BC8" s="41">
        <f t="shared" si="23"/>
        <v>21892</v>
      </c>
      <c r="BD8" s="41">
        <f t="shared" si="24"/>
        <v>208651</v>
      </c>
      <c r="BE8" s="41">
        <f t="shared" si="25"/>
        <v>66945</v>
      </c>
      <c r="BF8" s="41">
        <f t="shared" si="26"/>
        <v>247853</v>
      </c>
      <c r="BG8" s="41">
        <f t="shared" si="27"/>
        <v>85898</v>
      </c>
      <c r="BH8" s="41">
        <f t="shared" si="28"/>
        <v>68393</v>
      </c>
      <c r="BI8" s="41">
        <f t="shared" si="29"/>
        <v>150661</v>
      </c>
      <c r="BJ8" s="41">
        <f t="shared" si="30"/>
        <v>185444</v>
      </c>
      <c r="BK8" s="41">
        <f t="shared" si="31"/>
        <v>139253</v>
      </c>
      <c r="BL8" s="41">
        <f t="shared" si="32"/>
        <v>111849</v>
      </c>
      <c r="BM8" s="41">
        <f t="shared" si="33"/>
        <v>70378</v>
      </c>
      <c r="BN8" s="41">
        <f t="shared" si="34"/>
        <v>95373</v>
      </c>
      <c r="BO8" s="44">
        <f t="shared" si="35"/>
        <v>9.8812850080350262E-2</v>
      </c>
      <c r="BP8" s="44">
        <f t="shared" si="36"/>
        <v>0.89760229206465547</v>
      </c>
      <c r="BQ8" s="44">
        <f t="shared" si="37"/>
        <v>0.47310333783084391</v>
      </c>
      <c r="BR8" s="44">
        <f t="shared" si="7"/>
        <v>0.52707456522043472</v>
      </c>
      <c r="BS8" s="44">
        <f t="shared" si="8"/>
        <v>2.2266977785114044E-2</v>
      </c>
      <c r="BT8" s="44">
        <f t="shared" si="38"/>
        <v>0.29441585362717032</v>
      </c>
    </row>
    <row r="9" spans="1:72" ht="15.75" thickBot="1">
      <c r="A9" s="36">
        <f t="shared" si="0"/>
        <v>2000</v>
      </c>
      <c r="B9" s="36">
        <f t="shared" si="9"/>
        <v>7</v>
      </c>
      <c r="C9" s="39">
        <v>36708</v>
      </c>
      <c r="D9" s="40" t="s">
        <v>35</v>
      </c>
      <c r="E9" s="37"/>
      <c r="F9" s="14">
        <v>196148</v>
      </c>
      <c r="G9" s="8"/>
      <c r="H9" s="15">
        <v>13816</v>
      </c>
      <c r="I9" s="16">
        <v>7002</v>
      </c>
      <c r="J9" s="16">
        <v>5097</v>
      </c>
      <c r="K9" s="16">
        <v>1905</v>
      </c>
      <c r="L9" s="16">
        <v>5927</v>
      </c>
      <c r="M9" s="17">
        <v>179086</v>
      </c>
      <c r="N9" s="16">
        <v>79359</v>
      </c>
      <c r="O9" s="16">
        <v>34716</v>
      </c>
      <c r="P9" s="16">
        <v>11526</v>
      </c>
      <c r="Q9" s="16">
        <v>10571</v>
      </c>
      <c r="R9" s="16">
        <v>17492</v>
      </c>
      <c r="S9" s="16">
        <v>2279</v>
      </c>
      <c r="T9" s="16">
        <v>2775</v>
      </c>
      <c r="U9" s="16">
        <v>4518</v>
      </c>
      <c r="V9" s="16">
        <v>14648</v>
      </c>
      <c r="W9" s="16">
        <v>12035</v>
      </c>
      <c r="X9" s="16">
        <v>7342</v>
      </c>
      <c r="Y9" s="16">
        <v>18950</v>
      </c>
      <c r="Z9" s="16">
        <v>17670</v>
      </c>
      <c r="AA9" s="16">
        <v>793</v>
      </c>
      <c r="AB9" s="16">
        <v>7895</v>
      </c>
      <c r="AC9" s="16">
        <v>2458</v>
      </c>
      <c r="AD9" s="16">
        <v>11921</v>
      </c>
      <c r="AE9" s="16">
        <v>5562</v>
      </c>
      <c r="AF9" s="16">
        <v>1122</v>
      </c>
      <c r="AG9" s="16">
        <v>3145</v>
      </c>
      <c r="AH9" s="16">
        <v>674</v>
      </c>
      <c r="AI9" s="16">
        <v>4002</v>
      </c>
      <c r="AJ9" s="16">
        <v>5655</v>
      </c>
      <c r="AK9" s="16">
        <v>16215</v>
      </c>
      <c r="AL9" s="16">
        <v>5330</v>
      </c>
      <c r="AM9" s="18">
        <v>3246</v>
      </c>
      <c r="AO9" s="13">
        <v>2006</v>
      </c>
      <c r="AP9" s="41">
        <f t="shared" si="10"/>
        <v>3989322</v>
      </c>
      <c r="AQ9" s="41">
        <f t="shared" si="11"/>
        <v>427489</v>
      </c>
      <c r="AR9" s="41">
        <f t="shared" si="12"/>
        <v>246951</v>
      </c>
      <c r="AS9" s="41">
        <f t="shared" si="13"/>
        <v>91480</v>
      </c>
      <c r="AT9" s="41">
        <f t="shared" si="14"/>
        <v>74569</v>
      </c>
      <c r="AU9" s="41">
        <f t="shared" si="15"/>
        <v>3559215</v>
      </c>
      <c r="AV9" s="41">
        <f t="shared" si="16"/>
        <v>1910907</v>
      </c>
      <c r="AW9" s="41">
        <f t="shared" si="17"/>
        <v>1134608</v>
      </c>
      <c r="AX9" s="41">
        <f t="shared" si="18"/>
        <v>160679</v>
      </c>
      <c r="AY9" s="41">
        <f t="shared" si="19"/>
        <v>257017</v>
      </c>
      <c r="AZ9" s="41">
        <f t="shared" si="20"/>
        <v>217511</v>
      </c>
      <c r="BA9" s="41">
        <f t="shared" si="21"/>
        <v>81144</v>
      </c>
      <c r="BB9" s="41">
        <f t="shared" si="22"/>
        <v>59945</v>
      </c>
      <c r="BC9" s="41">
        <f t="shared" si="23"/>
        <v>21270</v>
      </c>
      <c r="BD9" s="41">
        <f t="shared" si="24"/>
        <v>209476</v>
      </c>
      <c r="BE9" s="41">
        <f t="shared" si="25"/>
        <v>67960</v>
      </c>
      <c r="BF9" s="41">
        <f t="shared" si="26"/>
        <v>301994</v>
      </c>
      <c r="BG9" s="41">
        <f t="shared" si="27"/>
        <v>115782</v>
      </c>
      <c r="BH9" s="41">
        <f t="shared" si="28"/>
        <v>72247</v>
      </c>
      <c r="BI9" s="41">
        <f t="shared" si="29"/>
        <v>138182</v>
      </c>
      <c r="BJ9" s="41">
        <f t="shared" si="30"/>
        <v>213001</v>
      </c>
      <c r="BK9" s="41">
        <f t="shared" si="31"/>
        <v>171456</v>
      </c>
      <c r="BL9" s="41">
        <f t="shared" si="32"/>
        <v>145040</v>
      </c>
      <c r="BM9" s="41">
        <f t="shared" si="33"/>
        <v>112037</v>
      </c>
      <c r="BN9" s="41">
        <f t="shared" si="34"/>
        <v>79865</v>
      </c>
      <c r="BO9" s="44">
        <f t="shared" si="35"/>
        <v>0.10715830910615889</v>
      </c>
      <c r="BP9" s="44">
        <f t="shared" si="36"/>
        <v>0.89218543902948921</v>
      </c>
      <c r="BQ9" s="44">
        <f t="shared" si="37"/>
        <v>0.47900545506228875</v>
      </c>
      <c r="BR9" s="44">
        <f t="shared" si="7"/>
        <v>0.53689001647835266</v>
      </c>
      <c r="BS9" s="44">
        <f t="shared" si="8"/>
        <v>2.0298577073877246E-2</v>
      </c>
      <c r="BT9" s="44">
        <f t="shared" si="38"/>
        <v>0.31878040522980489</v>
      </c>
    </row>
    <row r="10" spans="1:72" ht="15.75" thickBot="1">
      <c r="A10" s="36">
        <f t="shared" si="0"/>
        <v>2000</v>
      </c>
      <c r="B10" s="36">
        <f t="shared" si="9"/>
        <v>8</v>
      </c>
      <c r="C10" s="39">
        <v>36739</v>
      </c>
      <c r="D10" s="40" t="s">
        <v>35</v>
      </c>
      <c r="E10" s="37"/>
      <c r="F10" s="14">
        <v>212700</v>
      </c>
      <c r="G10" s="8"/>
      <c r="H10" s="15">
        <v>14631</v>
      </c>
      <c r="I10" s="16">
        <v>9646</v>
      </c>
      <c r="J10" s="16">
        <v>7641</v>
      </c>
      <c r="K10" s="16">
        <v>2005</v>
      </c>
      <c r="L10" s="16">
        <v>3801</v>
      </c>
      <c r="M10" s="17">
        <v>197942</v>
      </c>
      <c r="N10" s="16">
        <v>89434</v>
      </c>
      <c r="O10" s="16">
        <v>41783</v>
      </c>
      <c r="P10" s="16">
        <v>8887</v>
      </c>
      <c r="Q10" s="16">
        <v>11501</v>
      </c>
      <c r="R10" s="16">
        <v>21000</v>
      </c>
      <c r="S10" s="16">
        <v>3902</v>
      </c>
      <c r="T10" s="16">
        <v>2360</v>
      </c>
      <c r="U10" s="16">
        <v>5702</v>
      </c>
      <c r="V10" s="16">
        <v>16910</v>
      </c>
      <c r="W10" s="16">
        <v>14202</v>
      </c>
      <c r="X10" s="16">
        <v>8021</v>
      </c>
      <c r="Y10" s="16">
        <v>22921</v>
      </c>
      <c r="Z10" s="16">
        <v>20879</v>
      </c>
      <c r="AA10" s="16">
        <v>661</v>
      </c>
      <c r="AB10" s="16">
        <v>6795</v>
      </c>
      <c r="AC10" s="16">
        <v>2121</v>
      </c>
      <c r="AD10" s="16">
        <v>13038</v>
      </c>
      <c r="AE10" s="16">
        <v>5454</v>
      </c>
      <c r="AF10" s="16">
        <v>2774</v>
      </c>
      <c r="AG10" s="16">
        <v>2645</v>
      </c>
      <c r="AH10" s="16">
        <v>861</v>
      </c>
      <c r="AI10" s="16">
        <v>4869</v>
      </c>
      <c r="AJ10" s="16">
        <v>6023</v>
      </c>
      <c r="AK10" s="16">
        <v>15801</v>
      </c>
      <c r="AL10" s="16">
        <v>5647</v>
      </c>
      <c r="AM10" s="18">
        <v>119</v>
      </c>
      <c r="AO10" s="13">
        <v>2007</v>
      </c>
      <c r="AP10" s="41">
        <f t="shared" si="10"/>
        <v>4517552</v>
      </c>
      <c r="AQ10" s="41">
        <f t="shared" si="11"/>
        <v>610450</v>
      </c>
      <c r="AR10" s="41">
        <f t="shared" si="12"/>
        <v>376553</v>
      </c>
      <c r="AS10" s="41">
        <f t="shared" si="13"/>
        <v>107744</v>
      </c>
      <c r="AT10" s="41">
        <f t="shared" si="14"/>
        <v>113226</v>
      </c>
      <c r="AU10" s="41">
        <f t="shared" si="15"/>
        <v>3838735</v>
      </c>
      <c r="AV10" s="41">
        <f t="shared" si="16"/>
        <v>1988585</v>
      </c>
      <c r="AW10" s="41">
        <f t="shared" si="17"/>
        <v>1014969</v>
      </c>
      <c r="AX10" s="41">
        <f t="shared" si="18"/>
        <v>189257</v>
      </c>
      <c r="AY10" s="41">
        <f t="shared" si="19"/>
        <v>335821</v>
      </c>
      <c r="AZ10" s="41">
        <f t="shared" si="20"/>
        <v>278692</v>
      </c>
      <c r="BA10" s="41">
        <f t="shared" si="21"/>
        <v>89878</v>
      </c>
      <c r="BB10" s="41">
        <f t="shared" si="22"/>
        <v>79970</v>
      </c>
      <c r="BC10" s="41">
        <f t="shared" si="23"/>
        <v>21890</v>
      </c>
      <c r="BD10" s="41">
        <f t="shared" si="24"/>
        <v>235354</v>
      </c>
      <c r="BE10" s="41">
        <f t="shared" si="25"/>
        <v>67272</v>
      </c>
      <c r="BF10" s="41">
        <f t="shared" si="26"/>
        <v>304703</v>
      </c>
      <c r="BG10" s="41">
        <f t="shared" si="27"/>
        <v>134537</v>
      </c>
      <c r="BH10" s="41">
        <f t="shared" si="28"/>
        <v>64114</v>
      </c>
      <c r="BI10" s="41">
        <f t="shared" si="29"/>
        <v>125794</v>
      </c>
      <c r="BJ10" s="41">
        <f t="shared" si="30"/>
        <v>272361</v>
      </c>
      <c r="BK10" s="41">
        <f t="shared" si="31"/>
        <v>207886</v>
      </c>
      <c r="BL10" s="41">
        <f t="shared" si="32"/>
        <v>194523</v>
      </c>
      <c r="BM10" s="41">
        <f t="shared" si="33"/>
        <v>124999</v>
      </c>
      <c r="BN10" s="41">
        <f t="shared" si="34"/>
        <v>96715</v>
      </c>
      <c r="BO10" s="44">
        <f t="shared" si="35"/>
        <v>0.13512849437040236</v>
      </c>
      <c r="BP10" s="44">
        <f t="shared" si="36"/>
        <v>0.84973786688011566</v>
      </c>
      <c r="BQ10" s="44">
        <f t="shared" si="37"/>
        <v>0.44019083786971352</v>
      </c>
      <c r="BR10" s="44">
        <f t="shared" si="7"/>
        <v>0.51803133063365925</v>
      </c>
      <c r="BS10" s="44">
        <f t="shared" si="8"/>
        <v>1.6701856210444326E-2</v>
      </c>
      <c r="BT10" s="44">
        <f t="shared" si="38"/>
        <v>0.26440194491153984</v>
      </c>
    </row>
    <row r="11" spans="1:72" ht="15.75" thickBot="1">
      <c r="A11" s="36">
        <f t="shared" si="0"/>
        <v>2000</v>
      </c>
      <c r="B11" s="36">
        <f t="shared" si="9"/>
        <v>9</v>
      </c>
      <c r="C11" s="39">
        <v>36770</v>
      </c>
      <c r="D11" s="40" t="s">
        <v>35</v>
      </c>
      <c r="E11" s="37"/>
      <c r="F11" s="14">
        <v>207347</v>
      </c>
      <c r="G11" s="8"/>
      <c r="H11" s="15">
        <v>9929</v>
      </c>
      <c r="I11" s="16">
        <v>6877</v>
      </c>
      <c r="J11" s="16">
        <v>5527</v>
      </c>
      <c r="K11" s="16">
        <v>1350</v>
      </c>
      <c r="L11" s="16">
        <v>1873</v>
      </c>
      <c r="M11" s="17">
        <v>196404</v>
      </c>
      <c r="N11" s="16">
        <v>85265</v>
      </c>
      <c r="O11" s="16">
        <v>41309</v>
      </c>
      <c r="P11" s="16">
        <v>9948</v>
      </c>
      <c r="Q11" s="16">
        <v>10988</v>
      </c>
      <c r="R11" s="16">
        <v>17463</v>
      </c>
      <c r="S11" s="16">
        <v>2972</v>
      </c>
      <c r="T11" s="16">
        <v>2584</v>
      </c>
      <c r="U11" s="16">
        <v>5649</v>
      </c>
      <c r="V11" s="16">
        <v>16174</v>
      </c>
      <c r="W11" s="16">
        <v>13503</v>
      </c>
      <c r="X11" s="16">
        <v>10689</v>
      </c>
      <c r="Y11" s="16">
        <v>21669</v>
      </c>
      <c r="Z11" s="16">
        <v>21185</v>
      </c>
      <c r="AA11" s="16">
        <v>875</v>
      </c>
      <c r="AB11" s="16">
        <v>5982</v>
      </c>
      <c r="AC11" s="16">
        <v>2150</v>
      </c>
      <c r="AD11" s="16">
        <v>16298</v>
      </c>
      <c r="AE11" s="16">
        <v>6398</v>
      </c>
      <c r="AF11" s="16">
        <v>3327</v>
      </c>
      <c r="AG11" s="16">
        <v>3537</v>
      </c>
      <c r="AH11" s="16">
        <v>1191</v>
      </c>
      <c r="AI11" s="16">
        <v>4079</v>
      </c>
      <c r="AJ11" s="16">
        <v>7171</v>
      </c>
      <c r="AK11" s="16">
        <v>14035</v>
      </c>
      <c r="AL11" s="16">
        <v>6368</v>
      </c>
      <c r="AM11" s="18">
        <v>979</v>
      </c>
      <c r="AO11" s="13">
        <v>2008</v>
      </c>
      <c r="AP11" s="41">
        <f t="shared" si="10"/>
        <v>5941896</v>
      </c>
      <c r="AQ11" s="41">
        <f t="shared" si="11"/>
        <v>922943</v>
      </c>
      <c r="AR11" s="41">
        <f t="shared" si="12"/>
        <v>599442</v>
      </c>
      <c r="AS11" s="41">
        <f t="shared" si="13"/>
        <v>132712</v>
      </c>
      <c r="AT11" s="41">
        <f t="shared" si="14"/>
        <v>177790</v>
      </c>
      <c r="AU11" s="41">
        <f t="shared" si="15"/>
        <v>5020585</v>
      </c>
      <c r="AV11" s="41">
        <f t="shared" si="16"/>
        <v>2844768</v>
      </c>
      <c r="AW11" s="41">
        <f t="shared" ref="AW11:AW28" si="39">SUMIF($A$3:$A$501,$AO11,O$3:O$501)</f>
        <v>1487637</v>
      </c>
      <c r="AX11" s="41">
        <f t="shared" ref="AX11:AX28" si="40">SUMIF($A$3:$A$501,$AO11,P$3:P$501)</f>
        <v>202141</v>
      </c>
      <c r="AY11" s="41">
        <f t="shared" ref="AY11:AY28" si="41">SUMIF($A$3:$A$501,$AO11,Q$3:Q$501)</f>
        <v>431467</v>
      </c>
      <c r="AZ11" s="41">
        <f t="shared" ref="AZ11:AZ28" si="42">SUMIF($A$3:$A$501,$AO11,R$3:R$501)</f>
        <v>441087</v>
      </c>
      <c r="BA11" s="41">
        <f t="shared" ref="BA11:BA28" si="43">SUMIF($A$3:$A$501,$AO11,S$3:S$501)</f>
        <v>175339</v>
      </c>
      <c r="BB11" s="41">
        <f t="shared" ref="BB11:BB28" si="44">SUMIF($A$3:$A$501,$AO11,T$3:T$501)</f>
        <v>107095</v>
      </c>
      <c r="BC11" s="41">
        <f t="shared" si="23"/>
        <v>19407</v>
      </c>
      <c r="BD11" s="41">
        <f t="shared" si="24"/>
        <v>230583</v>
      </c>
      <c r="BE11" s="41">
        <f t="shared" si="25"/>
        <v>68214</v>
      </c>
      <c r="BF11" s="41">
        <f t="shared" si="26"/>
        <v>255033</v>
      </c>
      <c r="BG11" s="41">
        <f t="shared" si="27"/>
        <v>244424</v>
      </c>
      <c r="BH11" s="41">
        <f t="shared" si="28"/>
        <v>84894</v>
      </c>
      <c r="BI11" s="41">
        <f t="shared" si="29"/>
        <v>187209</v>
      </c>
      <c r="BJ11" s="41">
        <f t="shared" si="30"/>
        <v>375065</v>
      </c>
      <c r="BK11" s="41">
        <f t="shared" si="31"/>
        <v>247599</v>
      </c>
      <c r="BL11" s="41">
        <f t="shared" si="32"/>
        <v>187281</v>
      </c>
      <c r="BM11" s="41">
        <f t="shared" si="33"/>
        <v>165588</v>
      </c>
      <c r="BN11" s="41">
        <f t="shared" si="34"/>
        <v>110516</v>
      </c>
      <c r="BO11" s="44">
        <f t="shared" si="35"/>
        <v>0.1553280299756172</v>
      </c>
      <c r="BP11" s="44">
        <f t="shared" si="36"/>
        <v>0.84494662982993984</v>
      </c>
      <c r="BQ11" s="44">
        <f t="shared" si="37"/>
        <v>0.47876435400417644</v>
      </c>
      <c r="BR11" s="44">
        <f t="shared" si="7"/>
        <v>0.56662082207551512</v>
      </c>
      <c r="BS11" s="44">
        <f t="shared" si="8"/>
        <v>1.690918488582506E-2</v>
      </c>
      <c r="BT11" s="44">
        <f t="shared" si="38"/>
        <v>0.29630750201420752</v>
      </c>
    </row>
    <row r="12" spans="1:72" ht="15.75" thickBot="1">
      <c r="A12" s="36">
        <f t="shared" si="0"/>
        <v>2000</v>
      </c>
      <c r="B12" s="36">
        <f t="shared" si="9"/>
        <v>10</v>
      </c>
      <c r="C12" s="39">
        <v>36800</v>
      </c>
      <c r="D12" s="40" t="s">
        <v>35</v>
      </c>
      <c r="E12" s="37"/>
      <c r="F12" s="14">
        <v>206916</v>
      </c>
      <c r="G12" s="8"/>
      <c r="H12" s="15">
        <v>11281</v>
      </c>
      <c r="I12" s="16">
        <v>4697</v>
      </c>
      <c r="J12" s="16">
        <v>3300</v>
      </c>
      <c r="K12" s="16">
        <v>1397</v>
      </c>
      <c r="L12" s="16">
        <v>5649</v>
      </c>
      <c r="M12" s="17">
        <v>193688</v>
      </c>
      <c r="N12" s="16">
        <v>82033</v>
      </c>
      <c r="O12" s="16">
        <v>38259</v>
      </c>
      <c r="P12" s="16">
        <v>11297</v>
      </c>
      <c r="Q12" s="16">
        <v>11401</v>
      </c>
      <c r="R12" s="16">
        <v>10811</v>
      </c>
      <c r="S12" s="16">
        <v>7489</v>
      </c>
      <c r="T12" s="16">
        <v>2775</v>
      </c>
      <c r="U12" s="16">
        <v>5613</v>
      </c>
      <c r="V12" s="16">
        <v>17520</v>
      </c>
      <c r="W12" s="16">
        <v>14679</v>
      </c>
      <c r="X12" s="16">
        <v>8805</v>
      </c>
      <c r="Y12" s="16">
        <v>21473</v>
      </c>
      <c r="Z12" s="16">
        <v>20890</v>
      </c>
      <c r="AA12" s="16">
        <v>698</v>
      </c>
      <c r="AB12" s="16">
        <v>6086</v>
      </c>
      <c r="AC12" s="16">
        <v>3436</v>
      </c>
      <c r="AD12" s="16">
        <v>15159</v>
      </c>
      <c r="AE12" s="16">
        <v>6930</v>
      </c>
      <c r="AF12" s="16">
        <v>2575</v>
      </c>
      <c r="AG12" s="16">
        <v>2811</v>
      </c>
      <c r="AH12" s="16">
        <v>998</v>
      </c>
      <c r="AI12" s="16">
        <v>4285</v>
      </c>
      <c r="AJ12" s="16">
        <v>6223</v>
      </c>
      <c r="AK12" s="16">
        <v>16853</v>
      </c>
      <c r="AL12" s="16">
        <v>5505</v>
      </c>
      <c r="AM12" s="18">
        <v>1937</v>
      </c>
      <c r="AO12" s="13">
        <v>2009</v>
      </c>
      <c r="AP12" s="41">
        <f t="shared" si="10"/>
        <v>5404763</v>
      </c>
      <c r="AQ12" s="41">
        <f t="shared" si="11"/>
        <v>1186044</v>
      </c>
      <c r="AR12" s="41">
        <f t="shared" si="12"/>
        <v>826931</v>
      </c>
      <c r="AS12" s="41">
        <f t="shared" si="13"/>
        <v>149136</v>
      </c>
      <c r="AT12" s="41">
        <f t="shared" si="14"/>
        <v>197544</v>
      </c>
      <c r="AU12" s="41">
        <f t="shared" si="15"/>
        <v>4214769</v>
      </c>
      <c r="AV12" s="41">
        <f t="shared" si="16"/>
        <v>2525679</v>
      </c>
      <c r="AW12" s="41">
        <f t="shared" si="39"/>
        <v>1226685</v>
      </c>
      <c r="AX12" s="41">
        <f t="shared" si="40"/>
        <v>175320</v>
      </c>
      <c r="AY12" s="41">
        <f t="shared" si="41"/>
        <v>370626</v>
      </c>
      <c r="AZ12" s="41">
        <f t="shared" si="42"/>
        <v>451776</v>
      </c>
      <c r="BA12" s="41">
        <f t="shared" si="43"/>
        <v>176437</v>
      </c>
      <c r="BB12" s="41">
        <f t="shared" si="44"/>
        <v>124840</v>
      </c>
      <c r="BC12" s="41">
        <f t="shared" si="23"/>
        <v>25359</v>
      </c>
      <c r="BD12" s="41">
        <f t="shared" si="24"/>
        <v>185074</v>
      </c>
      <c r="BE12" s="41">
        <f t="shared" si="25"/>
        <v>49994</v>
      </c>
      <c r="BF12" s="41">
        <f t="shared" si="26"/>
        <v>167951</v>
      </c>
      <c r="BG12" s="41">
        <f t="shared" si="27"/>
        <v>137405</v>
      </c>
      <c r="BH12" s="41">
        <f t="shared" si="28"/>
        <v>117090</v>
      </c>
      <c r="BI12" s="41">
        <f t="shared" si="29"/>
        <v>75902</v>
      </c>
      <c r="BJ12" s="41">
        <f t="shared" si="30"/>
        <v>327416</v>
      </c>
      <c r="BK12" s="41">
        <f t="shared" si="31"/>
        <v>218829</v>
      </c>
      <c r="BL12" s="41">
        <f t="shared" si="32"/>
        <v>147616</v>
      </c>
      <c r="BM12" s="41">
        <f t="shared" si="33"/>
        <v>133092</v>
      </c>
      <c r="BN12" s="41">
        <f t="shared" si="34"/>
        <v>103362</v>
      </c>
      <c r="BO12" s="44">
        <f t="shared" si="35"/>
        <v>0.21944421984830786</v>
      </c>
      <c r="BP12" s="44">
        <f t="shared" si="36"/>
        <v>0.77982494329538599</v>
      </c>
      <c r="BQ12" s="44">
        <f t="shared" si="37"/>
        <v>0.46730615199963438</v>
      </c>
      <c r="BR12" s="44">
        <f t="shared" si="7"/>
        <v>0.59924494082593849</v>
      </c>
      <c r="BS12" s="44">
        <f t="shared" si="8"/>
        <v>2.7780881941572598E-2</v>
      </c>
      <c r="BT12" s="44">
        <f t="shared" si="38"/>
        <v>0.29104442022801252</v>
      </c>
    </row>
    <row r="13" spans="1:72" ht="15.75" thickBot="1">
      <c r="A13" s="36">
        <f t="shared" si="0"/>
        <v>2000</v>
      </c>
      <c r="B13" s="36">
        <f t="shared" si="9"/>
        <v>11</v>
      </c>
      <c r="C13" s="39">
        <v>36831</v>
      </c>
      <c r="D13" s="40" t="s">
        <v>35</v>
      </c>
      <c r="E13" s="37"/>
      <c r="F13" s="14">
        <v>158951</v>
      </c>
      <c r="G13" s="8"/>
      <c r="H13" s="15">
        <v>6992</v>
      </c>
      <c r="I13" s="16">
        <v>3833</v>
      </c>
      <c r="J13" s="16">
        <v>2278</v>
      </c>
      <c r="K13" s="16">
        <v>1555</v>
      </c>
      <c r="L13" s="16">
        <v>2415</v>
      </c>
      <c r="M13" s="17">
        <v>151485</v>
      </c>
      <c r="N13" s="16">
        <v>57447</v>
      </c>
      <c r="O13" s="16">
        <v>23601</v>
      </c>
      <c r="P13" s="16">
        <v>5722</v>
      </c>
      <c r="Q13" s="16">
        <v>12546</v>
      </c>
      <c r="R13" s="16">
        <v>7003</v>
      </c>
      <c r="S13" s="16">
        <v>5821</v>
      </c>
      <c r="T13" s="16">
        <v>2753</v>
      </c>
      <c r="U13" s="16">
        <v>5485</v>
      </c>
      <c r="V13" s="16">
        <v>12267</v>
      </c>
      <c r="W13" s="16">
        <v>10639</v>
      </c>
      <c r="X13" s="16">
        <v>6786</v>
      </c>
      <c r="Y13" s="16">
        <v>20674</v>
      </c>
      <c r="Z13" s="16">
        <v>19548</v>
      </c>
      <c r="AA13" s="16">
        <v>617</v>
      </c>
      <c r="AB13" s="16">
        <v>4993</v>
      </c>
      <c r="AC13" s="16">
        <v>4592</v>
      </c>
      <c r="AD13" s="16">
        <v>13557</v>
      </c>
      <c r="AE13" s="16">
        <v>7112</v>
      </c>
      <c r="AF13" s="16">
        <v>1381</v>
      </c>
      <c r="AG13" s="16">
        <v>2563</v>
      </c>
      <c r="AH13" s="16">
        <v>521</v>
      </c>
      <c r="AI13" s="16">
        <v>4727</v>
      </c>
      <c r="AJ13" s="16">
        <v>6039</v>
      </c>
      <c r="AK13" s="16">
        <v>8724</v>
      </c>
      <c r="AL13" s="16">
        <v>5576</v>
      </c>
      <c r="AM13" s="18">
        <v>474</v>
      </c>
      <c r="AO13" s="13">
        <v>2010</v>
      </c>
      <c r="AP13" s="41">
        <f t="shared" si="10"/>
        <v>6724163</v>
      </c>
      <c r="AQ13" s="41">
        <f t="shared" si="11"/>
        <v>1657363</v>
      </c>
      <c r="AR13" s="41">
        <f t="shared" si="12"/>
        <v>1188195</v>
      </c>
      <c r="AS13" s="41">
        <f t="shared" si="13"/>
        <v>207795</v>
      </c>
      <c r="AT13" s="41">
        <f t="shared" si="14"/>
        <v>249555</v>
      </c>
      <c r="AU13" s="41">
        <f t="shared" si="15"/>
        <v>4989666</v>
      </c>
      <c r="AV13" s="41">
        <f t="shared" si="16"/>
        <v>2799382</v>
      </c>
      <c r="AW13" s="41">
        <f t="shared" si="39"/>
        <v>1408775</v>
      </c>
      <c r="AX13" s="41">
        <f t="shared" si="40"/>
        <v>188899</v>
      </c>
      <c r="AY13" s="41">
        <f t="shared" si="41"/>
        <v>520587</v>
      </c>
      <c r="AZ13" s="41">
        <f t="shared" si="42"/>
        <v>380045</v>
      </c>
      <c r="BA13" s="41">
        <f t="shared" si="43"/>
        <v>151564</v>
      </c>
      <c r="BB13" s="41">
        <f t="shared" si="44"/>
        <v>149506</v>
      </c>
      <c r="BC13" s="41">
        <f t="shared" si="23"/>
        <v>32508</v>
      </c>
      <c r="BD13" s="41">
        <f t="shared" si="24"/>
        <v>243748</v>
      </c>
      <c r="BE13" s="41">
        <f t="shared" si="25"/>
        <v>50541</v>
      </c>
      <c r="BF13" s="41">
        <f t="shared" si="26"/>
        <v>204059</v>
      </c>
      <c r="BG13" s="41">
        <f t="shared" si="27"/>
        <v>224502</v>
      </c>
      <c r="BH13" s="41">
        <f t="shared" si="28"/>
        <v>107710</v>
      </c>
      <c r="BI13" s="41">
        <f t="shared" si="29"/>
        <v>131958</v>
      </c>
      <c r="BJ13" s="41">
        <f t="shared" si="30"/>
        <v>402798</v>
      </c>
      <c r="BK13" s="41">
        <f t="shared" si="31"/>
        <v>282568</v>
      </c>
      <c r="BL13" s="41">
        <f t="shared" si="32"/>
        <v>159192</v>
      </c>
      <c r="BM13" s="41">
        <f t="shared" si="33"/>
        <v>191930</v>
      </c>
      <c r="BN13" s="41">
        <f t="shared" si="34"/>
        <v>158776</v>
      </c>
      <c r="BO13" s="44">
        <f t="shared" si="35"/>
        <v>0.24647870671784727</v>
      </c>
      <c r="BP13" s="44">
        <f t="shared" si="36"/>
        <v>0.74205012579260798</v>
      </c>
      <c r="BQ13" s="44">
        <f t="shared" si="37"/>
        <v>0.41631679660353266</v>
      </c>
      <c r="BR13" s="44">
        <f t="shared" si="7"/>
        <v>0.56103594909959908</v>
      </c>
      <c r="BS13" s="44">
        <f t="shared" si="8"/>
        <v>2.1586615216329107E-2</v>
      </c>
      <c r="BT13" s="44">
        <f t="shared" si="38"/>
        <v>0.28233853728886865</v>
      </c>
    </row>
    <row r="14" spans="1:72" ht="15.75" thickBot="1">
      <c r="A14" s="36">
        <f t="shared" si="0"/>
        <v>2000</v>
      </c>
      <c r="B14" s="36">
        <f t="shared" si="9"/>
        <v>12</v>
      </c>
      <c r="C14" s="39">
        <v>36861</v>
      </c>
      <c r="D14" s="40" t="s">
        <v>35</v>
      </c>
      <c r="E14" s="37"/>
      <c r="F14" s="14">
        <v>185473</v>
      </c>
      <c r="G14" s="8"/>
      <c r="H14" s="15">
        <v>9350</v>
      </c>
      <c r="I14" s="16">
        <v>2802</v>
      </c>
      <c r="J14" s="16">
        <v>174</v>
      </c>
      <c r="K14" s="16">
        <v>2628</v>
      </c>
      <c r="L14" s="16">
        <v>5831</v>
      </c>
      <c r="M14" s="17">
        <v>175544</v>
      </c>
      <c r="N14" s="16">
        <v>89418</v>
      </c>
      <c r="O14" s="16">
        <v>41742</v>
      </c>
      <c r="P14" s="16">
        <v>6774</v>
      </c>
      <c r="Q14" s="16">
        <v>13613</v>
      </c>
      <c r="R14" s="16">
        <v>20224</v>
      </c>
      <c r="S14" s="16">
        <v>5032</v>
      </c>
      <c r="T14" s="16">
        <v>2033</v>
      </c>
      <c r="U14" s="16">
        <v>4062</v>
      </c>
      <c r="V14" s="16">
        <v>13359</v>
      </c>
      <c r="W14" s="16">
        <v>11955</v>
      </c>
      <c r="X14" s="16">
        <v>3803</v>
      </c>
      <c r="Y14" s="16">
        <v>17342</v>
      </c>
      <c r="Z14" s="16">
        <v>16970</v>
      </c>
      <c r="AA14" s="16">
        <v>627</v>
      </c>
      <c r="AB14" s="16">
        <v>6946</v>
      </c>
      <c r="AC14" s="16">
        <v>1426</v>
      </c>
      <c r="AD14" s="16">
        <v>9715</v>
      </c>
      <c r="AE14" s="16">
        <v>5238</v>
      </c>
      <c r="AF14" s="16">
        <v>476</v>
      </c>
      <c r="AG14" s="16">
        <v>1918</v>
      </c>
      <c r="AH14" s="16">
        <v>563</v>
      </c>
      <c r="AI14" s="16">
        <v>5565</v>
      </c>
      <c r="AJ14" s="16">
        <v>5433</v>
      </c>
      <c r="AK14" s="16">
        <v>8055</v>
      </c>
      <c r="AL14" s="16">
        <v>9794</v>
      </c>
      <c r="AM14" s="18">
        <v>578</v>
      </c>
      <c r="AO14" s="13">
        <v>2011</v>
      </c>
      <c r="AP14" s="41">
        <f t="shared" si="10"/>
        <v>7911751</v>
      </c>
      <c r="AQ14" s="41">
        <f t="shared" si="11"/>
        <v>1769795</v>
      </c>
      <c r="AR14" s="41">
        <f t="shared" si="12"/>
        <v>1236031</v>
      </c>
      <c r="AS14" s="41">
        <f t="shared" si="13"/>
        <v>255453</v>
      </c>
      <c r="AT14" s="41">
        <f t="shared" si="14"/>
        <v>256007</v>
      </c>
      <c r="AU14" s="41">
        <f t="shared" si="15"/>
        <v>6140770</v>
      </c>
      <c r="AV14" s="41">
        <f t="shared" si="16"/>
        <v>3466607</v>
      </c>
      <c r="AW14" s="41">
        <f t="shared" si="39"/>
        <v>1677452</v>
      </c>
      <c r="AX14" s="41">
        <f t="shared" si="40"/>
        <v>235148</v>
      </c>
      <c r="AY14" s="41">
        <f t="shared" si="41"/>
        <v>691951</v>
      </c>
      <c r="AZ14" s="41">
        <f t="shared" si="42"/>
        <v>469215</v>
      </c>
      <c r="BA14" s="41">
        <f t="shared" si="43"/>
        <v>213026</v>
      </c>
      <c r="BB14" s="41">
        <f t="shared" si="44"/>
        <v>179811</v>
      </c>
      <c r="BC14" s="41">
        <f t="shared" si="23"/>
        <v>39642</v>
      </c>
      <c r="BD14" s="41">
        <f t="shared" si="24"/>
        <v>317404</v>
      </c>
      <c r="BE14" s="41">
        <f t="shared" si="25"/>
        <v>61111</v>
      </c>
      <c r="BF14" s="41">
        <f t="shared" si="26"/>
        <v>231021</v>
      </c>
      <c r="BG14" s="41">
        <f t="shared" si="27"/>
        <v>265632</v>
      </c>
      <c r="BH14" s="41">
        <f t="shared" si="28"/>
        <v>120000</v>
      </c>
      <c r="BI14" s="41">
        <f t="shared" si="29"/>
        <v>57907</v>
      </c>
      <c r="BJ14" s="41">
        <f t="shared" si="30"/>
        <v>487418</v>
      </c>
      <c r="BK14" s="41">
        <f t="shared" si="31"/>
        <v>365086</v>
      </c>
      <c r="BL14" s="41">
        <f t="shared" si="32"/>
        <v>200458</v>
      </c>
      <c r="BM14" s="41">
        <f t="shared" si="33"/>
        <v>309272</v>
      </c>
      <c r="BN14" s="41">
        <f t="shared" si="34"/>
        <v>219213</v>
      </c>
      <c r="BO14" s="44">
        <f t="shared" si="35"/>
        <v>0.22369194884924967</v>
      </c>
      <c r="BP14" s="44">
        <f t="shared" si="36"/>
        <v>0.77615814754534107</v>
      </c>
      <c r="BQ14" s="44">
        <f t="shared" si="37"/>
        <v>0.43815926461790822</v>
      </c>
      <c r="BR14" s="44">
        <f t="shared" si="7"/>
        <v>0.56452317868931745</v>
      </c>
      <c r="BS14" s="44">
        <f t="shared" si="8"/>
        <v>1.9541523294309998E-2</v>
      </c>
      <c r="BT14" s="44">
        <f t="shared" si="38"/>
        <v>0.27316639444239077</v>
      </c>
    </row>
    <row r="15" spans="1:72" ht="15.75" thickBot="1">
      <c r="A15" s="36">
        <f t="shared" si="0"/>
        <v>2001</v>
      </c>
      <c r="B15" s="36">
        <f t="shared" si="9"/>
        <v>1</v>
      </c>
      <c r="C15" s="39">
        <v>36892</v>
      </c>
      <c r="D15" s="40" t="s">
        <v>35</v>
      </c>
      <c r="E15" s="37"/>
      <c r="F15" s="14">
        <v>197756</v>
      </c>
      <c r="G15" s="8"/>
      <c r="H15" s="15">
        <v>14679</v>
      </c>
      <c r="I15" s="16">
        <v>10004</v>
      </c>
      <c r="J15" s="16">
        <v>195</v>
      </c>
      <c r="K15" s="16">
        <v>9810</v>
      </c>
      <c r="L15" s="16">
        <v>4083</v>
      </c>
      <c r="M15" s="17">
        <v>183026</v>
      </c>
      <c r="N15" s="16">
        <v>93786</v>
      </c>
      <c r="O15" s="16">
        <v>45239</v>
      </c>
      <c r="P15" s="16">
        <v>4706</v>
      </c>
      <c r="Q15" s="16">
        <v>14655</v>
      </c>
      <c r="R15" s="16">
        <v>17859</v>
      </c>
      <c r="S15" s="16">
        <v>6482</v>
      </c>
      <c r="T15" s="16">
        <v>4844</v>
      </c>
      <c r="U15" s="16">
        <v>5755</v>
      </c>
      <c r="V15" s="16">
        <v>16669</v>
      </c>
      <c r="W15" s="16">
        <v>15323</v>
      </c>
      <c r="X15" s="16">
        <v>4374</v>
      </c>
      <c r="Y15" s="16">
        <v>18557</v>
      </c>
      <c r="Z15" s="16">
        <v>18361</v>
      </c>
      <c r="AA15" s="16">
        <v>529</v>
      </c>
      <c r="AB15" s="16">
        <v>5886</v>
      </c>
      <c r="AC15" s="16">
        <v>1051</v>
      </c>
      <c r="AD15" s="16">
        <v>11501</v>
      </c>
      <c r="AE15" s="16">
        <v>6927</v>
      </c>
      <c r="AF15" s="16">
        <v>328</v>
      </c>
      <c r="AG15" s="16">
        <v>1978</v>
      </c>
      <c r="AH15" s="16">
        <v>677</v>
      </c>
      <c r="AI15" s="16">
        <v>4746</v>
      </c>
      <c r="AJ15" s="16">
        <v>5233</v>
      </c>
      <c r="AK15" s="16">
        <v>9318</v>
      </c>
      <c r="AL15" s="16">
        <v>5620</v>
      </c>
      <c r="AM15" s="18">
        <v>43</v>
      </c>
      <c r="AO15" s="13">
        <v>2012</v>
      </c>
      <c r="AP15" s="41">
        <f t="shared" si="10"/>
        <v>8750830</v>
      </c>
      <c r="AQ15" s="41">
        <f t="shared" si="11"/>
        <v>2517604</v>
      </c>
      <c r="AR15" s="41">
        <f t="shared" si="12"/>
        <v>2059739</v>
      </c>
      <c r="AS15" s="41">
        <f t="shared" si="13"/>
        <v>163716</v>
      </c>
      <c r="AT15" s="41">
        <f t="shared" si="14"/>
        <v>271577</v>
      </c>
      <c r="AU15" s="41">
        <f t="shared" si="15"/>
        <v>6226526</v>
      </c>
      <c r="AV15" s="41">
        <f t="shared" si="16"/>
        <v>3663064</v>
      </c>
      <c r="AW15" s="41">
        <f t="shared" si="39"/>
        <v>1804145</v>
      </c>
      <c r="AX15" s="41">
        <f t="shared" si="40"/>
        <v>189354</v>
      </c>
      <c r="AY15" s="41">
        <f t="shared" si="41"/>
        <v>787916</v>
      </c>
      <c r="AZ15" s="41">
        <f t="shared" si="42"/>
        <v>521554</v>
      </c>
      <c r="BA15" s="41">
        <f t="shared" si="43"/>
        <v>208083</v>
      </c>
      <c r="BB15" s="41">
        <f t="shared" si="44"/>
        <v>152013</v>
      </c>
      <c r="BC15" s="41">
        <f t="shared" si="23"/>
        <v>36276</v>
      </c>
      <c r="BD15" s="41">
        <f t="shared" si="24"/>
        <v>272225</v>
      </c>
      <c r="BE15" s="41">
        <f t="shared" si="25"/>
        <v>50909</v>
      </c>
      <c r="BF15" s="41">
        <f t="shared" si="26"/>
        <v>245164</v>
      </c>
      <c r="BG15" s="41">
        <f t="shared" si="27"/>
        <v>202086</v>
      </c>
      <c r="BH15" s="41">
        <f t="shared" si="28"/>
        <v>116870</v>
      </c>
      <c r="BI15" s="41">
        <f t="shared" si="29"/>
        <v>93345</v>
      </c>
      <c r="BJ15" s="41">
        <f t="shared" si="30"/>
        <v>534101</v>
      </c>
      <c r="BK15" s="41">
        <f t="shared" si="31"/>
        <v>378449</v>
      </c>
      <c r="BL15" s="41">
        <f t="shared" si="32"/>
        <v>226082</v>
      </c>
      <c r="BM15" s="41">
        <f t="shared" si="33"/>
        <v>139826</v>
      </c>
      <c r="BN15" s="41">
        <f t="shared" si="34"/>
        <v>268136</v>
      </c>
      <c r="BO15" s="44">
        <f t="shared" si="35"/>
        <v>0.28769888113470382</v>
      </c>
      <c r="BP15" s="44">
        <f t="shared" si="36"/>
        <v>0.71153547720616217</v>
      </c>
      <c r="BQ15" s="44">
        <f t="shared" si="37"/>
        <v>0.41859617887674655</v>
      </c>
      <c r="BR15" s="44">
        <f t="shared" si="7"/>
        <v>0.58829979992053349</v>
      </c>
      <c r="BS15" s="44">
        <f t="shared" si="8"/>
        <v>1.8769695974930483E-2</v>
      </c>
      <c r="BT15" s="44">
        <f t="shared" si="38"/>
        <v>0.28975146012399211</v>
      </c>
    </row>
    <row r="16" spans="1:72" ht="15.75" thickBot="1">
      <c r="A16" s="36">
        <f t="shared" si="0"/>
        <v>2001</v>
      </c>
      <c r="B16" s="36">
        <f t="shared" si="9"/>
        <v>2</v>
      </c>
      <c r="C16" s="39">
        <v>36923</v>
      </c>
      <c r="D16" s="40" t="s">
        <v>35</v>
      </c>
      <c r="E16" s="37"/>
      <c r="F16" s="14">
        <v>184722</v>
      </c>
      <c r="G16" s="8"/>
      <c r="H16" s="15">
        <v>12517</v>
      </c>
      <c r="I16" s="16">
        <v>5700</v>
      </c>
      <c r="J16" s="16">
        <v>942</v>
      </c>
      <c r="K16" s="16">
        <v>4759</v>
      </c>
      <c r="L16" s="16">
        <v>5835</v>
      </c>
      <c r="M16" s="17">
        <v>172175</v>
      </c>
      <c r="N16" s="16">
        <v>77947</v>
      </c>
      <c r="O16" s="16">
        <v>42909</v>
      </c>
      <c r="P16" s="16">
        <v>4721</v>
      </c>
      <c r="Q16" s="16">
        <v>7356</v>
      </c>
      <c r="R16" s="16">
        <v>18045</v>
      </c>
      <c r="S16" s="16">
        <v>2034</v>
      </c>
      <c r="T16" s="16">
        <v>2882</v>
      </c>
      <c r="U16" s="16">
        <v>4573</v>
      </c>
      <c r="V16" s="16">
        <v>15276</v>
      </c>
      <c r="W16" s="16">
        <v>13856</v>
      </c>
      <c r="X16" s="16">
        <v>6050</v>
      </c>
      <c r="Y16" s="16">
        <v>20162</v>
      </c>
      <c r="Z16" s="16">
        <v>20081</v>
      </c>
      <c r="AA16" s="16">
        <v>826</v>
      </c>
      <c r="AB16" s="16">
        <v>6948</v>
      </c>
      <c r="AC16" s="16">
        <v>4963</v>
      </c>
      <c r="AD16" s="16">
        <v>11225</v>
      </c>
      <c r="AE16" s="16">
        <v>6082</v>
      </c>
      <c r="AF16" s="16">
        <v>1210</v>
      </c>
      <c r="AG16" s="16">
        <v>1953</v>
      </c>
      <c r="AH16" s="16">
        <v>553</v>
      </c>
      <c r="AI16" s="16">
        <v>4483</v>
      </c>
      <c r="AJ16" s="16">
        <v>5376</v>
      </c>
      <c r="AK16" s="16">
        <v>10609</v>
      </c>
      <c r="AL16" s="16">
        <v>3738</v>
      </c>
      <c r="AM16" s="18">
        <v>29</v>
      </c>
      <c r="AO16" s="13">
        <v>2013</v>
      </c>
      <c r="AP16" s="41">
        <f t="shared" si="10"/>
        <v>9076260</v>
      </c>
      <c r="AQ16" s="41">
        <f t="shared" si="11"/>
        <v>2883872</v>
      </c>
      <c r="AR16" s="41">
        <f t="shared" si="12"/>
        <v>2403144</v>
      </c>
      <c r="AS16" s="41">
        <f t="shared" si="13"/>
        <v>145601</v>
      </c>
      <c r="AT16" s="41">
        <f t="shared" si="14"/>
        <v>310396</v>
      </c>
      <c r="AU16" s="41">
        <f t="shared" si="15"/>
        <v>6168934</v>
      </c>
      <c r="AV16" s="41">
        <f t="shared" si="16"/>
        <v>3580072</v>
      </c>
      <c r="AW16" s="41">
        <f t="shared" si="39"/>
        <v>1691809</v>
      </c>
      <c r="AX16" s="41">
        <f t="shared" si="40"/>
        <v>142756</v>
      </c>
      <c r="AY16" s="41">
        <f t="shared" si="41"/>
        <v>893909</v>
      </c>
      <c r="AZ16" s="41">
        <f t="shared" si="42"/>
        <v>482747</v>
      </c>
      <c r="BA16" s="41">
        <f t="shared" si="43"/>
        <v>213028</v>
      </c>
      <c r="BB16" s="41">
        <f t="shared" si="44"/>
        <v>155821</v>
      </c>
      <c r="BC16" s="41">
        <f t="shared" si="23"/>
        <v>33954</v>
      </c>
      <c r="BD16" s="41">
        <f t="shared" si="24"/>
        <v>255536</v>
      </c>
      <c r="BE16" s="41">
        <f t="shared" si="25"/>
        <v>31126</v>
      </c>
      <c r="BF16" s="41">
        <f t="shared" si="26"/>
        <v>269101</v>
      </c>
      <c r="BG16" s="41">
        <f t="shared" si="27"/>
        <v>229033</v>
      </c>
      <c r="BH16" s="41">
        <f t="shared" si="28"/>
        <v>104876</v>
      </c>
      <c r="BI16" s="41">
        <f t="shared" si="29"/>
        <v>23656</v>
      </c>
      <c r="BJ16" s="41">
        <f t="shared" si="30"/>
        <v>521123</v>
      </c>
      <c r="BK16" s="41">
        <f t="shared" si="31"/>
        <v>368970</v>
      </c>
      <c r="BL16" s="41">
        <f t="shared" si="32"/>
        <v>203631</v>
      </c>
      <c r="BM16" s="41">
        <f t="shared" si="33"/>
        <v>291955</v>
      </c>
      <c r="BN16" s="41">
        <f t="shared" si="34"/>
        <v>255893</v>
      </c>
      <c r="BO16" s="44">
        <f t="shared" si="35"/>
        <v>0.31773792288894326</v>
      </c>
      <c r="BP16" s="44">
        <f t="shared" si="36"/>
        <v>0.67967797308583056</v>
      </c>
      <c r="BQ16" s="44">
        <f t="shared" si="37"/>
        <v>0.39444352629827706</v>
      </c>
      <c r="BR16" s="44">
        <f t="shared" si="7"/>
        <v>0.58033883974119349</v>
      </c>
      <c r="BS16" s="44">
        <f t="shared" si="8"/>
        <v>1.7000668186756416E-2</v>
      </c>
      <c r="BT16" s="44">
        <f t="shared" si="38"/>
        <v>0.27424657161188626</v>
      </c>
    </row>
    <row r="17" spans="1:72" ht="15.75" thickBot="1">
      <c r="A17" s="36">
        <f t="shared" si="0"/>
        <v>2001</v>
      </c>
      <c r="B17" s="36">
        <f t="shared" si="9"/>
        <v>3</v>
      </c>
      <c r="C17" s="39">
        <v>36951</v>
      </c>
      <c r="D17" s="40" t="s">
        <v>35</v>
      </c>
      <c r="E17" s="37"/>
      <c r="F17" s="14">
        <v>212861</v>
      </c>
      <c r="G17" s="8"/>
      <c r="H17" s="15">
        <v>15253</v>
      </c>
      <c r="I17" s="16">
        <v>9771</v>
      </c>
      <c r="J17" s="16">
        <v>5136</v>
      </c>
      <c r="K17" s="16">
        <v>4635</v>
      </c>
      <c r="L17" s="16">
        <v>4020</v>
      </c>
      <c r="M17" s="17">
        <v>197534</v>
      </c>
      <c r="N17" s="16">
        <v>88269</v>
      </c>
      <c r="O17" s="16">
        <v>51385</v>
      </c>
      <c r="P17" s="16">
        <v>8424</v>
      </c>
      <c r="Q17" s="16">
        <v>10485</v>
      </c>
      <c r="R17" s="16">
        <v>8262</v>
      </c>
      <c r="S17" s="16">
        <v>7530</v>
      </c>
      <c r="T17" s="16">
        <v>2182</v>
      </c>
      <c r="U17" s="16">
        <v>4328</v>
      </c>
      <c r="V17" s="16">
        <v>22025</v>
      </c>
      <c r="W17" s="16">
        <v>19955</v>
      </c>
      <c r="X17" s="16">
        <v>8401</v>
      </c>
      <c r="Y17" s="16">
        <v>22554</v>
      </c>
      <c r="Z17" s="16">
        <v>22070</v>
      </c>
      <c r="AA17" s="16">
        <v>805</v>
      </c>
      <c r="AB17" s="16">
        <v>9534</v>
      </c>
      <c r="AC17" s="16">
        <v>2969</v>
      </c>
      <c r="AD17" s="16">
        <v>14093</v>
      </c>
      <c r="AE17" s="16">
        <v>7751</v>
      </c>
      <c r="AF17" s="16">
        <v>686</v>
      </c>
      <c r="AG17" s="16">
        <v>3210</v>
      </c>
      <c r="AH17" s="16">
        <v>821</v>
      </c>
      <c r="AI17" s="16">
        <v>5125</v>
      </c>
      <c r="AJ17" s="16">
        <v>6698</v>
      </c>
      <c r="AK17" s="16">
        <v>6906</v>
      </c>
      <c r="AL17" s="16">
        <v>5828</v>
      </c>
      <c r="AM17" s="18">
        <v>74</v>
      </c>
      <c r="AO17" s="13">
        <v>2014</v>
      </c>
      <c r="AP17" s="41">
        <f t="shared" si="10"/>
        <v>9164146</v>
      </c>
      <c r="AQ17" s="41">
        <f t="shared" si="11"/>
        <v>2835621</v>
      </c>
      <c r="AR17" s="41">
        <f t="shared" si="12"/>
        <v>2125413</v>
      </c>
      <c r="AS17" s="41">
        <f t="shared" si="13"/>
        <v>250904</v>
      </c>
      <c r="AT17" s="41">
        <f t="shared" si="14"/>
        <v>439209</v>
      </c>
      <c r="AU17" s="41">
        <f t="shared" si="15"/>
        <v>6285381</v>
      </c>
      <c r="AV17" s="41">
        <f t="shared" si="16"/>
        <v>3698459</v>
      </c>
      <c r="AW17" s="41">
        <f t="shared" si="39"/>
        <v>1860581</v>
      </c>
      <c r="AX17" s="41">
        <f t="shared" si="40"/>
        <v>154455</v>
      </c>
      <c r="AY17" s="41">
        <f t="shared" si="41"/>
        <v>814446</v>
      </c>
      <c r="AZ17" s="41">
        <f t="shared" si="42"/>
        <v>498307</v>
      </c>
      <c r="BA17" s="41">
        <f t="shared" si="43"/>
        <v>194171</v>
      </c>
      <c r="BB17" s="41">
        <f t="shared" si="44"/>
        <v>176498</v>
      </c>
      <c r="BC17" s="41">
        <f t="shared" si="23"/>
        <v>39857</v>
      </c>
      <c r="BD17" s="41">
        <f t="shared" si="24"/>
        <v>248176</v>
      </c>
      <c r="BE17" s="41">
        <f t="shared" si="25"/>
        <v>21632</v>
      </c>
      <c r="BF17" s="41">
        <f t="shared" si="26"/>
        <v>317226</v>
      </c>
      <c r="BG17" s="41">
        <f t="shared" si="27"/>
        <v>229489</v>
      </c>
      <c r="BH17" s="41">
        <f t="shared" si="28"/>
        <v>100731</v>
      </c>
      <c r="BI17" s="41">
        <f t="shared" si="29"/>
        <v>60055</v>
      </c>
      <c r="BJ17" s="41">
        <f t="shared" si="30"/>
        <v>507148</v>
      </c>
      <c r="BK17" s="41">
        <f t="shared" si="31"/>
        <v>355877</v>
      </c>
      <c r="BL17" s="41">
        <f t="shared" si="32"/>
        <v>174898</v>
      </c>
      <c r="BM17" s="41">
        <f t="shared" si="33"/>
        <v>285894</v>
      </c>
      <c r="BN17" s="41">
        <f t="shared" si="34"/>
        <v>245941</v>
      </c>
      <c r="BO17" s="44">
        <f t="shared" si="35"/>
        <v>0.30942555913011427</v>
      </c>
      <c r="BP17" s="44">
        <f t="shared" si="36"/>
        <v>0.68586652809765358</v>
      </c>
      <c r="BQ17" s="44">
        <f t="shared" si="37"/>
        <v>0.40357923149631181</v>
      </c>
      <c r="BR17" s="44">
        <f t="shared" si="7"/>
        <v>0.58842240430611925</v>
      </c>
      <c r="BS17" s="44">
        <f t="shared" si="8"/>
        <v>1.6026236118383278E-2</v>
      </c>
      <c r="BT17" s="44">
        <f t="shared" si="38"/>
        <v>0.29601721836751027</v>
      </c>
    </row>
    <row r="18" spans="1:72" ht="15.75" thickBot="1">
      <c r="A18" s="36">
        <f t="shared" si="0"/>
        <v>2001</v>
      </c>
      <c r="B18" s="36">
        <f t="shared" si="9"/>
        <v>4</v>
      </c>
      <c r="C18" s="39">
        <v>36982</v>
      </c>
      <c r="D18" s="40" t="s">
        <v>35</v>
      </c>
      <c r="E18" s="37"/>
      <c r="F18" s="14">
        <v>175203</v>
      </c>
      <c r="G18" s="8"/>
      <c r="H18" s="15">
        <v>13228</v>
      </c>
      <c r="I18" s="16">
        <v>8834</v>
      </c>
      <c r="J18" s="16">
        <v>4412</v>
      </c>
      <c r="K18" s="16">
        <v>4422</v>
      </c>
      <c r="L18" s="16">
        <v>3234</v>
      </c>
      <c r="M18" s="17">
        <v>161682</v>
      </c>
      <c r="N18" s="16">
        <v>60413</v>
      </c>
      <c r="O18" s="16">
        <v>38073</v>
      </c>
      <c r="P18" s="16">
        <v>5320</v>
      </c>
      <c r="Q18" s="16">
        <v>5946</v>
      </c>
      <c r="R18" s="16">
        <v>7035</v>
      </c>
      <c r="S18" s="16">
        <v>1318</v>
      </c>
      <c r="T18" s="16">
        <v>2720</v>
      </c>
      <c r="U18" s="16">
        <v>5021</v>
      </c>
      <c r="V18" s="16">
        <v>20227</v>
      </c>
      <c r="W18" s="16">
        <v>17872</v>
      </c>
      <c r="X18" s="16">
        <v>8464</v>
      </c>
      <c r="Y18" s="16">
        <v>23679</v>
      </c>
      <c r="Z18" s="16">
        <v>23466</v>
      </c>
      <c r="AA18" s="16">
        <v>837</v>
      </c>
      <c r="AB18" s="16">
        <v>6119</v>
      </c>
      <c r="AC18" s="16">
        <v>2839</v>
      </c>
      <c r="AD18" s="16">
        <v>11365</v>
      </c>
      <c r="AE18" s="16">
        <v>6975</v>
      </c>
      <c r="AF18" s="16">
        <v>241</v>
      </c>
      <c r="AG18" s="16">
        <v>2047</v>
      </c>
      <c r="AH18" s="16">
        <v>944</v>
      </c>
      <c r="AI18" s="16">
        <v>4578</v>
      </c>
      <c r="AJ18" s="16">
        <v>5889</v>
      </c>
      <c r="AK18" s="16">
        <v>9157</v>
      </c>
      <c r="AL18" s="16">
        <v>3095</v>
      </c>
      <c r="AM18" s="18">
        <v>292</v>
      </c>
      <c r="AO18" s="13">
        <v>2015</v>
      </c>
      <c r="AP18" s="41">
        <f t="shared" si="10"/>
        <v>7687182</v>
      </c>
      <c r="AQ18" s="41">
        <f t="shared" si="11"/>
        <v>2242398</v>
      </c>
      <c r="AR18" s="41">
        <f t="shared" si="12"/>
        <v>1402687</v>
      </c>
      <c r="AS18" s="41">
        <f t="shared" si="13"/>
        <v>251546</v>
      </c>
      <c r="AT18" s="41">
        <f t="shared" si="14"/>
        <v>573466</v>
      </c>
      <c r="AU18" s="41">
        <f t="shared" si="15"/>
        <v>5432907</v>
      </c>
      <c r="AV18" s="41">
        <f t="shared" si="16"/>
        <v>3151167</v>
      </c>
      <c r="AW18" s="41">
        <f t="shared" si="39"/>
        <v>1753354</v>
      </c>
      <c r="AX18" s="41">
        <f t="shared" si="40"/>
        <v>114051</v>
      </c>
      <c r="AY18" s="41">
        <f t="shared" si="41"/>
        <v>622958</v>
      </c>
      <c r="AZ18" s="41">
        <f t="shared" si="42"/>
        <v>343571</v>
      </c>
      <c r="BA18" s="41">
        <f t="shared" si="43"/>
        <v>139657</v>
      </c>
      <c r="BB18" s="41">
        <f t="shared" si="44"/>
        <v>177578</v>
      </c>
      <c r="BC18" s="41">
        <f t="shared" si="23"/>
        <v>28012</v>
      </c>
      <c r="BD18" s="41">
        <f t="shared" si="24"/>
        <v>223512</v>
      </c>
      <c r="BE18" s="41">
        <f t="shared" si="25"/>
        <v>19917</v>
      </c>
      <c r="BF18" s="41">
        <f t="shared" si="26"/>
        <v>295343</v>
      </c>
      <c r="BG18" s="41">
        <f t="shared" si="27"/>
        <v>196302</v>
      </c>
      <c r="BH18" s="41">
        <f t="shared" si="28"/>
        <v>97076</v>
      </c>
      <c r="BI18" s="41">
        <f t="shared" si="29"/>
        <v>21813</v>
      </c>
      <c r="BJ18" s="41">
        <f t="shared" si="30"/>
        <v>482840</v>
      </c>
      <c r="BK18" s="41">
        <f t="shared" si="31"/>
        <v>280313</v>
      </c>
      <c r="BL18" s="41">
        <f t="shared" si="32"/>
        <v>151076</v>
      </c>
      <c r="BM18" s="41">
        <f t="shared" si="33"/>
        <v>245848</v>
      </c>
      <c r="BN18" s="41">
        <f t="shared" si="34"/>
        <v>239683</v>
      </c>
      <c r="BO18" s="44">
        <f t="shared" si="35"/>
        <v>0.29170611545297093</v>
      </c>
      <c r="BP18" s="44">
        <f t="shared" si="36"/>
        <v>0.70674884502539426</v>
      </c>
      <c r="BQ18" s="44">
        <f t="shared" si="37"/>
        <v>0.40992485933076644</v>
      </c>
      <c r="BR18" s="44">
        <f t="shared" si="7"/>
        <v>0.58001489810151363</v>
      </c>
      <c r="BS18" s="44">
        <f t="shared" si="8"/>
        <v>1.7868150513159899E-2</v>
      </c>
      <c r="BT18" s="44">
        <f t="shared" si="38"/>
        <v>0.32272851348274506</v>
      </c>
    </row>
    <row r="19" spans="1:72" ht="15.75" thickBot="1">
      <c r="A19" s="36">
        <f t="shared" si="0"/>
        <v>2001</v>
      </c>
      <c r="B19" s="36">
        <f t="shared" si="9"/>
        <v>5</v>
      </c>
      <c r="C19" s="39">
        <v>37012</v>
      </c>
      <c r="D19" s="40" t="s">
        <v>35</v>
      </c>
      <c r="E19" s="37"/>
      <c r="F19" s="14">
        <v>159837</v>
      </c>
      <c r="G19" s="8"/>
      <c r="H19" s="15">
        <v>9137</v>
      </c>
      <c r="I19" s="16">
        <v>8043</v>
      </c>
      <c r="J19" s="16">
        <v>6274</v>
      </c>
      <c r="K19" s="16">
        <v>1769</v>
      </c>
      <c r="L19" s="16">
        <v>79</v>
      </c>
      <c r="M19" s="17">
        <v>147643</v>
      </c>
      <c r="N19" s="16">
        <v>46070</v>
      </c>
      <c r="O19" s="16">
        <v>11270</v>
      </c>
      <c r="P19" s="16">
        <v>8121</v>
      </c>
      <c r="Q19" s="16">
        <v>9708</v>
      </c>
      <c r="R19" s="16">
        <v>6309</v>
      </c>
      <c r="S19" s="16">
        <v>8286</v>
      </c>
      <c r="T19" s="16">
        <v>2375</v>
      </c>
      <c r="U19" s="16">
        <v>3596</v>
      </c>
      <c r="V19" s="16">
        <v>22432</v>
      </c>
      <c r="W19" s="16">
        <v>19990</v>
      </c>
      <c r="X19" s="16">
        <v>7301</v>
      </c>
      <c r="Y19" s="16">
        <v>20497</v>
      </c>
      <c r="Z19" s="16">
        <v>20333</v>
      </c>
      <c r="AA19" s="16">
        <v>737</v>
      </c>
      <c r="AB19" s="16">
        <v>6164</v>
      </c>
      <c r="AC19" s="16">
        <v>5243</v>
      </c>
      <c r="AD19" s="16">
        <v>12966</v>
      </c>
      <c r="AE19" s="16">
        <v>7222</v>
      </c>
      <c r="AF19" s="16">
        <v>685</v>
      </c>
      <c r="AG19" s="16">
        <v>3051</v>
      </c>
      <c r="AH19" s="16">
        <v>846</v>
      </c>
      <c r="AI19" s="16">
        <v>3912</v>
      </c>
      <c r="AJ19" s="16">
        <v>7043</v>
      </c>
      <c r="AK19" s="16">
        <v>7695</v>
      </c>
      <c r="AL19" s="16">
        <v>3988</v>
      </c>
      <c r="AM19" s="18">
        <v>3041</v>
      </c>
      <c r="AO19" s="13">
        <v>2016</v>
      </c>
      <c r="AP19" s="41">
        <f t="shared" si="10"/>
        <v>7042932</v>
      </c>
      <c r="AQ19" s="41">
        <f t="shared" si="11"/>
        <v>1988273</v>
      </c>
      <c r="AR19" s="41">
        <f t="shared" si="12"/>
        <v>1141631</v>
      </c>
      <c r="AS19" s="41">
        <f t="shared" si="13"/>
        <v>266491</v>
      </c>
      <c r="AT19" s="41">
        <f t="shared" si="14"/>
        <v>568795</v>
      </c>
      <c r="AU19" s="41">
        <f t="shared" si="15"/>
        <v>4988861</v>
      </c>
      <c r="AV19" s="41">
        <f t="shared" si="16"/>
        <v>3111739</v>
      </c>
      <c r="AW19" s="41">
        <f t="shared" si="39"/>
        <v>1744084</v>
      </c>
      <c r="AX19" s="41">
        <f t="shared" si="40"/>
        <v>90215</v>
      </c>
      <c r="AY19" s="41">
        <f t="shared" si="41"/>
        <v>564340</v>
      </c>
      <c r="AZ19" s="41">
        <f t="shared" si="42"/>
        <v>388874</v>
      </c>
      <c r="BA19" s="41">
        <f t="shared" si="43"/>
        <v>164585</v>
      </c>
      <c r="BB19" s="41">
        <f t="shared" si="44"/>
        <v>159643</v>
      </c>
      <c r="BC19" s="41">
        <f t="shared" si="23"/>
        <v>22621</v>
      </c>
      <c r="BD19" s="41">
        <f t="shared" si="24"/>
        <v>193601</v>
      </c>
      <c r="BE19" s="41">
        <f t="shared" si="25"/>
        <v>13688</v>
      </c>
      <c r="BF19" s="41">
        <f t="shared" si="26"/>
        <v>276342</v>
      </c>
      <c r="BG19" s="41">
        <f t="shared" si="27"/>
        <v>210610</v>
      </c>
      <c r="BH19" s="41">
        <f t="shared" si="28"/>
        <v>62421</v>
      </c>
      <c r="BI19" s="41">
        <f t="shared" si="29"/>
        <v>33443</v>
      </c>
      <c r="BJ19" s="41">
        <f t="shared" si="30"/>
        <v>431683</v>
      </c>
      <c r="BK19" s="41">
        <f t="shared" si="31"/>
        <v>207046</v>
      </c>
      <c r="BL19" s="41">
        <f t="shared" si="32"/>
        <v>130304</v>
      </c>
      <c r="BM19" s="41">
        <f t="shared" si="33"/>
        <v>80779</v>
      </c>
      <c r="BN19" s="41">
        <f t="shared" si="34"/>
        <v>214577</v>
      </c>
      <c r="BO19" s="44">
        <f t="shared" si="35"/>
        <v>0.28230756735973028</v>
      </c>
      <c r="BP19" s="44">
        <f t="shared" si="36"/>
        <v>0.70835001672598852</v>
      </c>
      <c r="BQ19" s="44">
        <f t="shared" si="37"/>
        <v>0.44182437087281262</v>
      </c>
      <c r="BR19" s="44">
        <f t="shared" si="7"/>
        <v>0.62373736209527586</v>
      </c>
      <c r="BS19" s="44">
        <f t="shared" si="8"/>
        <v>1.2512074399346864E-2</v>
      </c>
      <c r="BT19" s="44">
        <f t="shared" si="38"/>
        <v>0.34959562914260389</v>
      </c>
    </row>
    <row r="20" spans="1:72" ht="15.75" thickBot="1">
      <c r="A20" s="36">
        <f t="shared" si="0"/>
        <v>2001</v>
      </c>
      <c r="B20" s="36">
        <f t="shared" si="9"/>
        <v>6</v>
      </c>
      <c r="C20" s="39">
        <v>37043</v>
      </c>
      <c r="D20" s="40" t="s">
        <v>35</v>
      </c>
      <c r="E20" s="37"/>
      <c r="F20" s="14">
        <v>168019</v>
      </c>
      <c r="G20" s="8"/>
      <c r="H20" s="15">
        <v>14517</v>
      </c>
      <c r="I20" s="16">
        <v>12780</v>
      </c>
      <c r="J20" s="16">
        <v>12034</v>
      </c>
      <c r="K20" s="16">
        <v>746</v>
      </c>
      <c r="L20" s="16">
        <v>421</v>
      </c>
      <c r="M20" s="17">
        <v>151847</v>
      </c>
      <c r="N20" s="16">
        <v>59542</v>
      </c>
      <c r="O20" s="16">
        <v>9373</v>
      </c>
      <c r="P20" s="16">
        <v>8873</v>
      </c>
      <c r="Q20" s="16">
        <v>12021</v>
      </c>
      <c r="R20" s="16">
        <v>22984</v>
      </c>
      <c r="S20" s="16">
        <v>3419</v>
      </c>
      <c r="T20" s="16">
        <v>2872</v>
      </c>
      <c r="U20" s="16">
        <v>4344</v>
      </c>
      <c r="V20" s="16">
        <v>17744</v>
      </c>
      <c r="W20" s="16">
        <v>15103</v>
      </c>
      <c r="X20" s="16">
        <v>7575</v>
      </c>
      <c r="Y20" s="16">
        <v>18516</v>
      </c>
      <c r="Z20" s="16">
        <v>17991</v>
      </c>
      <c r="AA20" s="16">
        <v>888</v>
      </c>
      <c r="AB20" s="16">
        <v>5548</v>
      </c>
      <c r="AC20" s="16">
        <v>3396</v>
      </c>
      <c r="AD20" s="16">
        <v>10572</v>
      </c>
      <c r="AE20" s="16">
        <v>6014</v>
      </c>
      <c r="AF20" s="16">
        <v>463</v>
      </c>
      <c r="AG20" s="16">
        <v>2144</v>
      </c>
      <c r="AH20" s="16">
        <v>980</v>
      </c>
      <c r="AI20" s="16">
        <v>3521</v>
      </c>
      <c r="AJ20" s="16">
        <v>6543</v>
      </c>
      <c r="AK20" s="16">
        <v>7323</v>
      </c>
      <c r="AL20" s="16">
        <v>6336</v>
      </c>
      <c r="AM20" s="18">
        <v>1654</v>
      </c>
      <c r="AO20" s="13">
        <v>2017</v>
      </c>
      <c r="AP20" s="41">
        <f t="shared" si="10"/>
        <v>7888439</v>
      </c>
      <c r="AQ20" s="41">
        <f t="shared" si="11"/>
        <v>2408206</v>
      </c>
      <c r="AR20" s="41">
        <f t="shared" si="12"/>
        <v>1409650</v>
      </c>
      <c r="AS20" s="41">
        <f t="shared" si="13"/>
        <v>291050</v>
      </c>
      <c r="AT20" s="41">
        <f t="shared" si="14"/>
        <v>695623</v>
      </c>
      <c r="AU20" s="41">
        <f t="shared" si="15"/>
        <v>5336212</v>
      </c>
      <c r="AV20" s="41">
        <f t="shared" si="16"/>
        <v>3370232</v>
      </c>
      <c r="AW20" s="41">
        <f t="shared" si="39"/>
        <v>1860242</v>
      </c>
      <c r="AX20" s="41">
        <f t="shared" si="40"/>
        <v>102376</v>
      </c>
      <c r="AY20" s="41">
        <f t="shared" si="41"/>
        <v>590894</v>
      </c>
      <c r="AZ20" s="41">
        <f t="shared" si="42"/>
        <v>447212</v>
      </c>
      <c r="BA20" s="41">
        <f t="shared" si="43"/>
        <v>188997</v>
      </c>
      <c r="BB20" s="41">
        <f t="shared" si="44"/>
        <v>180511</v>
      </c>
      <c r="BC20" s="41">
        <f t="shared" si="23"/>
        <v>28602</v>
      </c>
      <c r="BD20" s="41">
        <f t="shared" si="24"/>
        <v>213168</v>
      </c>
      <c r="BE20" s="41">
        <f t="shared" si="25"/>
        <v>15623</v>
      </c>
      <c r="BF20" s="41">
        <f t="shared" si="26"/>
        <v>238260</v>
      </c>
      <c r="BG20" s="41">
        <f t="shared" si="27"/>
        <v>232555</v>
      </c>
      <c r="BH20" s="41">
        <f t="shared" si="28"/>
        <v>47217</v>
      </c>
      <c r="BI20" s="41">
        <f t="shared" si="29"/>
        <v>15853</v>
      </c>
      <c r="BJ20" s="41">
        <f t="shared" si="30"/>
        <v>423250</v>
      </c>
      <c r="BK20" s="41">
        <f t="shared" si="31"/>
        <v>228371</v>
      </c>
      <c r="BL20" s="41">
        <f t="shared" si="32"/>
        <v>171865</v>
      </c>
      <c r="BM20" s="41">
        <f t="shared" si="33"/>
        <v>123436</v>
      </c>
      <c r="BN20" s="41">
        <f t="shared" si="34"/>
        <v>227774</v>
      </c>
      <c r="BO20" s="44">
        <f t="shared" si="35"/>
        <v>0.30528295902395897</v>
      </c>
      <c r="BP20" s="44">
        <f t="shared" si="36"/>
        <v>0.67645981670137778</v>
      </c>
      <c r="BQ20" s="44">
        <f t="shared" si="37"/>
        <v>0.42723687157877499</v>
      </c>
      <c r="BR20" s="44">
        <f t="shared" si="7"/>
        <v>0.63157760598716839</v>
      </c>
      <c r="BS20" s="44">
        <f t="shared" si="8"/>
        <v>8.8484115698551705E-3</v>
      </c>
      <c r="BT20" s="44">
        <f t="shared" si="38"/>
        <v>0.34860721425610525</v>
      </c>
    </row>
    <row r="21" spans="1:72" ht="15.75" thickBot="1">
      <c r="A21" s="36">
        <f t="shared" si="0"/>
        <v>2001</v>
      </c>
      <c r="B21" s="36">
        <f t="shared" si="9"/>
        <v>7</v>
      </c>
      <c r="C21" s="39">
        <v>37073</v>
      </c>
      <c r="D21" s="40" t="s">
        <v>35</v>
      </c>
      <c r="E21" s="37"/>
      <c r="F21" s="14">
        <v>151026</v>
      </c>
      <c r="G21" s="8"/>
      <c r="H21" s="15">
        <v>17693</v>
      </c>
      <c r="I21" s="16">
        <v>13965</v>
      </c>
      <c r="J21" s="16">
        <v>13127</v>
      </c>
      <c r="K21" s="16">
        <v>838</v>
      </c>
      <c r="L21" s="16">
        <v>2405</v>
      </c>
      <c r="M21" s="17">
        <v>133139</v>
      </c>
      <c r="N21" s="16">
        <v>49262</v>
      </c>
      <c r="O21" s="16">
        <v>16368</v>
      </c>
      <c r="P21" s="16">
        <v>9851</v>
      </c>
      <c r="Q21" s="16">
        <v>8183</v>
      </c>
      <c r="R21" s="16">
        <v>9864</v>
      </c>
      <c r="S21" s="16">
        <v>2302</v>
      </c>
      <c r="T21" s="16">
        <v>2695</v>
      </c>
      <c r="U21" s="16">
        <v>3597</v>
      </c>
      <c r="V21" s="16">
        <v>16355</v>
      </c>
      <c r="W21" s="16">
        <v>14819</v>
      </c>
      <c r="X21" s="16">
        <v>6511</v>
      </c>
      <c r="Y21" s="16">
        <v>15504</v>
      </c>
      <c r="Z21" s="16">
        <v>14815</v>
      </c>
      <c r="AA21" s="16">
        <v>685</v>
      </c>
      <c r="AB21" s="16">
        <v>5334</v>
      </c>
      <c r="AC21" s="16">
        <v>2004</v>
      </c>
      <c r="AD21" s="16">
        <v>12266</v>
      </c>
      <c r="AE21" s="16">
        <v>5714</v>
      </c>
      <c r="AF21" s="16">
        <v>2228</v>
      </c>
      <c r="AG21" s="16">
        <v>2581</v>
      </c>
      <c r="AH21" s="16">
        <v>689</v>
      </c>
      <c r="AI21" s="16">
        <v>2864</v>
      </c>
      <c r="AJ21" s="16">
        <v>6016</v>
      </c>
      <c r="AK21" s="16">
        <v>8100</v>
      </c>
      <c r="AL21" s="16">
        <v>4640</v>
      </c>
      <c r="AM21" s="18">
        <v>194</v>
      </c>
      <c r="AO21" s="13">
        <v>2018</v>
      </c>
      <c r="AP21" s="41">
        <f t="shared" si="10"/>
        <v>7502145</v>
      </c>
      <c r="AQ21" s="41">
        <f t="shared" si="11"/>
        <v>1784734</v>
      </c>
      <c r="AR21" s="41">
        <f t="shared" si="12"/>
        <v>670474</v>
      </c>
      <c r="AS21" s="41">
        <f t="shared" si="13"/>
        <v>342185</v>
      </c>
      <c r="AT21" s="41">
        <f t="shared" si="14"/>
        <v>757764</v>
      </c>
      <c r="AU21" s="41">
        <f t="shared" si="15"/>
        <v>5648512</v>
      </c>
      <c r="AV21" s="41">
        <f t="shared" si="16"/>
        <v>3584869</v>
      </c>
      <c r="AW21" s="41">
        <f t="shared" si="39"/>
        <v>2023285</v>
      </c>
      <c r="AX21" s="41">
        <f t="shared" si="40"/>
        <v>116551</v>
      </c>
      <c r="AY21" s="41">
        <f t="shared" si="41"/>
        <v>674218</v>
      </c>
      <c r="AZ21" s="41">
        <f t="shared" si="42"/>
        <v>378304</v>
      </c>
      <c r="BA21" s="41">
        <f t="shared" si="43"/>
        <v>197452</v>
      </c>
      <c r="BB21" s="41">
        <f t="shared" si="44"/>
        <v>195055</v>
      </c>
      <c r="BC21" s="41">
        <f t="shared" si="23"/>
        <v>21807</v>
      </c>
      <c r="BD21" s="41">
        <f t="shared" si="24"/>
        <v>226036</v>
      </c>
      <c r="BE21" s="41">
        <f t="shared" si="25"/>
        <v>14994</v>
      </c>
      <c r="BF21" s="41">
        <f t="shared" si="26"/>
        <v>216849</v>
      </c>
      <c r="BG21" s="41">
        <f t="shared" si="27"/>
        <v>296084</v>
      </c>
      <c r="BH21" s="41">
        <f t="shared" si="28"/>
        <v>39766</v>
      </c>
      <c r="BI21" s="41">
        <f t="shared" si="29"/>
        <v>21736</v>
      </c>
      <c r="BJ21" s="41">
        <f t="shared" si="30"/>
        <v>433836</v>
      </c>
      <c r="BK21" s="41">
        <f t="shared" si="31"/>
        <v>249201</v>
      </c>
      <c r="BL21" s="41">
        <f t="shared" si="32"/>
        <v>138606</v>
      </c>
      <c r="BM21" s="41">
        <f t="shared" si="33"/>
        <v>176437</v>
      </c>
      <c r="BN21" s="41">
        <f t="shared" si="34"/>
        <v>228290</v>
      </c>
      <c r="BO21" s="44">
        <f t="shared" si="35"/>
        <v>0.23789649493578169</v>
      </c>
      <c r="BP21" s="44">
        <f t="shared" si="36"/>
        <v>0.75291959832821143</v>
      </c>
      <c r="BQ21" s="44">
        <f t="shared" si="37"/>
        <v>0.47784586941468071</v>
      </c>
      <c r="BR21" s="44">
        <f t="shared" si="7"/>
        <v>0.63465723362188131</v>
      </c>
      <c r="BS21" s="44">
        <f t="shared" si="8"/>
        <v>7.0400841850030592E-3</v>
      </c>
      <c r="BT21" s="44">
        <f t="shared" si="38"/>
        <v>0.35819787582995311</v>
      </c>
    </row>
    <row r="22" spans="1:72" ht="15.75" thickBot="1">
      <c r="A22" s="36">
        <f t="shared" si="0"/>
        <v>2001</v>
      </c>
      <c r="B22" s="36">
        <f t="shared" si="9"/>
        <v>8</v>
      </c>
      <c r="C22" s="39">
        <v>37104</v>
      </c>
      <c r="D22" s="40" t="s">
        <v>35</v>
      </c>
      <c r="E22" s="37"/>
      <c r="F22" s="14">
        <v>167564</v>
      </c>
      <c r="G22" s="8"/>
      <c r="H22" s="15">
        <v>15850</v>
      </c>
      <c r="I22" s="16">
        <v>11909</v>
      </c>
      <c r="J22" s="16">
        <v>10497</v>
      </c>
      <c r="K22" s="16">
        <v>1412</v>
      </c>
      <c r="L22" s="16">
        <v>2224</v>
      </c>
      <c r="M22" s="17">
        <v>151389</v>
      </c>
      <c r="N22" s="16">
        <v>47583</v>
      </c>
      <c r="O22" s="16">
        <v>11150</v>
      </c>
      <c r="P22" s="16">
        <v>8188</v>
      </c>
      <c r="Q22" s="16">
        <v>10786</v>
      </c>
      <c r="R22" s="16">
        <v>9625</v>
      </c>
      <c r="S22" s="16">
        <v>4855</v>
      </c>
      <c r="T22" s="16">
        <v>2979</v>
      </c>
      <c r="U22" s="16">
        <v>4976</v>
      </c>
      <c r="V22" s="16">
        <v>18885</v>
      </c>
      <c r="W22" s="16">
        <v>16918</v>
      </c>
      <c r="X22" s="16">
        <v>8344</v>
      </c>
      <c r="Y22" s="16">
        <v>20704</v>
      </c>
      <c r="Z22" s="16">
        <v>19631</v>
      </c>
      <c r="AA22" s="16">
        <v>645</v>
      </c>
      <c r="AB22" s="16">
        <v>5993</v>
      </c>
      <c r="AC22" s="16">
        <v>3689</v>
      </c>
      <c r="AD22" s="16">
        <v>14809</v>
      </c>
      <c r="AE22" s="16">
        <v>6128</v>
      </c>
      <c r="AF22" s="16">
        <v>3219</v>
      </c>
      <c r="AG22" s="16">
        <v>3386</v>
      </c>
      <c r="AH22" s="16">
        <v>850</v>
      </c>
      <c r="AI22" s="16">
        <v>3452</v>
      </c>
      <c r="AJ22" s="16">
        <v>5905</v>
      </c>
      <c r="AK22" s="16">
        <v>11841</v>
      </c>
      <c r="AL22" s="16">
        <v>4564</v>
      </c>
      <c r="AM22" s="18">
        <v>324</v>
      </c>
      <c r="AO22" s="13">
        <v>2019</v>
      </c>
      <c r="AP22" s="41">
        <f t="shared" si="10"/>
        <v>7680346</v>
      </c>
      <c r="AQ22" s="41">
        <f t="shared" si="11"/>
        <v>2115303</v>
      </c>
      <c r="AR22" s="41">
        <f t="shared" si="12"/>
        <v>1272870</v>
      </c>
      <c r="AS22" s="41">
        <f t="shared" si="13"/>
        <v>154797</v>
      </c>
      <c r="AT22" s="41">
        <f t="shared" si="14"/>
        <v>672625</v>
      </c>
      <c r="AU22" s="41">
        <f t="shared" si="15"/>
        <v>5482602</v>
      </c>
      <c r="AV22" s="41">
        <f t="shared" si="16"/>
        <v>3688335</v>
      </c>
      <c r="AW22" s="41">
        <f t="shared" si="39"/>
        <v>2195095</v>
      </c>
      <c r="AX22" s="41">
        <f t="shared" si="40"/>
        <v>117625</v>
      </c>
      <c r="AY22" s="41">
        <f t="shared" si="41"/>
        <v>650180</v>
      </c>
      <c r="AZ22" s="41">
        <f t="shared" si="42"/>
        <v>312901</v>
      </c>
      <c r="BA22" s="41">
        <f t="shared" si="43"/>
        <v>222266</v>
      </c>
      <c r="BB22" s="41">
        <f t="shared" si="44"/>
        <v>190272</v>
      </c>
      <c r="BC22" s="41">
        <f t="shared" si="23"/>
        <v>21860</v>
      </c>
      <c r="BD22" s="41">
        <f t="shared" si="24"/>
        <v>190092</v>
      </c>
      <c r="BE22" s="41">
        <f t="shared" si="25"/>
        <v>12725</v>
      </c>
      <c r="BF22" s="41">
        <f t="shared" si="26"/>
        <v>148773</v>
      </c>
      <c r="BG22" s="41">
        <f t="shared" si="27"/>
        <v>267661</v>
      </c>
      <c r="BH22" s="41">
        <f t="shared" si="28"/>
        <v>43532</v>
      </c>
      <c r="BI22" s="41">
        <f t="shared" si="29"/>
        <v>4091</v>
      </c>
      <c r="BJ22" s="41">
        <f t="shared" si="30"/>
        <v>383459</v>
      </c>
      <c r="BK22" s="41">
        <f t="shared" si="31"/>
        <v>248399</v>
      </c>
      <c r="BL22" s="41">
        <f t="shared" si="32"/>
        <v>109886</v>
      </c>
      <c r="BM22" s="41">
        <f t="shared" si="33"/>
        <v>160097</v>
      </c>
      <c r="BN22" s="41">
        <f t="shared" si="34"/>
        <v>203688</v>
      </c>
      <c r="BO22" s="44">
        <f t="shared" si="35"/>
        <v>0.27541766998518036</v>
      </c>
      <c r="BP22" s="44">
        <f t="shared" si="36"/>
        <v>0.7138483083965228</v>
      </c>
      <c r="BQ22" s="44">
        <f t="shared" si="37"/>
        <v>0.48023031774870562</v>
      </c>
      <c r="BR22" s="44">
        <f t="shared" si="7"/>
        <v>0.67273440603567425</v>
      </c>
      <c r="BS22" s="44">
        <f t="shared" si="8"/>
        <v>7.9400255572080556E-3</v>
      </c>
      <c r="BT22" s="44">
        <f t="shared" si="38"/>
        <v>0.40037467611181699</v>
      </c>
    </row>
    <row r="23" spans="1:72" ht="15.75" thickBot="1">
      <c r="A23" s="36">
        <f t="shared" si="0"/>
        <v>2001</v>
      </c>
      <c r="B23" s="36">
        <f t="shared" si="9"/>
        <v>9</v>
      </c>
      <c r="C23" s="39">
        <v>37135</v>
      </c>
      <c r="D23" s="40" t="s">
        <v>35</v>
      </c>
      <c r="E23" s="37"/>
      <c r="F23" s="14">
        <v>163572</v>
      </c>
      <c r="G23" s="8"/>
      <c r="H23" s="15">
        <v>15831</v>
      </c>
      <c r="I23" s="16">
        <v>11877</v>
      </c>
      <c r="J23" s="16">
        <v>10392</v>
      </c>
      <c r="K23" s="16">
        <v>1485</v>
      </c>
      <c r="L23" s="16">
        <v>2845</v>
      </c>
      <c r="M23" s="17">
        <v>146676</v>
      </c>
      <c r="N23" s="16">
        <v>49385</v>
      </c>
      <c r="O23" s="16">
        <v>8458</v>
      </c>
      <c r="P23" s="16">
        <v>8327</v>
      </c>
      <c r="Q23" s="16">
        <v>12939</v>
      </c>
      <c r="R23" s="16">
        <v>12053</v>
      </c>
      <c r="S23" s="16">
        <v>4484</v>
      </c>
      <c r="T23" s="16">
        <v>3125</v>
      </c>
      <c r="U23" s="16">
        <v>3878</v>
      </c>
      <c r="V23" s="16">
        <v>17834</v>
      </c>
      <c r="W23" s="16">
        <v>16181</v>
      </c>
      <c r="X23" s="16">
        <v>7788</v>
      </c>
      <c r="Y23" s="16">
        <v>21207</v>
      </c>
      <c r="Z23" s="16">
        <v>20323</v>
      </c>
      <c r="AA23" s="16">
        <v>759</v>
      </c>
      <c r="AB23" s="16">
        <v>7167</v>
      </c>
      <c r="AC23" s="16">
        <v>1377</v>
      </c>
      <c r="AD23" s="16">
        <v>12051</v>
      </c>
      <c r="AE23" s="16">
        <v>5280</v>
      </c>
      <c r="AF23" s="16">
        <v>1610</v>
      </c>
      <c r="AG23" s="16">
        <v>2699</v>
      </c>
      <c r="AH23" s="16">
        <v>499</v>
      </c>
      <c r="AI23" s="16">
        <v>3602</v>
      </c>
      <c r="AJ23" s="16">
        <v>5983</v>
      </c>
      <c r="AK23" s="16">
        <v>10406</v>
      </c>
      <c r="AL23" s="16">
        <v>5237</v>
      </c>
      <c r="AM23" s="18">
        <v>1056</v>
      </c>
      <c r="AO23" s="13">
        <v>2020</v>
      </c>
      <c r="AP23" s="41">
        <f t="shared" si="10"/>
        <v>6863956</v>
      </c>
      <c r="AQ23" s="41">
        <f t="shared" si="11"/>
        <v>1893083</v>
      </c>
      <c r="AR23" s="41">
        <f t="shared" si="12"/>
        <v>1043220</v>
      </c>
      <c r="AS23" s="41">
        <f t="shared" si="13"/>
        <v>160488</v>
      </c>
      <c r="AT23" s="41">
        <f t="shared" si="14"/>
        <v>678548</v>
      </c>
      <c r="AU23" s="41">
        <f t="shared" si="15"/>
        <v>4888112</v>
      </c>
      <c r="AV23" s="41">
        <f t="shared" si="16"/>
        <v>3490824</v>
      </c>
      <c r="AW23" s="41">
        <f t="shared" si="39"/>
        <v>1946556</v>
      </c>
      <c r="AX23" s="41">
        <f t="shared" si="40"/>
        <v>96893</v>
      </c>
      <c r="AY23" s="41">
        <f t="shared" si="41"/>
        <v>640221</v>
      </c>
      <c r="AZ23" s="41">
        <f t="shared" si="42"/>
        <v>411814</v>
      </c>
      <c r="BA23" s="41">
        <f t="shared" si="43"/>
        <v>189035</v>
      </c>
      <c r="BB23" s="41">
        <f t="shared" si="44"/>
        <v>206308</v>
      </c>
      <c r="BC23" s="41">
        <f t="shared" si="23"/>
        <v>12334</v>
      </c>
      <c r="BD23" s="41">
        <f t="shared" si="24"/>
        <v>109266</v>
      </c>
      <c r="BE23" s="41">
        <f t="shared" si="25"/>
        <v>8792</v>
      </c>
      <c r="BF23" s="41">
        <f t="shared" si="26"/>
        <v>80047</v>
      </c>
      <c r="BG23" s="41">
        <f t="shared" si="27"/>
        <v>198528</v>
      </c>
      <c r="BH23" s="41">
        <f t="shared" si="28"/>
        <v>31144</v>
      </c>
      <c r="BI23" s="41">
        <f t="shared" si="29"/>
        <v>5817</v>
      </c>
      <c r="BJ23" s="41">
        <f t="shared" si="30"/>
        <v>380455</v>
      </c>
      <c r="BK23" s="41">
        <f t="shared" si="31"/>
        <v>220596</v>
      </c>
      <c r="BL23" s="41">
        <f t="shared" si="32"/>
        <v>78823</v>
      </c>
      <c r="BM23" s="41">
        <f t="shared" si="33"/>
        <v>112687</v>
      </c>
      <c r="BN23" s="41">
        <f t="shared" si="34"/>
        <v>158805</v>
      </c>
      <c r="BO23" s="44">
        <f t="shared" si="35"/>
        <v>0.27580057331369839</v>
      </c>
      <c r="BP23" s="44">
        <f t="shared" si="36"/>
        <v>0.7121420941509532</v>
      </c>
      <c r="BQ23" s="44">
        <f t="shared" si="37"/>
        <v>0.50857319015448232</v>
      </c>
      <c r="BR23" s="44">
        <f t="shared" si="7"/>
        <v>0.71414566605675156</v>
      </c>
      <c r="BS23" s="44">
        <f t="shared" si="8"/>
        <v>6.3713761059484729E-3</v>
      </c>
      <c r="BT23" s="44">
        <f t="shared" si="38"/>
        <v>0.39822246298775477</v>
      </c>
    </row>
    <row r="24" spans="1:72" ht="15.75" thickBot="1">
      <c r="A24" s="36">
        <f t="shared" si="0"/>
        <v>2001</v>
      </c>
      <c r="B24" s="36">
        <f t="shared" si="9"/>
        <v>10</v>
      </c>
      <c r="C24" s="39">
        <v>37165</v>
      </c>
      <c r="D24" s="40" t="s">
        <v>35</v>
      </c>
      <c r="E24" s="37"/>
      <c r="F24" s="14">
        <v>161945</v>
      </c>
      <c r="G24" s="8"/>
      <c r="H24" s="15">
        <v>10570</v>
      </c>
      <c r="I24" s="16">
        <v>5542</v>
      </c>
      <c r="J24" s="16">
        <v>4994</v>
      </c>
      <c r="K24" s="16">
        <v>548</v>
      </c>
      <c r="L24" s="16">
        <v>3987</v>
      </c>
      <c r="M24" s="17">
        <v>149459</v>
      </c>
      <c r="N24" s="16">
        <v>56625</v>
      </c>
      <c r="O24" s="16">
        <v>8771</v>
      </c>
      <c r="P24" s="16">
        <v>7540</v>
      </c>
      <c r="Q24" s="16">
        <v>10025</v>
      </c>
      <c r="R24" s="16">
        <v>17310</v>
      </c>
      <c r="S24" s="16">
        <v>6679</v>
      </c>
      <c r="T24" s="16">
        <v>6299</v>
      </c>
      <c r="U24" s="16">
        <v>2965</v>
      </c>
      <c r="V24" s="16">
        <v>15797</v>
      </c>
      <c r="W24" s="16">
        <v>14515</v>
      </c>
      <c r="X24" s="16">
        <v>6993</v>
      </c>
      <c r="Y24" s="16">
        <v>19281</v>
      </c>
      <c r="Z24" s="16">
        <v>19037</v>
      </c>
      <c r="AA24" s="16">
        <v>729</v>
      </c>
      <c r="AB24" s="16">
        <v>5235</v>
      </c>
      <c r="AC24" s="16">
        <v>1252</v>
      </c>
      <c r="AD24" s="16">
        <v>14318</v>
      </c>
      <c r="AE24" s="16">
        <v>6295</v>
      </c>
      <c r="AF24" s="16">
        <v>2280</v>
      </c>
      <c r="AG24" s="16">
        <v>3234</v>
      </c>
      <c r="AH24" s="16">
        <v>885</v>
      </c>
      <c r="AI24" s="16">
        <v>3959</v>
      </c>
      <c r="AJ24" s="16">
        <v>6518</v>
      </c>
      <c r="AK24" s="16">
        <v>10851</v>
      </c>
      <c r="AL24" s="16">
        <v>4937</v>
      </c>
      <c r="AM24" s="18">
        <v>1916</v>
      </c>
      <c r="AO24" s="13">
        <v>2021</v>
      </c>
      <c r="AP24" s="41">
        <f t="shared" si="10"/>
        <v>9535281</v>
      </c>
      <c r="AQ24" s="41">
        <f t="shared" si="11"/>
        <v>2354945</v>
      </c>
      <c r="AR24" s="41">
        <f t="shared" si="12"/>
        <v>1330372</v>
      </c>
      <c r="AS24" s="41">
        <f t="shared" si="13"/>
        <v>300426</v>
      </c>
      <c r="AT24" s="41">
        <f t="shared" si="14"/>
        <v>701917</v>
      </c>
      <c r="AU24" s="41">
        <f t="shared" si="15"/>
        <v>6650835</v>
      </c>
      <c r="AV24" s="41">
        <f t="shared" si="16"/>
        <v>4717940</v>
      </c>
      <c r="AW24" s="41">
        <f t="shared" si="39"/>
        <v>3060352</v>
      </c>
      <c r="AX24" s="41">
        <f t="shared" si="40"/>
        <v>101014</v>
      </c>
      <c r="AY24" s="41">
        <f t="shared" si="41"/>
        <v>734461</v>
      </c>
      <c r="AZ24" s="41">
        <f t="shared" si="42"/>
        <v>337481</v>
      </c>
      <c r="BA24" s="41">
        <f t="shared" si="43"/>
        <v>225163</v>
      </c>
      <c r="BB24" s="41">
        <f t="shared" si="44"/>
        <v>259465</v>
      </c>
      <c r="BC24" s="41">
        <f t="shared" si="23"/>
        <v>14014</v>
      </c>
      <c r="BD24" s="41">
        <f t="shared" si="24"/>
        <v>168630</v>
      </c>
      <c r="BE24" s="41">
        <f t="shared" si="25"/>
        <v>9030</v>
      </c>
      <c r="BF24" s="41">
        <f t="shared" si="26"/>
        <v>129332</v>
      </c>
      <c r="BG24" s="41">
        <f t="shared" si="27"/>
        <v>340918</v>
      </c>
      <c r="BH24" s="41">
        <f t="shared" si="28"/>
        <v>33355</v>
      </c>
      <c r="BI24" s="41">
        <f t="shared" si="29"/>
        <v>13684</v>
      </c>
      <c r="BJ24" s="41">
        <f t="shared" si="30"/>
        <v>479172</v>
      </c>
      <c r="BK24" s="41">
        <f t="shared" si="31"/>
        <v>263312</v>
      </c>
      <c r="BL24" s="41">
        <f t="shared" si="32"/>
        <v>110882</v>
      </c>
      <c r="BM24" s="41">
        <f t="shared" si="33"/>
        <v>194112</v>
      </c>
      <c r="BN24" s="41">
        <f t="shared" si="34"/>
        <v>176450</v>
      </c>
      <c r="BO24" s="44">
        <f t="shared" si="35"/>
        <v>0.24697174629672686</v>
      </c>
      <c r="BP24" s="44">
        <f t="shared" si="36"/>
        <v>0.6974975357307247</v>
      </c>
      <c r="BQ24" s="44">
        <f t="shared" si="37"/>
        <v>0.49478772571044316</v>
      </c>
      <c r="BR24" s="44">
        <f t="shared" si="7"/>
        <v>0.70937558968159642</v>
      </c>
      <c r="BS24" s="44">
        <f t="shared" si="8"/>
        <v>5.0151597506177797E-3</v>
      </c>
      <c r="BT24" s="44">
        <f t="shared" si="38"/>
        <v>0.46014553059878949</v>
      </c>
    </row>
    <row r="25" spans="1:72" ht="15.75" thickBot="1">
      <c r="A25" s="36">
        <f t="shared" si="0"/>
        <v>2001</v>
      </c>
      <c r="B25" s="36">
        <f t="shared" si="9"/>
        <v>11</v>
      </c>
      <c r="C25" s="39">
        <v>37196</v>
      </c>
      <c r="D25" s="40" t="s">
        <v>35</v>
      </c>
      <c r="E25" s="37"/>
      <c r="F25" s="14">
        <v>164446</v>
      </c>
      <c r="G25" s="8"/>
      <c r="H25" s="15">
        <v>10097</v>
      </c>
      <c r="I25" s="16">
        <v>2706</v>
      </c>
      <c r="J25" s="16">
        <v>2383</v>
      </c>
      <c r="K25" s="16">
        <v>323</v>
      </c>
      <c r="L25" s="16">
        <v>6532</v>
      </c>
      <c r="M25" s="17">
        <v>153597</v>
      </c>
      <c r="N25" s="16">
        <v>77877</v>
      </c>
      <c r="O25" s="16">
        <v>25670</v>
      </c>
      <c r="P25" s="16">
        <v>9754</v>
      </c>
      <c r="Q25" s="16">
        <v>15734</v>
      </c>
      <c r="R25" s="16">
        <v>19863</v>
      </c>
      <c r="S25" s="16">
        <v>2735</v>
      </c>
      <c r="T25" s="16">
        <v>4120</v>
      </c>
      <c r="U25" s="16">
        <v>3054</v>
      </c>
      <c r="V25" s="16">
        <v>12432</v>
      </c>
      <c r="W25" s="16">
        <v>11625</v>
      </c>
      <c r="X25" s="16">
        <v>4150</v>
      </c>
      <c r="Y25" s="16">
        <v>16777</v>
      </c>
      <c r="Z25" s="16">
        <v>16564</v>
      </c>
      <c r="AA25" s="16">
        <v>539</v>
      </c>
      <c r="AB25" s="16">
        <v>4200</v>
      </c>
      <c r="AC25" s="16">
        <v>1038</v>
      </c>
      <c r="AD25" s="16">
        <v>10721</v>
      </c>
      <c r="AE25" s="16">
        <v>5079</v>
      </c>
      <c r="AF25" s="16">
        <v>1325</v>
      </c>
      <c r="AG25" s="16">
        <v>2213</v>
      </c>
      <c r="AH25" s="16">
        <v>471</v>
      </c>
      <c r="AI25" s="16">
        <v>4026</v>
      </c>
      <c r="AJ25" s="16">
        <v>4928</v>
      </c>
      <c r="AK25" s="16">
        <v>9525</v>
      </c>
      <c r="AL25" s="16">
        <v>4332</v>
      </c>
      <c r="AM25" s="18">
        <v>751</v>
      </c>
      <c r="AO25" s="13">
        <v>2022</v>
      </c>
      <c r="AP25" s="41">
        <f t="shared" si="10"/>
        <v>11183514</v>
      </c>
      <c r="AQ25" s="41">
        <f t="shared" si="11"/>
        <v>3454020</v>
      </c>
      <c r="AR25" s="41">
        <f t="shared" si="12"/>
        <v>2605519</v>
      </c>
      <c r="AS25" s="41">
        <f t="shared" si="13"/>
        <v>144046</v>
      </c>
      <c r="AT25" s="41">
        <f t="shared" si="14"/>
        <v>674305</v>
      </c>
      <c r="AU25" s="41">
        <f t="shared" si="15"/>
        <v>7560065</v>
      </c>
      <c r="AV25" s="41">
        <f t="shared" si="16"/>
        <v>5176856</v>
      </c>
      <c r="AW25" s="41">
        <f t="shared" si="39"/>
        <v>3177231</v>
      </c>
      <c r="AX25" s="41">
        <f t="shared" si="40"/>
        <v>131130</v>
      </c>
      <c r="AY25" s="41">
        <f t="shared" si="41"/>
        <v>858995</v>
      </c>
      <c r="AZ25" s="41">
        <f t="shared" si="42"/>
        <v>402498</v>
      </c>
      <c r="BA25" s="41">
        <f t="shared" si="43"/>
        <v>285735</v>
      </c>
      <c r="BB25" s="41">
        <f t="shared" si="44"/>
        <v>321268</v>
      </c>
      <c r="BC25" s="41">
        <f t="shared" si="23"/>
        <v>12760</v>
      </c>
      <c r="BD25" s="41">
        <f t="shared" si="24"/>
        <v>164766</v>
      </c>
      <c r="BE25" s="41">
        <f t="shared" si="25"/>
        <v>8445</v>
      </c>
      <c r="BF25" s="41">
        <f t="shared" si="26"/>
        <v>154746</v>
      </c>
      <c r="BG25" s="41">
        <f t="shared" si="27"/>
        <v>409439</v>
      </c>
      <c r="BH25" s="41">
        <f t="shared" si="28"/>
        <v>43789</v>
      </c>
      <c r="BI25" s="41">
        <f t="shared" si="29"/>
        <v>959</v>
      </c>
      <c r="BJ25" s="41">
        <f t="shared" si="30"/>
        <v>528783</v>
      </c>
      <c r="BK25" s="41">
        <f t="shared" si="31"/>
        <v>313669</v>
      </c>
      <c r="BL25" s="41">
        <f t="shared" si="32"/>
        <v>106438</v>
      </c>
      <c r="BM25" s="41">
        <f t="shared" si="33"/>
        <v>445403</v>
      </c>
      <c r="BN25" s="41">
        <f t="shared" si="34"/>
        <v>194011</v>
      </c>
      <c r="BO25" s="44">
        <f t="shared" si="35"/>
        <v>0.30884925793449181</v>
      </c>
      <c r="BP25" s="44">
        <f t="shared" si="36"/>
        <v>0.67600085268369137</v>
      </c>
      <c r="BQ25" s="44">
        <f t="shared" si="37"/>
        <v>0.46290065895209681</v>
      </c>
      <c r="BR25" s="44">
        <f t="shared" si="7"/>
        <v>0.68476342465309492</v>
      </c>
      <c r="BS25" s="44">
        <f t="shared" si="8"/>
        <v>5.7921459669989612E-3</v>
      </c>
      <c r="BT25" s="44">
        <f t="shared" si="38"/>
        <v>0.42026503740377896</v>
      </c>
    </row>
    <row r="26" spans="1:72" ht="15.75" thickBot="1">
      <c r="A26" s="36">
        <f t="shared" si="0"/>
        <v>2001</v>
      </c>
      <c r="B26" s="36">
        <f t="shared" si="9"/>
        <v>12</v>
      </c>
      <c r="C26" s="39">
        <v>37226</v>
      </c>
      <c r="D26" s="40" t="s">
        <v>35</v>
      </c>
      <c r="E26" s="37"/>
      <c r="F26" s="14">
        <v>154050</v>
      </c>
      <c r="G26" s="8"/>
      <c r="H26" s="15">
        <v>8026</v>
      </c>
      <c r="I26" s="16">
        <v>2592</v>
      </c>
      <c r="J26" s="16">
        <v>1770</v>
      </c>
      <c r="K26" s="16">
        <v>822</v>
      </c>
      <c r="L26" s="16">
        <v>4695</v>
      </c>
      <c r="M26" s="17">
        <v>145993</v>
      </c>
      <c r="N26" s="16">
        <v>72009</v>
      </c>
      <c r="O26" s="16">
        <v>32357</v>
      </c>
      <c r="P26" s="16">
        <v>5383</v>
      </c>
      <c r="Q26" s="16">
        <v>12173</v>
      </c>
      <c r="R26" s="16">
        <v>14494</v>
      </c>
      <c r="S26" s="16">
        <v>4934</v>
      </c>
      <c r="T26" s="16">
        <v>2667</v>
      </c>
      <c r="U26" s="16">
        <v>4321</v>
      </c>
      <c r="V26" s="16">
        <v>10403</v>
      </c>
      <c r="W26" s="16">
        <v>9847</v>
      </c>
      <c r="X26" s="16">
        <v>3291</v>
      </c>
      <c r="Y26" s="16">
        <v>18202</v>
      </c>
      <c r="Z26" s="16">
        <v>18190</v>
      </c>
      <c r="AA26" s="16">
        <v>967</v>
      </c>
      <c r="AB26" s="16">
        <v>5507</v>
      </c>
      <c r="AC26" s="16">
        <v>758</v>
      </c>
      <c r="AD26" s="16">
        <v>7977</v>
      </c>
      <c r="AE26" s="16">
        <v>3719</v>
      </c>
      <c r="AF26" s="16">
        <v>711</v>
      </c>
      <c r="AG26" s="16">
        <v>2146</v>
      </c>
      <c r="AH26" s="16">
        <v>367</v>
      </c>
      <c r="AI26" s="16">
        <v>3750</v>
      </c>
      <c r="AJ26" s="16">
        <v>4425</v>
      </c>
      <c r="AK26" s="16">
        <v>10685</v>
      </c>
      <c r="AL26" s="16">
        <v>3697</v>
      </c>
      <c r="AM26" s="18">
        <v>13</v>
      </c>
      <c r="AO26" s="13">
        <v>2023</v>
      </c>
      <c r="AP26" s="41">
        <f t="shared" si="10"/>
        <v>9220130</v>
      </c>
      <c r="AQ26" s="41">
        <f t="shared" si="11"/>
        <v>2269539</v>
      </c>
      <c r="AR26" s="41">
        <f t="shared" si="12"/>
        <v>1109745</v>
      </c>
      <c r="AS26" s="41">
        <f t="shared" si="13"/>
        <v>295850</v>
      </c>
      <c r="AT26" s="41">
        <f t="shared" si="14"/>
        <v>825247</v>
      </c>
      <c r="AU26" s="41">
        <f t="shared" si="15"/>
        <v>6919993</v>
      </c>
      <c r="AV26" s="41">
        <f t="shared" si="16"/>
        <v>4759461</v>
      </c>
      <c r="AW26" s="41">
        <f t="shared" si="39"/>
        <v>2632656</v>
      </c>
      <c r="AX26" s="41">
        <f t="shared" si="40"/>
        <v>132587</v>
      </c>
      <c r="AY26" s="41">
        <f t="shared" si="41"/>
        <v>804940</v>
      </c>
      <c r="AZ26" s="41">
        <f t="shared" si="42"/>
        <v>482611</v>
      </c>
      <c r="BA26" s="41">
        <f t="shared" si="43"/>
        <v>337562</v>
      </c>
      <c r="BB26" s="41">
        <f t="shared" si="44"/>
        <v>369107</v>
      </c>
      <c r="BC26" s="41">
        <f t="shared" si="23"/>
        <v>14263</v>
      </c>
      <c r="BD26" s="41">
        <f t="shared" si="24"/>
        <v>131125</v>
      </c>
      <c r="BE26" s="41">
        <f t="shared" si="25"/>
        <v>7664</v>
      </c>
      <c r="BF26" s="41">
        <f t="shared" si="26"/>
        <v>128557</v>
      </c>
      <c r="BG26" s="41">
        <f t="shared" si="27"/>
        <v>365937</v>
      </c>
      <c r="BH26" s="41">
        <f t="shared" si="28"/>
        <v>40536</v>
      </c>
      <c r="BI26" s="41">
        <f t="shared" si="29"/>
        <v>792</v>
      </c>
      <c r="BJ26" s="41">
        <f t="shared" si="30"/>
        <v>475856</v>
      </c>
      <c r="BK26" s="41">
        <f t="shared" si="31"/>
        <v>278247</v>
      </c>
      <c r="BL26" s="41">
        <f t="shared" si="32"/>
        <v>77845</v>
      </c>
      <c r="BM26" s="41">
        <f t="shared" si="33"/>
        <v>426084</v>
      </c>
      <c r="BN26" s="41">
        <f t="shared" si="34"/>
        <v>213627</v>
      </c>
      <c r="BO26" s="44">
        <f t="shared" si="35"/>
        <v>0.24615043388759161</v>
      </c>
      <c r="BP26" s="44">
        <f t="shared" si="36"/>
        <v>0.75053095780645174</v>
      </c>
      <c r="BQ26" s="44">
        <f t="shared" si="37"/>
        <v>0.51620324225363412</v>
      </c>
      <c r="BR26" s="44">
        <f t="shared" si="7"/>
        <v>0.68778407723822843</v>
      </c>
      <c r="BS26" s="44">
        <f t="shared" si="8"/>
        <v>5.8578093937378256E-3</v>
      </c>
      <c r="BT26" s="44">
        <f t="shared" si="38"/>
        <v>0.38044200333728662</v>
      </c>
    </row>
    <row r="27" spans="1:72" ht="15.75" thickBot="1">
      <c r="A27" s="36">
        <f t="shared" si="0"/>
        <v>2002</v>
      </c>
      <c r="B27" s="36">
        <f t="shared" si="9"/>
        <v>1</v>
      </c>
      <c r="C27" s="39">
        <v>37257</v>
      </c>
      <c r="D27" s="40" t="s">
        <v>35</v>
      </c>
      <c r="E27" s="37"/>
      <c r="F27" s="14">
        <v>139978</v>
      </c>
      <c r="G27" s="8"/>
      <c r="H27" s="15">
        <v>7431</v>
      </c>
      <c r="I27" s="16">
        <v>4032</v>
      </c>
      <c r="J27" s="16">
        <v>1103</v>
      </c>
      <c r="K27" s="16">
        <v>2929</v>
      </c>
      <c r="L27" s="16">
        <v>2650</v>
      </c>
      <c r="M27" s="17">
        <v>132547</v>
      </c>
      <c r="N27" s="16">
        <v>67822</v>
      </c>
      <c r="O27" s="16">
        <v>34497</v>
      </c>
      <c r="P27" s="16">
        <v>4676</v>
      </c>
      <c r="Q27" s="16">
        <v>9029</v>
      </c>
      <c r="R27" s="16">
        <v>13905</v>
      </c>
      <c r="S27" s="16">
        <v>3885</v>
      </c>
      <c r="T27" s="16">
        <v>1830</v>
      </c>
      <c r="U27" s="16">
        <v>3004</v>
      </c>
      <c r="V27" s="16">
        <v>11833</v>
      </c>
      <c r="W27" s="16">
        <v>11150</v>
      </c>
      <c r="X27" s="16">
        <v>3416</v>
      </c>
      <c r="Y27" s="16">
        <v>17905</v>
      </c>
      <c r="Z27" s="16">
        <v>17773</v>
      </c>
      <c r="AA27" s="16">
        <v>789</v>
      </c>
      <c r="AB27" s="16">
        <v>5520</v>
      </c>
      <c r="AC27" s="16">
        <v>1729</v>
      </c>
      <c r="AD27" s="16">
        <v>7650</v>
      </c>
      <c r="AE27" s="16">
        <v>4312</v>
      </c>
      <c r="AF27" s="16">
        <v>712</v>
      </c>
      <c r="AG27" s="16">
        <v>1176</v>
      </c>
      <c r="AH27" s="16">
        <v>446</v>
      </c>
      <c r="AI27" s="16">
        <v>4240</v>
      </c>
      <c r="AJ27" s="16">
        <v>3766</v>
      </c>
      <c r="AK27" s="16">
        <v>1941</v>
      </c>
      <c r="AL27" s="16">
        <v>2932</v>
      </c>
      <c r="AM27" s="18">
        <v>0</v>
      </c>
      <c r="AO27" s="13">
        <v>2024</v>
      </c>
      <c r="AP27" s="41">
        <f t="shared" si="10"/>
        <v>10252998</v>
      </c>
      <c r="AQ27" s="41">
        <f t="shared" si="11"/>
        <v>3267748</v>
      </c>
      <c r="AR27" s="41">
        <f t="shared" si="12"/>
        <v>1821624</v>
      </c>
      <c r="AS27" s="41">
        <f t="shared" si="13"/>
        <v>386341</v>
      </c>
      <c r="AT27" s="41">
        <f t="shared" si="14"/>
        <v>986231</v>
      </c>
      <c r="AU27" s="41">
        <f t="shared" si="15"/>
        <v>6844958</v>
      </c>
      <c r="AV27" s="41">
        <f t="shared" si="16"/>
        <v>4582834</v>
      </c>
      <c r="AW27" s="41">
        <f t="shared" si="39"/>
        <v>2552531</v>
      </c>
      <c r="AX27" s="41">
        <f t="shared" si="40"/>
        <v>96624</v>
      </c>
      <c r="AY27" s="41">
        <f t="shared" si="41"/>
        <v>795333</v>
      </c>
      <c r="AZ27" s="41">
        <f t="shared" si="42"/>
        <v>491198</v>
      </c>
      <c r="BA27" s="41">
        <f t="shared" si="43"/>
        <v>287173</v>
      </c>
      <c r="BB27" s="41">
        <f t="shared" si="44"/>
        <v>359973</v>
      </c>
      <c r="BC27" s="41">
        <f t="shared" si="23"/>
        <v>15313</v>
      </c>
      <c r="BD27" s="41">
        <f t="shared" si="24"/>
        <v>118342</v>
      </c>
      <c r="BE27" s="41">
        <f t="shared" si="25"/>
        <v>6868</v>
      </c>
      <c r="BF27" s="41">
        <f t="shared" si="26"/>
        <v>147580</v>
      </c>
      <c r="BG27" s="41">
        <f t="shared" si="27"/>
        <v>335572</v>
      </c>
      <c r="BH27" s="41">
        <f t="shared" si="28"/>
        <v>36761</v>
      </c>
      <c r="BI27" s="41">
        <f t="shared" si="29"/>
        <v>228</v>
      </c>
      <c r="BJ27" s="41">
        <f t="shared" si="30"/>
        <v>497892</v>
      </c>
      <c r="BK27" s="41">
        <f t="shared" si="31"/>
        <v>271223</v>
      </c>
      <c r="BL27" s="41">
        <f t="shared" si="32"/>
        <v>66133</v>
      </c>
      <c r="BM27" s="41">
        <f t="shared" si="33"/>
        <v>549434</v>
      </c>
      <c r="BN27" s="41">
        <f t="shared" si="34"/>
        <v>216778</v>
      </c>
      <c r="BO27" s="44">
        <f t="shared" si="35"/>
        <v>0.31871146371041914</v>
      </c>
      <c r="BP27" s="44">
        <f t="shared" si="36"/>
        <v>0.66760551401648571</v>
      </c>
      <c r="BQ27" s="44">
        <f t="shared" si="37"/>
        <v>0.44697502135472961</v>
      </c>
      <c r="BR27" s="44">
        <f t="shared" si="7"/>
        <v>0.66951966688473474</v>
      </c>
      <c r="BS27" s="44">
        <f t="shared" si="8"/>
        <v>5.3705223611306306E-3</v>
      </c>
      <c r="BT27" s="44">
        <f t="shared" si="38"/>
        <v>0.37290674391281875</v>
      </c>
    </row>
    <row r="28" spans="1:72" ht="15.75" thickBot="1">
      <c r="A28" s="36">
        <f t="shared" si="0"/>
        <v>2002</v>
      </c>
      <c r="B28" s="36">
        <f t="shared" si="9"/>
        <v>2</v>
      </c>
      <c r="C28" s="39">
        <v>37288</v>
      </c>
      <c r="D28" s="40" t="s">
        <v>35</v>
      </c>
      <c r="E28" s="37"/>
      <c r="F28" s="14">
        <v>157947</v>
      </c>
      <c r="G28" s="8"/>
      <c r="H28" s="15">
        <v>12614</v>
      </c>
      <c r="I28" s="16">
        <v>5597</v>
      </c>
      <c r="J28" s="16">
        <v>1647</v>
      </c>
      <c r="K28" s="16">
        <v>3951</v>
      </c>
      <c r="L28" s="16">
        <v>6332</v>
      </c>
      <c r="M28" s="17">
        <v>145333</v>
      </c>
      <c r="N28" s="16">
        <v>75362</v>
      </c>
      <c r="O28" s="16">
        <v>35594</v>
      </c>
      <c r="P28" s="16">
        <v>5916</v>
      </c>
      <c r="Q28" s="16">
        <v>10079</v>
      </c>
      <c r="R28" s="16">
        <v>19028</v>
      </c>
      <c r="S28" s="16">
        <v>1637</v>
      </c>
      <c r="T28" s="16">
        <v>3108</v>
      </c>
      <c r="U28" s="16">
        <v>5075</v>
      </c>
      <c r="V28" s="16">
        <v>15990</v>
      </c>
      <c r="W28" s="16">
        <v>15434</v>
      </c>
      <c r="X28" s="16">
        <v>2512</v>
      </c>
      <c r="Y28" s="16">
        <v>17529</v>
      </c>
      <c r="Z28" s="16">
        <v>17500</v>
      </c>
      <c r="AA28" s="16">
        <v>526</v>
      </c>
      <c r="AB28" s="16">
        <v>3759</v>
      </c>
      <c r="AC28" s="16">
        <v>807</v>
      </c>
      <c r="AD28" s="16">
        <v>8890</v>
      </c>
      <c r="AE28" s="16">
        <v>4574</v>
      </c>
      <c r="AF28" s="16">
        <v>223</v>
      </c>
      <c r="AG28" s="16">
        <v>2674</v>
      </c>
      <c r="AH28" s="16">
        <v>339</v>
      </c>
      <c r="AI28" s="16">
        <v>3867</v>
      </c>
      <c r="AJ28" s="16">
        <v>4241</v>
      </c>
      <c r="AK28" s="16">
        <v>3281</v>
      </c>
      <c r="AL28" s="16">
        <v>3494</v>
      </c>
      <c r="AM28" s="18">
        <v>0</v>
      </c>
      <c r="AO28" s="13">
        <v>2025</v>
      </c>
      <c r="AP28" s="41">
        <f t="shared" si="10"/>
        <v>11204489</v>
      </c>
      <c r="AQ28" s="41">
        <f t="shared" si="11"/>
        <v>3573282</v>
      </c>
      <c r="AR28" s="41">
        <f t="shared" si="12"/>
        <v>2021950</v>
      </c>
      <c r="AS28" s="41">
        <f t="shared" si="13"/>
        <v>483040</v>
      </c>
      <c r="AT28" s="41">
        <f t="shared" si="14"/>
        <v>1018698</v>
      </c>
      <c r="AU28" s="41">
        <f t="shared" si="15"/>
        <v>7548237</v>
      </c>
      <c r="AV28" s="41">
        <f t="shared" si="16"/>
        <v>5394734</v>
      </c>
      <c r="AW28" s="41">
        <f t="shared" si="39"/>
        <v>3270297</v>
      </c>
      <c r="AX28" s="41">
        <f t="shared" si="40"/>
        <v>109526</v>
      </c>
      <c r="AY28" s="41">
        <f t="shared" si="41"/>
        <v>914700</v>
      </c>
      <c r="AZ28" s="41">
        <f t="shared" si="42"/>
        <v>408620</v>
      </c>
      <c r="BA28" s="41">
        <f t="shared" si="43"/>
        <v>251100</v>
      </c>
      <c r="BB28" s="41">
        <f t="shared" si="44"/>
        <v>440492</v>
      </c>
      <c r="BC28" s="41">
        <f t="shared" si="23"/>
        <v>19686</v>
      </c>
      <c r="BD28" s="41">
        <f t="shared" si="24"/>
        <v>129867</v>
      </c>
      <c r="BE28" s="41">
        <f t="shared" si="25"/>
        <v>7070</v>
      </c>
      <c r="BF28" s="41">
        <f t="shared" si="26"/>
        <v>103138</v>
      </c>
      <c r="BG28" s="41">
        <f t="shared" si="27"/>
        <v>351005</v>
      </c>
      <c r="BH28" s="41">
        <f t="shared" si="28"/>
        <v>38357</v>
      </c>
      <c r="BI28" s="41">
        <f t="shared" si="29"/>
        <v>6166</v>
      </c>
      <c r="BJ28" s="41">
        <f t="shared" si="30"/>
        <v>529279</v>
      </c>
      <c r="BK28" s="41">
        <f t="shared" si="31"/>
        <v>259361</v>
      </c>
      <c r="BL28" s="41">
        <f t="shared" si="32"/>
        <v>84441</v>
      </c>
      <c r="BM28" s="41">
        <f t="shared" si="33"/>
        <v>430253</v>
      </c>
      <c r="BN28" s="41">
        <f t="shared" si="34"/>
        <v>194880</v>
      </c>
      <c r="BO28" s="44">
        <f t="shared" si="35"/>
        <v>0.318915213357789</v>
      </c>
      <c r="BP28" s="44">
        <f t="shared" si="36"/>
        <v>0.67367971890552081</v>
      </c>
      <c r="BQ28" s="44">
        <f t="shared" si="37"/>
        <v>0.48147969978818311</v>
      </c>
      <c r="BR28" s="44">
        <f>AV28/AU28</f>
        <v>0.71470119446434976</v>
      </c>
      <c r="BS28" s="44">
        <f t="shared" si="8"/>
        <v>5.081583951325323E-3</v>
      </c>
      <c r="BT28" s="44">
        <f t="shared" si="38"/>
        <v>0.43325308943002189</v>
      </c>
    </row>
    <row r="29" spans="1:72" ht="15.75" thickBot="1">
      <c r="A29" s="36">
        <f t="shared" si="0"/>
        <v>2002</v>
      </c>
      <c r="B29" s="36">
        <f t="shared" si="9"/>
        <v>3</v>
      </c>
      <c r="C29" s="39">
        <v>37316</v>
      </c>
      <c r="D29" s="40" t="s">
        <v>35</v>
      </c>
      <c r="E29" s="37"/>
      <c r="F29" s="14">
        <v>154108</v>
      </c>
      <c r="G29" s="8"/>
      <c r="H29" s="15">
        <v>11015</v>
      </c>
      <c r="I29" s="16">
        <v>8157</v>
      </c>
      <c r="J29" s="16">
        <v>4809</v>
      </c>
      <c r="K29" s="16">
        <v>3348</v>
      </c>
      <c r="L29" s="16">
        <v>1759</v>
      </c>
      <c r="M29" s="17">
        <v>143081</v>
      </c>
      <c r="N29" s="16">
        <v>65964</v>
      </c>
      <c r="O29" s="16">
        <v>35987</v>
      </c>
      <c r="P29" s="16">
        <v>8092</v>
      </c>
      <c r="Q29" s="16">
        <v>10882</v>
      </c>
      <c r="R29" s="16">
        <v>6562</v>
      </c>
      <c r="S29" s="16">
        <v>2007</v>
      </c>
      <c r="T29" s="16">
        <v>2434</v>
      </c>
      <c r="U29" s="16">
        <v>5036</v>
      </c>
      <c r="V29" s="16">
        <v>16206</v>
      </c>
      <c r="W29" s="16">
        <v>15714</v>
      </c>
      <c r="X29" s="16">
        <v>3190</v>
      </c>
      <c r="Y29" s="16">
        <v>19546</v>
      </c>
      <c r="Z29" s="16">
        <v>19542</v>
      </c>
      <c r="AA29" s="16">
        <v>826</v>
      </c>
      <c r="AB29" s="16">
        <v>4491</v>
      </c>
      <c r="AC29" s="16">
        <v>1397</v>
      </c>
      <c r="AD29" s="16">
        <v>9049</v>
      </c>
      <c r="AE29" s="16">
        <v>5442</v>
      </c>
      <c r="AF29" s="16">
        <v>687</v>
      </c>
      <c r="AG29" s="16">
        <v>1583</v>
      </c>
      <c r="AH29" s="16">
        <v>345</v>
      </c>
      <c r="AI29" s="16">
        <v>4571</v>
      </c>
      <c r="AJ29" s="16">
        <v>4750</v>
      </c>
      <c r="AK29" s="16">
        <v>4337</v>
      </c>
      <c r="AL29" s="16">
        <v>3719</v>
      </c>
      <c r="AM29" s="18">
        <v>0</v>
      </c>
      <c r="AO29" s="13"/>
      <c r="AP29" s="13"/>
      <c r="AQ29" s="13"/>
      <c r="AR29" s="13"/>
      <c r="AS29" s="13"/>
      <c r="AT29" s="13"/>
    </row>
    <row r="30" spans="1:72" ht="15.75" thickBot="1">
      <c r="A30" s="36">
        <f t="shared" si="0"/>
        <v>2002</v>
      </c>
      <c r="B30" s="36">
        <f t="shared" si="9"/>
        <v>4</v>
      </c>
      <c r="C30" s="39">
        <v>37347</v>
      </c>
      <c r="D30" s="40" t="s">
        <v>35</v>
      </c>
      <c r="E30" s="37"/>
      <c r="F30" s="14">
        <v>143104</v>
      </c>
      <c r="G30" s="8"/>
      <c r="H30" s="15">
        <v>16434</v>
      </c>
      <c r="I30" s="16">
        <v>14793</v>
      </c>
      <c r="J30" s="16">
        <v>11984</v>
      </c>
      <c r="K30" s="16">
        <v>2808</v>
      </c>
      <c r="L30" s="16">
        <v>909</v>
      </c>
      <c r="M30" s="17">
        <v>126379</v>
      </c>
      <c r="N30" s="16">
        <v>48484</v>
      </c>
      <c r="O30" s="16">
        <v>23853</v>
      </c>
      <c r="P30" s="16">
        <v>5484</v>
      </c>
      <c r="Q30" s="16">
        <v>8589</v>
      </c>
      <c r="R30" s="16">
        <v>4697</v>
      </c>
      <c r="S30" s="16">
        <v>3841</v>
      </c>
      <c r="T30" s="16">
        <v>2020</v>
      </c>
      <c r="U30" s="16">
        <v>2390</v>
      </c>
      <c r="V30" s="16">
        <v>18136</v>
      </c>
      <c r="W30" s="16">
        <v>16726</v>
      </c>
      <c r="X30" s="16">
        <v>4386</v>
      </c>
      <c r="Y30" s="16">
        <v>17967</v>
      </c>
      <c r="Z30" s="16">
        <v>17939</v>
      </c>
      <c r="AA30" s="16">
        <v>869</v>
      </c>
      <c r="AB30" s="16">
        <v>5876</v>
      </c>
      <c r="AC30" s="16">
        <v>2075</v>
      </c>
      <c r="AD30" s="16">
        <v>10348</v>
      </c>
      <c r="AE30" s="16">
        <v>6056</v>
      </c>
      <c r="AF30" s="16">
        <v>230</v>
      </c>
      <c r="AG30" s="16">
        <v>2781</v>
      </c>
      <c r="AH30" s="16">
        <v>309</v>
      </c>
      <c r="AI30" s="16">
        <v>4505</v>
      </c>
      <c r="AJ30" s="16">
        <v>4238</v>
      </c>
      <c r="AK30" s="16">
        <v>4385</v>
      </c>
      <c r="AL30" s="16">
        <v>2720</v>
      </c>
      <c r="AM30" s="18">
        <v>251</v>
      </c>
      <c r="AW30" s="2" t="s">
        <v>101</v>
      </c>
      <c r="AX30" s="2" t="s">
        <v>102</v>
      </c>
      <c r="AY30" s="2" t="s">
        <v>103</v>
      </c>
      <c r="AZ30" s="2" t="s">
        <v>104</v>
      </c>
    </row>
    <row r="31" spans="1:72" ht="15.75" thickBot="1">
      <c r="A31" s="36">
        <f t="shared" si="0"/>
        <v>2002</v>
      </c>
      <c r="B31" s="36">
        <f t="shared" si="9"/>
        <v>5</v>
      </c>
      <c r="C31" s="39">
        <v>37377</v>
      </c>
      <c r="D31" s="40" t="s">
        <v>35</v>
      </c>
      <c r="E31" s="37"/>
      <c r="F31" s="14">
        <v>189299</v>
      </c>
      <c r="G31" s="8"/>
      <c r="H31" s="15">
        <v>26147</v>
      </c>
      <c r="I31" s="16">
        <v>22557</v>
      </c>
      <c r="J31" s="16">
        <v>20456</v>
      </c>
      <c r="K31" s="16">
        <v>2101</v>
      </c>
      <c r="L31" s="16">
        <v>2871</v>
      </c>
      <c r="M31" s="17">
        <v>162428</v>
      </c>
      <c r="N31" s="16">
        <v>75345</v>
      </c>
      <c r="O31" s="16">
        <v>34823</v>
      </c>
      <c r="P31" s="16">
        <v>8145</v>
      </c>
      <c r="Q31" s="16">
        <v>14173</v>
      </c>
      <c r="R31" s="16">
        <v>14221</v>
      </c>
      <c r="S31" s="16">
        <v>1214</v>
      </c>
      <c r="T31" s="16">
        <v>2769</v>
      </c>
      <c r="U31" s="16">
        <v>3007</v>
      </c>
      <c r="V31" s="16">
        <v>19770</v>
      </c>
      <c r="W31" s="16">
        <v>18940</v>
      </c>
      <c r="X31" s="16">
        <v>3635</v>
      </c>
      <c r="Y31" s="16">
        <v>18468</v>
      </c>
      <c r="Z31" s="16">
        <v>18415</v>
      </c>
      <c r="AA31" s="16">
        <v>782</v>
      </c>
      <c r="AB31" s="16">
        <v>5280</v>
      </c>
      <c r="AC31" s="16">
        <v>282</v>
      </c>
      <c r="AD31" s="16">
        <v>11797</v>
      </c>
      <c r="AE31" s="16">
        <v>6802</v>
      </c>
      <c r="AF31" s="16">
        <v>677</v>
      </c>
      <c r="AG31" s="16">
        <v>2535</v>
      </c>
      <c r="AH31" s="16">
        <v>378</v>
      </c>
      <c r="AI31" s="16">
        <v>5125</v>
      </c>
      <c r="AJ31" s="16">
        <v>5927</v>
      </c>
      <c r="AK31" s="16">
        <v>8119</v>
      </c>
      <c r="AL31" s="16">
        <v>4893</v>
      </c>
      <c r="AM31" s="18">
        <v>725</v>
      </c>
      <c r="AW31" s="2">
        <v>1</v>
      </c>
      <c r="AX31" s="41">
        <v>4582834</v>
      </c>
      <c r="AY31" s="66" t="s">
        <v>36</v>
      </c>
      <c r="AZ31" s="68" t="s">
        <v>9</v>
      </c>
    </row>
    <row r="32" spans="1:72" ht="15.75" thickBot="1">
      <c r="A32" s="36">
        <f t="shared" si="0"/>
        <v>2002</v>
      </c>
      <c r="B32" s="36">
        <f t="shared" si="9"/>
        <v>6</v>
      </c>
      <c r="C32" s="39">
        <v>37408</v>
      </c>
      <c r="D32" s="40" t="s">
        <v>35</v>
      </c>
      <c r="E32" s="37"/>
      <c r="F32" s="14">
        <v>177927</v>
      </c>
      <c r="G32" s="8"/>
      <c r="H32" s="15">
        <v>23083</v>
      </c>
      <c r="I32" s="16">
        <v>17736</v>
      </c>
      <c r="J32" s="16">
        <v>16198</v>
      </c>
      <c r="K32" s="16">
        <v>1538</v>
      </c>
      <c r="L32" s="16">
        <v>4656</v>
      </c>
      <c r="M32" s="17">
        <v>153766</v>
      </c>
      <c r="N32" s="16">
        <v>76976</v>
      </c>
      <c r="O32" s="16">
        <v>29919</v>
      </c>
      <c r="P32" s="16">
        <v>13092</v>
      </c>
      <c r="Q32" s="16">
        <v>11546</v>
      </c>
      <c r="R32" s="16">
        <v>14639</v>
      </c>
      <c r="S32" s="16">
        <v>5840</v>
      </c>
      <c r="T32" s="16">
        <v>1941</v>
      </c>
      <c r="U32" s="16">
        <v>3631</v>
      </c>
      <c r="V32" s="16">
        <v>16531</v>
      </c>
      <c r="W32" s="16">
        <v>15537</v>
      </c>
      <c r="X32" s="16">
        <v>4592</v>
      </c>
      <c r="Y32" s="16">
        <v>19641</v>
      </c>
      <c r="Z32" s="16">
        <v>19636</v>
      </c>
      <c r="AA32" s="16">
        <v>717</v>
      </c>
      <c r="AB32" s="16">
        <v>4343</v>
      </c>
      <c r="AC32" s="16">
        <v>1274</v>
      </c>
      <c r="AD32" s="16">
        <v>9476</v>
      </c>
      <c r="AE32" s="16">
        <v>5000</v>
      </c>
      <c r="AF32" s="16">
        <v>571</v>
      </c>
      <c r="AG32" s="16">
        <v>2367</v>
      </c>
      <c r="AH32" s="16">
        <v>172</v>
      </c>
      <c r="AI32" s="16">
        <v>3475</v>
      </c>
      <c r="AJ32" s="16">
        <v>4924</v>
      </c>
      <c r="AK32" s="16">
        <v>5167</v>
      </c>
      <c r="AL32" s="16">
        <v>3019</v>
      </c>
      <c r="AM32" s="18">
        <v>1063</v>
      </c>
      <c r="AW32" s="2">
        <v>2</v>
      </c>
      <c r="AX32" s="41">
        <v>2552531</v>
      </c>
      <c r="AY32" s="47" t="s">
        <v>37</v>
      </c>
      <c r="AZ32" s="69" t="s">
        <v>10</v>
      </c>
    </row>
    <row r="33" spans="1:52" ht="15.75" thickBot="1">
      <c r="A33" s="36">
        <f t="shared" si="0"/>
        <v>2002</v>
      </c>
      <c r="B33" s="36">
        <f t="shared" si="9"/>
        <v>7</v>
      </c>
      <c r="C33" s="39">
        <v>37438</v>
      </c>
      <c r="D33" s="40" t="s">
        <v>35</v>
      </c>
      <c r="E33" s="37"/>
      <c r="F33" s="14">
        <v>148095</v>
      </c>
      <c r="G33" s="8"/>
      <c r="H33" s="15">
        <v>14372</v>
      </c>
      <c r="I33" s="16">
        <v>12236</v>
      </c>
      <c r="J33" s="16">
        <v>11489</v>
      </c>
      <c r="K33" s="16">
        <v>747</v>
      </c>
      <c r="L33" s="16">
        <v>1273</v>
      </c>
      <c r="M33" s="17">
        <v>132936</v>
      </c>
      <c r="N33" s="16">
        <v>54587</v>
      </c>
      <c r="O33" s="16">
        <v>25038</v>
      </c>
      <c r="P33" s="16">
        <v>7792</v>
      </c>
      <c r="Q33" s="16">
        <v>10862</v>
      </c>
      <c r="R33" s="16">
        <v>6180</v>
      </c>
      <c r="S33" s="16">
        <v>2000</v>
      </c>
      <c r="T33" s="16">
        <v>2715</v>
      </c>
      <c r="U33" s="16">
        <v>4461</v>
      </c>
      <c r="V33" s="16">
        <v>13910</v>
      </c>
      <c r="W33" s="16">
        <v>12962</v>
      </c>
      <c r="X33" s="16">
        <v>5847</v>
      </c>
      <c r="Y33" s="16">
        <v>17509</v>
      </c>
      <c r="Z33" s="16">
        <v>17485</v>
      </c>
      <c r="AA33" s="16">
        <v>854</v>
      </c>
      <c r="AB33" s="16">
        <v>5508</v>
      </c>
      <c r="AC33" s="16">
        <v>1335</v>
      </c>
      <c r="AD33" s="16">
        <v>11574</v>
      </c>
      <c r="AE33" s="16">
        <v>5255</v>
      </c>
      <c r="AF33" s="16">
        <v>1708</v>
      </c>
      <c r="AG33" s="16">
        <v>2758</v>
      </c>
      <c r="AH33" s="16">
        <v>242</v>
      </c>
      <c r="AI33" s="16">
        <v>3028</v>
      </c>
      <c r="AJ33" s="16">
        <v>4136</v>
      </c>
      <c r="AK33" s="16">
        <v>6456</v>
      </c>
      <c r="AL33" s="16">
        <v>3731</v>
      </c>
      <c r="AM33" s="18">
        <v>741</v>
      </c>
      <c r="AW33" s="2">
        <v>3</v>
      </c>
      <c r="AX33" s="41">
        <v>795333</v>
      </c>
      <c r="AY33" s="47" t="s">
        <v>39</v>
      </c>
      <c r="AZ33" s="69" t="s">
        <v>12</v>
      </c>
    </row>
    <row r="34" spans="1:52" ht="15.75" thickBot="1">
      <c r="A34" s="36">
        <f t="shared" si="0"/>
        <v>2002</v>
      </c>
      <c r="B34" s="36">
        <f t="shared" si="9"/>
        <v>8</v>
      </c>
      <c r="C34" s="39">
        <v>37469</v>
      </c>
      <c r="D34" s="40" t="s">
        <v>35</v>
      </c>
      <c r="E34" s="37"/>
      <c r="F34" s="14">
        <v>154248</v>
      </c>
      <c r="G34" s="8"/>
      <c r="H34" s="15">
        <v>11770</v>
      </c>
      <c r="I34" s="16">
        <v>8724</v>
      </c>
      <c r="J34" s="16">
        <v>8114</v>
      </c>
      <c r="K34" s="16">
        <v>610</v>
      </c>
      <c r="L34" s="16">
        <v>2292</v>
      </c>
      <c r="M34" s="17">
        <v>141537</v>
      </c>
      <c r="N34" s="16">
        <v>57362</v>
      </c>
      <c r="O34" s="16">
        <v>24413</v>
      </c>
      <c r="P34" s="16">
        <v>12565</v>
      </c>
      <c r="Q34" s="16">
        <v>8810</v>
      </c>
      <c r="R34" s="16">
        <v>4439</v>
      </c>
      <c r="S34" s="16">
        <v>3861</v>
      </c>
      <c r="T34" s="16">
        <v>3273</v>
      </c>
      <c r="U34" s="16">
        <v>4703</v>
      </c>
      <c r="V34" s="16">
        <v>20784</v>
      </c>
      <c r="W34" s="16">
        <v>19203</v>
      </c>
      <c r="X34" s="16">
        <v>8248</v>
      </c>
      <c r="Y34" s="16">
        <v>16927</v>
      </c>
      <c r="Z34" s="16">
        <v>16856</v>
      </c>
      <c r="AA34" s="16">
        <v>722</v>
      </c>
      <c r="AB34" s="16">
        <v>3830</v>
      </c>
      <c r="AC34" s="16">
        <v>159</v>
      </c>
      <c r="AD34" s="16">
        <v>10679</v>
      </c>
      <c r="AE34" s="16">
        <v>4622</v>
      </c>
      <c r="AF34" s="16">
        <v>2107</v>
      </c>
      <c r="AG34" s="16">
        <v>2396</v>
      </c>
      <c r="AH34" s="16">
        <v>318</v>
      </c>
      <c r="AI34" s="16">
        <v>4059</v>
      </c>
      <c r="AJ34" s="16">
        <v>3738</v>
      </c>
      <c r="AK34" s="16">
        <v>5923</v>
      </c>
      <c r="AL34" s="16">
        <v>4403</v>
      </c>
      <c r="AM34" s="18">
        <v>938</v>
      </c>
      <c r="AW34" s="2">
        <v>4</v>
      </c>
      <c r="AX34" s="41">
        <v>549434</v>
      </c>
      <c r="AY34" s="42" t="s">
        <v>59</v>
      </c>
      <c r="AZ34" s="69" t="s">
        <v>32</v>
      </c>
    </row>
    <row r="35" spans="1:52" ht="15.75" thickBot="1">
      <c r="A35" s="36">
        <f t="shared" si="0"/>
        <v>2002</v>
      </c>
      <c r="B35" s="36">
        <f t="shared" si="9"/>
        <v>9</v>
      </c>
      <c r="C35" s="39">
        <v>37500</v>
      </c>
      <c r="D35" s="40" t="s">
        <v>35</v>
      </c>
      <c r="E35" s="37"/>
      <c r="F35" s="14">
        <v>136752</v>
      </c>
      <c r="G35" s="8"/>
      <c r="H35" s="15">
        <v>12325</v>
      </c>
      <c r="I35" s="16">
        <v>8549</v>
      </c>
      <c r="J35" s="16">
        <v>8035</v>
      </c>
      <c r="K35" s="16">
        <v>515</v>
      </c>
      <c r="L35" s="16">
        <v>3130</v>
      </c>
      <c r="M35" s="17">
        <v>123555</v>
      </c>
      <c r="N35" s="16">
        <v>53378</v>
      </c>
      <c r="O35" s="16">
        <v>15962</v>
      </c>
      <c r="P35" s="16">
        <v>7743</v>
      </c>
      <c r="Q35" s="16">
        <v>7968</v>
      </c>
      <c r="R35" s="16">
        <v>13992</v>
      </c>
      <c r="S35" s="16">
        <v>5851</v>
      </c>
      <c r="T35" s="16">
        <v>1862</v>
      </c>
      <c r="U35" s="16">
        <v>3148</v>
      </c>
      <c r="V35" s="16">
        <v>13932</v>
      </c>
      <c r="W35" s="16">
        <v>12644</v>
      </c>
      <c r="X35" s="16">
        <v>5560</v>
      </c>
      <c r="Y35" s="16">
        <v>15259</v>
      </c>
      <c r="Z35" s="16">
        <v>15099</v>
      </c>
      <c r="AA35" s="16">
        <v>1206</v>
      </c>
      <c r="AB35" s="16">
        <v>5284</v>
      </c>
      <c r="AC35" s="16">
        <v>62</v>
      </c>
      <c r="AD35" s="16">
        <v>9239</v>
      </c>
      <c r="AE35" s="16">
        <v>3569</v>
      </c>
      <c r="AF35" s="16">
        <v>1535</v>
      </c>
      <c r="AG35" s="16">
        <v>2306</v>
      </c>
      <c r="AH35" s="16">
        <v>776</v>
      </c>
      <c r="AI35" s="16">
        <v>4415</v>
      </c>
      <c r="AJ35" s="16">
        <v>5676</v>
      </c>
      <c r="AK35" s="16">
        <v>3007</v>
      </c>
      <c r="AL35" s="16">
        <v>3389</v>
      </c>
      <c r="AM35" s="18">
        <v>869</v>
      </c>
      <c r="AW35" s="2">
        <v>5</v>
      </c>
      <c r="AX35" s="41">
        <v>497892</v>
      </c>
      <c r="AY35" s="42" t="s">
        <v>52</v>
      </c>
      <c r="AZ35" s="69" t="s">
        <v>25</v>
      </c>
    </row>
    <row r="36" spans="1:52" ht="15.75" thickBot="1">
      <c r="A36" s="36">
        <f t="shared" si="0"/>
        <v>2002</v>
      </c>
      <c r="B36" s="36">
        <f t="shared" si="9"/>
        <v>10</v>
      </c>
      <c r="C36" s="39">
        <v>37530</v>
      </c>
      <c r="D36" s="40" t="s">
        <v>35</v>
      </c>
      <c r="E36" s="37"/>
      <c r="F36" s="14">
        <v>144221</v>
      </c>
      <c r="G36" s="8"/>
      <c r="H36" s="15">
        <v>5177</v>
      </c>
      <c r="I36" s="16">
        <v>1601</v>
      </c>
      <c r="J36" s="16">
        <v>1024</v>
      </c>
      <c r="K36" s="16">
        <v>577</v>
      </c>
      <c r="L36" s="16">
        <v>3211</v>
      </c>
      <c r="M36" s="17">
        <v>138731</v>
      </c>
      <c r="N36" s="16">
        <v>60690</v>
      </c>
      <c r="O36" s="16">
        <v>21593</v>
      </c>
      <c r="P36" s="16">
        <v>8719</v>
      </c>
      <c r="Q36" s="16">
        <v>12752</v>
      </c>
      <c r="R36" s="16">
        <v>7650</v>
      </c>
      <c r="S36" s="16">
        <v>4005</v>
      </c>
      <c r="T36" s="16">
        <v>5972</v>
      </c>
      <c r="U36" s="16">
        <v>753</v>
      </c>
      <c r="V36" s="16">
        <v>20543</v>
      </c>
      <c r="W36" s="16">
        <v>18835</v>
      </c>
      <c r="X36" s="16">
        <v>4616</v>
      </c>
      <c r="Y36" s="16">
        <v>15849</v>
      </c>
      <c r="Z36" s="16">
        <v>15705</v>
      </c>
      <c r="AA36" s="16">
        <v>690</v>
      </c>
      <c r="AB36" s="16">
        <v>4070</v>
      </c>
      <c r="AC36" s="16">
        <v>5</v>
      </c>
      <c r="AD36" s="16">
        <v>10544</v>
      </c>
      <c r="AE36" s="16">
        <v>4805</v>
      </c>
      <c r="AF36" s="16">
        <v>1552</v>
      </c>
      <c r="AG36" s="16">
        <v>2670</v>
      </c>
      <c r="AH36" s="16">
        <v>538</v>
      </c>
      <c r="AI36" s="16">
        <v>4211</v>
      </c>
      <c r="AJ36" s="16">
        <v>5968</v>
      </c>
      <c r="AK36" s="16">
        <v>7517</v>
      </c>
      <c r="AL36" s="16">
        <v>3276</v>
      </c>
      <c r="AM36" s="18">
        <v>311</v>
      </c>
      <c r="AW36" s="2">
        <v>6</v>
      </c>
      <c r="AX36" s="41">
        <v>491198</v>
      </c>
      <c r="AY36" s="47" t="s">
        <v>40</v>
      </c>
      <c r="AZ36" s="69" t="s">
        <v>13</v>
      </c>
    </row>
    <row r="37" spans="1:52" ht="15.75" thickBot="1">
      <c r="A37" s="36">
        <f t="shared" si="0"/>
        <v>2002</v>
      </c>
      <c r="B37" s="36">
        <f t="shared" si="9"/>
        <v>11</v>
      </c>
      <c r="C37" s="39">
        <v>37561</v>
      </c>
      <c r="D37" s="40" t="s">
        <v>35</v>
      </c>
      <c r="E37" s="37"/>
      <c r="F37" s="14">
        <v>157223</v>
      </c>
      <c r="G37" s="8"/>
      <c r="H37" s="15">
        <v>11596</v>
      </c>
      <c r="I37" s="16">
        <v>3848</v>
      </c>
      <c r="J37" s="16">
        <v>2791</v>
      </c>
      <c r="K37" s="16">
        <v>1057</v>
      </c>
      <c r="L37" s="16">
        <v>7334</v>
      </c>
      <c r="M37" s="17">
        <v>145293</v>
      </c>
      <c r="N37" s="16">
        <v>70385</v>
      </c>
      <c r="O37" s="16">
        <v>23950</v>
      </c>
      <c r="P37" s="16">
        <v>7653</v>
      </c>
      <c r="Q37" s="16">
        <v>13831</v>
      </c>
      <c r="R37" s="16">
        <v>15461</v>
      </c>
      <c r="S37" s="16">
        <v>6502</v>
      </c>
      <c r="T37" s="16">
        <v>2987</v>
      </c>
      <c r="U37" s="16">
        <v>2189</v>
      </c>
      <c r="V37" s="16">
        <v>15385</v>
      </c>
      <c r="W37" s="16">
        <v>14415</v>
      </c>
      <c r="X37" s="16">
        <v>4295</v>
      </c>
      <c r="Y37" s="16">
        <v>15543</v>
      </c>
      <c r="Z37" s="16">
        <v>15465</v>
      </c>
      <c r="AA37" s="16">
        <v>897</v>
      </c>
      <c r="AB37" s="16">
        <v>4492</v>
      </c>
      <c r="AC37" s="16">
        <v>45</v>
      </c>
      <c r="AD37" s="16">
        <v>9368</v>
      </c>
      <c r="AE37" s="16">
        <v>3950</v>
      </c>
      <c r="AF37" s="16">
        <v>1556</v>
      </c>
      <c r="AG37" s="16">
        <v>2330</v>
      </c>
      <c r="AH37" s="16">
        <v>852</v>
      </c>
      <c r="AI37" s="16">
        <v>5414</v>
      </c>
      <c r="AJ37" s="16">
        <v>5549</v>
      </c>
      <c r="AK37" s="16">
        <v>5985</v>
      </c>
      <c r="AL37" s="16">
        <v>5746</v>
      </c>
      <c r="AM37" s="18">
        <v>334</v>
      </c>
      <c r="AW37" s="2">
        <v>7</v>
      </c>
      <c r="AX37" s="41">
        <v>359973</v>
      </c>
      <c r="AY37" s="47" t="s">
        <v>42</v>
      </c>
      <c r="AZ37" s="69" t="s">
        <v>15</v>
      </c>
    </row>
    <row r="38" spans="1:52" ht="15.75" thickBot="1">
      <c r="A38" s="36">
        <f t="shared" si="0"/>
        <v>2002</v>
      </c>
      <c r="B38" s="36">
        <f t="shared" si="9"/>
        <v>12</v>
      </c>
      <c r="C38" s="39">
        <v>37591</v>
      </c>
      <c r="D38" s="40" t="s">
        <v>35</v>
      </c>
      <c r="E38" s="37"/>
      <c r="F38" s="14">
        <v>158135</v>
      </c>
      <c r="G38" s="8"/>
      <c r="H38" s="15">
        <v>10131</v>
      </c>
      <c r="I38" s="16">
        <v>3561</v>
      </c>
      <c r="J38" s="16">
        <v>1167</v>
      </c>
      <c r="K38" s="16">
        <v>2394</v>
      </c>
      <c r="L38" s="16">
        <v>6136</v>
      </c>
      <c r="M38" s="17">
        <v>147694</v>
      </c>
      <c r="N38" s="16">
        <v>71045</v>
      </c>
      <c r="O38" s="16">
        <v>33146</v>
      </c>
      <c r="P38" s="16">
        <v>8997</v>
      </c>
      <c r="Q38" s="16">
        <v>7870</v>
      </c>
      <c r="R38" s="16">
        <v>9035</v>
      </c>
      <c r="S38" s="16">
        <v>8722</v>
      </c>
      <c r="T38" s="16">
        <v>3275</v>
      </c>
      <c r="U38" s="16">
        <v>2344</v>
      </c>
      <c r="V38" s="16">
        <v>17775</v>
      </c>
      <c r="W38" s="16">
        <v>17092</v>
      </c>
      <c r="X38" s="16">
        <v>2754</v>
      </c>
      <c r="Y38" s="16">
        <v>18687</v>
      </c>
      <c r="Z38" s="16">
        <v>18607</v>
      </c>
      <c r="AA38" s="16">
        <v>738</v>
      </c>
      <c r="AB38" s="16">
        <v>4047</v>
      </c>
      <c r="AC38" s="16">
        <v>0</v>
      </c>
      <c r="AD38" s="16">
        <v>7768</v>
      </c>
      <c r="AE38" s="16">
        <v>3325</v>
      </c>
      <c r="AF38" s="16">
        <v>1018</v>
      </c>
      <c r="AG38" s="16">
        <v>1836</v>
      </c>
      <c r="AH38" s="16">
        <v>732</v>
      </c>
      <c r="AI38" s="16">
        <v>5619</v>
      </c>
      <c r="AJ38" s="16">
        <v>4457</v>
      </c>
      <c r="AK38" s="16">
        <v>9182</v>
      </c>
      <c r="AL38" s="16">
        <v>3278</v>
      </c>
      <c r="AM38" s="18">
        <v>310</v>
      </c>
      <c r="AW38" s="2">
        <v>8</v>
      </c>
      <c r="AX38" s="41">
        <v>335572</v>
      </c>
      <c r="AY38" s="42" t="s">
        <v>49</v>
      </c>
      <c r="AZ38" s="69" t="s">
        <v>22</v>
      </c>
    </row>
    <row r="39" spans="1:52" ht="15.75" thickBot="1">
      <c r="A39" s="36">
        <f t="shared" si="0"/>
        <v>2003</v>
      </c>
      <c r="B39" s="36">
        <f t="shared" si="9"/>
        <v>1</v>
      </c>
      <c r="C39" s="39">
        <v>37622</v>
      </c>
      <c r="D39" s="40" t="s">
        <v>35</v>
      </c>
      <c r="E39" s="37"/>
      <c r="F39" s="14">
        <v>139064</v>
      </c>
      <c r="G39" s="8"/>
      <c r="H39" s="15">
        <v>7837</v>
      </c>
      <c r="I39" s="16">
        <v>5993</v>
      </c>
      <c r="J39" s="16">
        <v>1839</v>
      </c>
      <c r="K39" s="16">
        <v>4155</v>
      </c>
      <c r="L39" s="16">
        <v>1537</v>
      </c>
      <c r="M39" s="17">
        <v>130803</v>
      </c>
      <c r="N39" s="16">
        <v>66157</v>
      </c>
      <c r="O39" s="16">
        <v>34173</v>
      </c>
      <c r="P39" s="16">
        <v>9603</v>
      </c>
      <c r="Q39" s="16">
        <v>7306</v>
      </c>
      <c r="R39" s="16">
        <v>9443</v>
      </c>
      <c r="S39" s="16">
        <v>3611</v>
      </c>
      <c r="T39" s="16">
        <v>2022</v>
      </c>
      <c r="U39" s="16">
        <v>1066</v>
      </c>
      <c r="V39" s="16">
        <v>12719</v>
      </c>
      <c r="W39" s="16">
        <v>12028</v>
      </c>
      <c r="X39" s="16">
        <v>2473</v>
      </c>
      <c r="Y39" s="16">
        <v>18966</v>
      </c>
      <c r="Z39" s="16">
        <v>18812</v>
      </c>
      <c r="AA39" s="16">
        <v>849</v>
      </c>
      <c r="AB39" s="16">
        <v>4122</v>
      </c>
      <c r="AC39" s="16">
        <v>56</v>
      </c>
      <c r="AD39" s="16">
        <v>6855</v>
      </c>
      <c r="AE39" s="16">
        <v>3573</v>
      </c>
      <c r="AF39" s="16">
        <v>388</v>
      </c>
      <c r="AG39" s="16">
        <v>1421</v>
      </c>
      <c r="AH39" s="16">
        <v>673</v>
      </c>
      <c r="AI39" s="16">
        <v>5525</v>
      </c>
      <c r="AJ39" s="16">
        <v>6003</v>
      </c>
      <c r="AK39" s="16">
        <v>1617</v>
      </c>
      <c r="AL39" s="16">
        <v>4395</v>
      </c>
      <c r="AM39" s="18">
        <v>423</v>
      </c>
      <c r="AW39" s="2">
        <v>9</v>
      </c>
      <c r="AX39" s="41">
        <v>287173</v>
      </c>
      <c r="AY39" s="47" t="s">
        <v>41</v>
      </c>
      <c r="AZ39" s="69" t="s">
        <v>14</v>
      </c>
    </row>
    <row r="40" spans="1:52" ht="15.75" thickBot="1">
      <c r="A40" s="36">
        <f t="shared" si="0"/>
        <v>2003</v>
      </c>
      <c r="B40" s="36">
        <f t="shared" si="9"/>
        <v>2</v>
      </c>
      <c r="C40" s="39">
        <v>37653</v>
      </c>
      <c r="D40" s="40" t="s">
        <v>35</v>
      </c>
      <c r="E40" s="37"/>
      <c r="F40" s="14">
        <v>142204</v>
      </c>
      <c r="G40" s="8"/>
      <c r="H40" s="15">
        <v>11596</v>
      </c>
      <c r="I40" s="16">
        <v>8672</v>
      </c>
      <c r="J40" s="16">
        <v>3056</v>
      </c>
      <c r="K40" s="16">
        <v>5616</v>
      </c>
      <c r="L40" s="16">
        <v>2641</v>
      </c>
      <c r="M40" s="17">
        <v>130470</v>
      </c>
      <c r="N40" s="16">
        <v>64121</v>
      </c>
      <c r="O40" s="16">
        <v>33834</v>
      </c>
      <c r="P40" s="16">
        <v>6627</v>
      </c>
      <c r="Q40" s="16">
        <v>7608</v>
      </c>
      <c r="R40" s="16">
        <v>7586</v>
      </c>
      <c r="S40" s="16">
        <v>5956</v>
      </c>
      <c r="T40" s="16">
        <v>2511</v>
      </c>
      <c r="U40" s="16">
        <v>1130</v>
      </c>
      <c r="V40" s="16">
        <v>19868</v>
      </c>
      <c r="W40" s="16">
        <v>19364</v>
      </c>
      <c r="X40" s="16">
        <v>2242</v>
      </c>
      <c r="Y40" s="16">
        <v>14963</v>
      </c>
      <c r="Z40" s="16">
        <v>14891</v>
      </c>
      <c r="AA40" s="16">
        <v>1011</v>
      </c>
      <c r="AB40" s="16">
        <v>3494</v>
      </c>
      <c r="AC40" s="16">
        <v>36</v>
      </c>
      <c r="AD40" s="16">
        <v>8772</v>
      </c>
      <c r="AE40" s="16">
        <v>4154</v>
      </c>
      <c r="AF40" s="16">
        <v>778</v>
      </c>
      <c r="AG40" s="16">
        <v>1947</v>
      </c>
      <c r="AH40" s="16">
        <v>991</v>
      </c>
      <c r="AI40" s="16">
        <v>4941</v>
      </c>
      <c r="AJ40" s="16">
        <v>5006</v>
      </c>
      <c r="AK40" s="16">
        <v>2020</v>
      </c>
      <c r="AL40" s="16">
        <v>2865</v>
      </c>
      <c r="AM40" s="18">
        <v>138</v>
      </c>
      <c r="AW40" s="2">
        <v>10</v>
      </c>
      <c r="AX40" s="41">
        <v>271223</v>
      </c>
      <c r="AY40" s="42" t="s">
        <v>57</v>
      </c>
      <c r="AZ40" s="69" t="s">
        <v>30</v>
      </c>
    </row>
    <row r="41" spans="1:52" ht="15.75" thickBot="1">
      <c r="A41" s="36">
        <f t="shared" si="0"/>
        <v>2003</v>
      </c>
      <c r="B41" s="36">
        <f t="shared" si="9"/>
        <v>3</v>
      </c>
      <c r="C41" s="39">
        <v>37681</v>
      </c>
      <c r="D41" s="40" t="s">
        <v>35</v>
      </c>
      <c r="E41" s="37"/>
      <c r="F41" s="14">
        <v>160273</v>
      </c>
      <c r="G41" s="8"/>
      <c r="H41" s="15">
        <v>22891</v>
      </c>
      <c r="I41" s="16">
        <v>16032</v>
      </c>
      <c r="J41" s="16">
        <v>10447</v>
      </c>
      <c r="K41" s="16">
        <v>5585</v>
      </c>
      <c r="L41" s="16">
        <v>6266</v>
      </c>
      <c r="M41" s="17">
        <v>136513</v>
      </c>
      <c r="N41" s="16">
        <v>59534</v>
      </c>
      <c r="O41" s="16">
        <v>34271</v>
      </c>
      <c r="P41" s="16">
        <v>9901</v>
      </c>
      <c r="Q41" s="16">
        <v>9799</v>
      </c>
      <c r="R41" s="16">
        <v>2697</v>
      </c>
      <c r="S41" s="16">
        <v>908</v>
      </c>
      <c r="T41" s="16">
        <v>1958</v>
      </c>
      <c r="U41" s="16">
        <v>1553</v>
      </c>
      <c r="V41" s="16">
        <v>20747</v>
      </c>
      <c r="W41" s="16">
        <v>20013</v>
      </c>
      <c r="X41" s="16">
        <v>2738</v>
      </c>
      <c r="Y41" s="16">
        <v>21249</v>
      </c>
      <c r="Z41" s="16">
        <v>21130</v>
      </c>
      <c r="AA41" s="16">
        <v>828</v>
      </c>
      <c r="AB41" s="16">
        <v>3777</v>
      </c>
      <c r="AC41" s="16">
        <v>208</v>
      </c>
      <c r="AD41" s="16">
        <v>8669</v>
      </c>
      <c r="AE41" s="16">
        <v>5108</v>
      </c>
      <c r="AF41" s="16">
        <v>420</v>
      </c>
      <c r="AG41" s="16">
        <v>1395</v>
      </c>
      <c r="AH41" s="16">
        <v>1008</v>
      </c>
      <c r="AI41" s="16">
        <v>6434</v>
      </c>
      <c r="AJ41" s="16">
        <v>5028</v>
      </c>
      <c r="AK41" s="16">
        <v>2235</v>
      </c>
      <c r="AL41" s="16">
        <v>3513</v>
      </c>
      <c r="AM41" s="18">
        <v>850</v>
      </c>
      <c r="AW41" s="2">
        <v>11</v>
      </c>
      <c r="AX41" s="41">
        <v>216778</v>
      </c>
      <c r="AY41" s="43" t="s">
        <v>60</v>
      </c>
      <c r="AZ41" s="69" t="s">
        <v>33</v>
      </c>
    </row>
    <row r="42" spans="1:52" ht="15.75" thickBot="1">
      <c r="A42" s="36">
        <f t="shared" si="0"/>
        <v>2003</v>
      </c>
      <c r="B42" s="36">
        <f t="shared" si="9"/>
        <v>4</v>
      </c>
      <c r="C42" s="39">
        <v>37712</v>
      </c>
      <c r="D42" s="40" t="s">
        <v>35</v>
      </c>
      <c r="E42" s="37"/>
      <c r="F42" s="14">
        <v>170126</v>
      </c>
      <c r="G42" s="8"/>
      <c r="H42" s="15">
        <v>28097</v>
      </c>
      <c r="I42" s="16">
        <v>27523</v>
      </c>
      <c r="J42" s="16">
        <v>21839</v>
      </c>
      <c r="K42" s="16">
        <v>5684</v>
      </c>
      <c r="L42" s="16">
        <v>65</v>
      </c>
      <c r="M42" s="17">
        <v>141685</v>
      </c>
      <c r="N42" s="16">
        <v>66740</v>
      </c>
      <c r="O42" s="16">
        <v>29039</v>
      </c>
      <c r="P42" s="16">
        <v>7872</v>
      </c>
      <c r="Q42" s="16">
        <v>7592</v>
      </c>
      <c r="R42" s="16">
        <v>14448</v>
      </c>
      <c r="S42" s="16">
        <v>4853</v>
      </c>
      <c r="T42" s="16">
        <v>2936</v>
      </c>
      <c r="U42" s="16">
        <v>1253</v>
      </c>
      <c r="V42" s="16">
        <v>20599</v>
      </c>
      <c r="W42" s="16">
        <v>19370</v>
      </c>
      <c r="X42" s="16">
        <v>3928</v>
      </c>
      <c r="Y42" s="16">
        <v>18336</v>
      </c>
      <c r="Z42" s="16">
        <v>18266</v>
      </c>
      <c r="AA42" s="16">
        <v>1211</v>
      </c>
      <c r="AB42" s="16">
        <v>4044</v>
      </c>
      <c r="AC42" s="16">
        <v>826</v>
      </c>
      <c r="AD42" s="16">
        <v>8916</v>
      </c>
      <c r="AE42" s="16">
        <v>4240</v>
      </c>
      <c r="AF42" s="16">
        <v>680</v>
      </c>
      <c r="AG42" s="16">
        <v>1851</v>
      </c>
      <c r="AH42" s="16">
        <v>1264</v>
      </c>
      <c r="AI42" s="16">
        <v>4883</v>
      </c>
      <c r="AJ42" s="16">
        <v>5461</v>
      </c>
      <c r="AK42" s="16">
        <v>2333</v>
      </c>
      <c r="AL42" s="16">
        <v>3155</v>
      </c>
      <c r="AM42" s="18">
        <v>345</v>
      </c>
      <c r="AW42" s="2">
        <v>12</v>
      </c>
      <c r="AX42" s="41">
        <v>147580</v>
      </c>
      <c r="AY42" s="42" t="s">
        <v>47</v>
      </c>
      <c r="AZ42" s="69" t="s">
        <v>20</v>
      </c>
    </row>
    <row r="43" spans="1:52" ht="15.75" thickBot="1">
      <c r="A43" s="36">
        <f t="shared" si="0"/>
        <v>2003</v>
      </c>
      <c r="B43" s="36">
        <f t="shared" si="9"/>
        <v>5</v>
      </c>
      <c r="C43" s="39">
        <v>37742</v>
      </c>
      <c r="D43" s="40" t="s">
        <v>35</v>
      </c>
      <c r="E43" s="37"/>
      <c r="F43" s="14">
        <v>183699</v>
      </c>
      <c r="G43" s="8"/>
      <c r="H43" s="15">
        <v>40463</v>
      </c>
      <c r="I43" s="16">
        <v>31853</v>
      </c>
      <c r="J43" s="16">
        <v>26959</v>
      </c>
      <c r="K43" s="16">
        <v>4894</v>
      </c>
      <c r="L43" s="16">
        <v>8180</v>
      </c>
      <c r="M43" s="17">
        <v>142584</v>
      </c>
      <c r="N43" s="16">
        <v>64531</v>
      </c>
      <c r="O43" s="16">
        <v>29874</v>
      </c>
      <c r="P43" s="16">
        <v>8367</v>
      </c>
      <c r="Q43" s="16">
        <v>10048</v>
      </c>
      <c r="R43" s="16">
        <v>12501</v>
      </c>
      <c r="S43" s="16">
        <v>1701</v>
      </c>
      <c r="T43" s="16">
        <v>2041</v>
      </c>
      <c r="U43" s="16">
        <v>1997</v>
      </c>
      <c r="V43" s="16">
        <v>16063</v>
      </c>
      <c r="W43" s="16">
        <v>14523</v>
      </c>
      <c r="X43" s="16">
        <v>3879</v>
      </c>
      <c r="Y43" s="16">
        <v>19822</v>
      </c>
      <c r="Z43" s="16">
        <v>19737</v>
      </c>
      <c r="AA43" s="16">
        <v>786</v>
      </c>
      <c r="AB43" s="16">
        <v>5399</v>
      </c>
      <c r="AC43" s="16">
        <v>773</v>
      </c>
      <c r="AD43" s="16">
        <v>9297</v>
      </c>
      <c r="AE43" s="16">
        <v>3725</v>
      </c>
      <c r="AF43" s="16">
        <v>786</v>
      </c>
      <c r="AG43" s="16">
        <v>2447</v>
      </c>
      <c r="AH43" s="16">
        <v>1427</v>
      </c>
      <c r="AI43" s="16">
        <v>6071</v>
      </c>
      <c r="AJ43" s="16">
        <v>6227</v>
      </c>
      <c r="AK43" s="16">
        <v>2981</v>
      </c>
      <c r="AL43" s="16">
        <v>4758</v>
      </c>
      <c r="AM43" s="18">
        <v>637</v>
      </c>
      <c r="AW43" s="2">
        <v>13</v>
      </c>
      <c r="AX43" s="41">
        <v>118342</v>
      </c>
      <c r="AY43" s="42" t="s">
        <v>44</v>
      </c>
      <c r="AZ43" s="69" t="s">
        <v>17</v>
      </c>
    </row>
    <row r="44" spans="1:52" ht="15.75" thickBot="1">
      <c r="A44" s="36">
        <f t="shared" si="0"/>
        <v>2003</v>
      </c>
      <c r="B44" s="36">
        <f t="shared" si="9"/>
        <v>6</v>
      </c>
      <c r="C44" s="39">
        <v>37773</v>
      </c>
      <c r="D44" s="40" t="s">
        <v>35</v>
      </c>
      <c r="E44" s="37"/>
      <c r="F44" s="14">
        <v>226731</v>
      </c>
      <c r="G44" s="8"/>
      <c r="H44" s="15">
        <v>54322</v>
      </c>
      <c r="I44" s="16">
        <v>50032</v>
      </c>
      <c r="J44" s="16">
        <v>45619</v>
      </c>
      <c r="K44" s="16">
        <v>4413</v>
      </c>
      <c r="L44" s="16">
        <v>3764</v>
      </c>
      <c r="M44" s="17">
        <v>171478</v>
      </c>
      <c r="N44" s="16">
        <v>79002</v>
      </c>
      <c r="O44" s="16">
        <v>33342</v>
      </c>
      <c r="P44" s="16">
        <v>8283</v>
      </c>
      <c r="Q44" s="16">
        <v>10143</v>
      </c>
      <c r="R44" s="16">
        <v>19548</v>
      </c>
      <c r="S44" s="16">
        <v>5024</v>
      </c>
      <c r="T44" s="16">
        <v>2662</v>
      </c>
      <c r="U44" s="16">
        <v>2502</v>
      </c>
      <c r="V44" s="16">
        <v>17480</v>
      </c>
      <c r="W44" s="16">
        <v>16261</v>
      </c>
      <c r="X44" s="16">
        <v>6009</v>
      </c>
      <c r="Y44" s="16">
        <v>22700</v>
      </c>
      <c r="Z44" s="16">
        <v>22688</v>
      </c>
      <c r="AA44" s="16">
        <v>1303</v>
      </c>
      <c r="AB44" s="16">
        <v>3818</v>
      </c>
      <c r="AC44" s="16">
        <v>8175</v>
      </c>
      <c r="AD44" s="16">
        <v>10497</v>
      </c>
      <c r="AE44" s="16">
        <v>4139</v>
      </c>
      <c r="AF44" s="16">
        <v>1883</v>
      </c>
      <c r="AG44" s="16">
        <v>2064</v>
      </c>
      <c r="AH44" s="16">
        <v>1338</v>
      </c>
      <c r="AI44" s="16">
        <v>6616</v>
      </c>
      <c r="AJ44" s="16">
        <v>5024</v>
      </c>
      <c r="AK44" s="16">
        <v>2728</v>
      </c>
      <c r="AL44" s="16">
        <v>5623</v>
      </c>
      <c r="AM44" s="18">
        <v>930</v>
      </c>
      <c r="AW44" s="2">
        <v>14</v>
      </c>
      <c r="AX44" s="41">
        <v>96624</v>
      </c>
      <c r="AY44" s="47" t="s">
        <v>38</v>
      </c>
      <c r="AZ44" s="69" t="s">
        <v>11</v>
      </c>
    </row>
    <row r="45" spans="1:52" ht="15.75" thickBot="1">
      <c r="A45" s="36">
        <f t="shared" si="0"/>
        <v>2003</v>
      </c>
      <c r="B45" s="36">
        <f t="shared" si="9"/>
        <v>7</v>
      </c>
      <c r="C45" s="39">
        <v>37803</v>
      </c>
      <c r="D45" s="40" t="s">
        <v>35</v>
      </c>
      <c r="E45" s="37"/>
      <c r="F45" s="14">
        <v>202090</v>
      </c>
      <c r="G45" s="8"/>
      <c r="H45" s="15">
        <v>34311</v>
      </c>
      <c r="I45" s="16">
        <v>31182</v>
      </c>
      <c r="J45" s="16">
        <v>29660</v>
      </c>
      <c r="K45" s="16">
        <v>1522</v>
      </c>
      <c r="L45" s="16">
        <v>2522</v>
      </c>
      <c r="M45" s="17">
        <v>167743</v>
      </c>
      <c r="N45" s="16">
        <v>80655</v>
      </c>
      <c r="O45" s="16">
        <v>38585</v>
      </c>
      <c r="P45" s="16">
        <v>10423</v>
      </c>
      <c r="Q45" s="16">
        <v>9706</v>
      </c>
      <c r="R45" s="16">
        <v>13466</v>
      </c>
      <c r="S45" s="16">
        <v>5960</v>
      </c>
      <c r="T45" s="16">
        <v>2515</v>
      </c>
      <c r="U45" s="16">
        <v>2261</v>
      </c>
      <c r="V45" s="16">
        <v>16508</v>
      </c>
      <c r="W45" s="16">
        <v>15008</v>
      </c>
      <c r="X45" s="16">
        <v>6330</v>
      </c>
      <c r="Y45" s="16">
        <v>19815</v>
      </c>
      <c r="Z45" s="16">
        <v>19726</v>
      </c>
      <c r="AA45" s="16">
        <v>4293</v>
      </c>
      <c r="AB45" s="16">
        <v>4155</v>
      </c>
      <c r="AC45" s="16">
        <v>3627</v>
      </c>
      <c r="AD45" s="16">
        <v>11536</v>
      </c>
      <c r="AE45" s="16">
        <v>4952</v>
      </c>
      <c r="AF45" s="16">
        <v>1029</v>
      </c>
      <c r="AG45" s="16">
        <v>3182</v>
      </c>
      <c r="AH45" s="16">
        <v>1252</v>
      </c>
      <c r="AI45" s="16">
        <v>5656</v>
      </c>
      <c r="AJ45" s="16">
        <v>4168</v>
      </c>
      <c r="AK45" s="16">
        <v>3680</v>
      </c>
      <c r="AL45" s="16">
        <v>5059</v>
      </c>
      <c r="AM45" s="18">
        <v>33</v>
      </c>
      <c r="AW45" s="2">
        <v>15</v>
      </c>
      <c r="AX45" s="41">
        <v>66133</v>
      </c>
      <c r="AY45" s="42" t="s">
        <v>58</v>
      </c>
      <c r="AZ45" s="69" t="s">
        <v>31</v>
      </c>
    </row>
    <row r="46" spans="1:52" ht="15.75" thickBot="1">
      <c r="A46" s="36">
        <f t="shared" si="0"/>
        <v>2003</v>
      </c>
      <c r="B46" s="36">
        <f t="shared" si="9"/>
        <v>8</v>
      </c>
      <c r="C46" s="39">
        <v>37834</v>
      </c>
      <c r="D46" s="40" t="s">
        <v>35</v>
      </c>
      <c r="E46" s="37"/>
      <c r="F46" s="14">
        <v>185132</v>
      </c>
      <c r="G46" s="8"/>
      <c r="H46" s="15">
        <v>20152</v>
      </c>
      <c r="I46" s="16">
        <v>13165</v>
      </c>
      <c r="J46" s="16">
        <v>12439</v>
      </c>
      <c r="K46" s="16">
        <v>725</v>
      </c>
      <c r="L46" s="16">
        <v>6308</v>
      </c>
      <c r="M46" s="17">
        <v>164963</v>
      </c>
      <c r="N46" s="16">
        <v>76298</v>
      </c>
      <c r="O46" s="16">
        <v>40365</v>
      </c>
      <c r="P46" s="16">
        <v>10971</v>
      </c>
      <c r="Q46" s="16">
        <v>11050</v>
      </c>
      <c r="R46" s="16">
        <v>10446</v>
      </c>
      <c r="S46" s="16">
        <v>1315</v>
      </c>
      <c r="T46" s="16">
        <v>2151</v>
      </c>
      <c r="U46" s="16">
        <v>3032</v>
      </c>
      <c r="V46" s="16">
        <v>17517</v>
      </c>
      <c r="W46" s="16">
        <v>15433</v>
      </c>
      <c r="X46" s="16">
        <v>8406</v>
      </c>
      <c r="Y46" s="16">
        <v>19863</v>
      </c>
      <c r="Z46" s="16">
        <v>19644</v>
      </c>
      <c r="AA46" s="16">
        <v>849</v>
      </c>
      <c r="AB46" s="16">
        <v>3903</v>
      </c>
      <c r="AC46" s="16">
        <v>3600</v>
      </c>
      <c r="AD46" s="16">
        <v>11200</v>
      </c>
      <c r="AE46" s="16">
        <v>4342</v>
      </c>
      <c r="AF46" s="16">
        <v>1846</v>
      </c>
      <c r="AG46" s="16">
        <v>3000</v>
      </c>
      <c r="AH46" s="16">
        <v>1343</v>
      </c>
      <c r="AI46" s="16">
        <v>6582</v>
      </c>
      <c r="AJ46" s="16">
        <v>4524</v>
      </c>
      <c r="AK46" s="16">
        <v>3467</v>
      </c>
      <c r="AL46" s="16">
        <v>5722</v>
      </c>
      <c r="AM46" s="18">
        <v>0</v>
      </c>
      <c r="AW46" s="2">
        <v>16</v>
      </c>
      <c r="AX46" s="41">
        <v>36761</v>
      </c>
      <c r="AY46" s="42" t="s">
        <v>50</v>
      </c>
      <c r="AZ46" s="69" t="s">
        <v>23</v>
      </c>
    </row>
    <row r="47" spans="1:52" ht="15.75" thickBot="1">
      <c r="A47" s="36">
        <f t="shared" si="0"/>
        <v>2003</v>
      </c>
      <c r="B47" s="36">
        <f t="shared" si="9"/>
        <v>9</v>
      </c>
      <c r="C47" s="39">
        <v>37865</v>
      </c>
      <c r="D47" s="40" t="s">
        <v>35</v>
      </c>
      <c r="E47" s="37"/>
      <c r="F47" s="14">
        <v>191909</v>
      </c>
      <c r="G47" s="8"/>
      <c r="H47" s="15">
        <v>15427</v>
      </c>
      <c r="I47" s="16">
        <v>12429</v>
      </c>
      <c r="J47" s="16">
        <v>12154</v>
      </c>
      <c r="K47" s="16">
        <v>275</v>
      </c>
      <c r="L47" s="16">
        <v>2420</v>
      </c>
      <c r="M47" s="17">
        <v>176448</v>
      </c>
      <c r="N47" s="16">
        <v>86621</v>
      </c>
      <c r="O47" s="16">
        <v>40201</v>
      </c>
      <c r="P47" s="16">
        <v>9069</v>
      </c>
      <c r="Q47" s="16">
        <v>14274</v>
      </c>
      <c r="R47" s="16">
        <v>17231</v>
      </c>
      <c r="S47" s="16">
        <v>3879</v>
      </c>
      <c r="T47" s="16">
        <v>1966</v>
      </c>
      <c r="U47" s="16">
        <v>2385</v>
      </c>
      <c r="V47" s="16">
        <v>17498</v>
      </c>
      <c r="W47" s="16">
        <v>15464</v>
      </c>
      <c r="X47" s="16">
        <v>8516</v>
      </c>
      <c r="Y47" s="16">
        <v>17004</v>
      </c>
      <c r="Z47" s="16">
        <v>16934</v>
      </c>
      <c r="AA47" s="16">
        <v>4396</v>
      </c>
      <c r="AB47" s="16">
        <v>4313</v>
      </c>
      <c r="AC47" s="16">
        <v>1914</v>
      </c>
      <c r="AD47" s="16">
        <v>11822</v>
      </c>
      <c r="AE47" s="16">
        <v>5139</v>
      </c>
      <c r="AF47" s="16">
        <v>1810</v>
      </c>
      <c r="AG47" s="16">
        <v>2619</v>
      </c>
      <c r="AH47" s="16">
        <v>1367</v>
      </c>
      <c r="AI47" s="16">
        <v>6390</v>
      </c>
      <c r="AJ47" s="16">
        <v>4892</v>
      </c>
      <c r="AK47" s="16">
        <v>4311</v>
      </c>
      <c r="AL47" s="16">
        <v>6387</v>
      </c>
      <c r="AM47" s="18">
        <v>0</v>
      </c>
      <c r="AW47" s="2">
        <v>17</v>
      </c>
      <c r="AX47" s="41">
        <v>15313</v>
      </c>
      <c r="AY47" s="42" t="s">
        <v>43</v>
      </c>
      <c r="AZ47" s="69" t="s">
        <v>16</v>
      </c>
    </row>
    <row r="48" spans="1:52" ht="15.75" thickBot="1">
      <c r="A48" s="36">
        <f t="shared" si="0"/>
        <v>2003</v>
      </c>
      <c r="B48" s="36">
        <f t="shared" si="9"/>
        <v>10</v>
      </c>
      <c r="C48" s="39">
        <v>37895</v>
      </c>
      <c r="D48" s="40" t="s">
        <v>35</v>
      </c>
      <c r="E48" s="37"/>
      <c r="F48" s="14">
        <v>217142</v>
      </c>
      <c r="G48" s="8"/>
      <c r="H48" s="15">
        <v>12785</v>
      </c>
      <c r="I48" s="16">
        <v>3735</v>
      </c>
      <c r="J48" s="16">
        <v>3120</v>
      </c>
      <c r="K48" s="16">
        <v>615</v>
      </c>
      <c r="L48" s="16">
        <v>8499</v>
      </c>
      <c r="M48" s="17">
        <v>204321</v>
      </c>
      <c r="N48" s="16">
        <v>107252</v>
      </c>
      <c r="O48" s="16">
        <v>44566</v>
      </c>
      <c r="P48" s="16">
        <v>10627</v>
      </c>
      <c r="Q48" s="16">
        <v>18203</v>
      </c>
      <c r="R48" s="16">
        <v>16426</v>
      </c>
      <c r="S48" s="16">
        <v>12207</v>
      </c>
      <c r="T48" s="16">
        <v>5223</v>
      </c>
      <c r="U48" s="16">
        <v>1907</v>
      </c>
      <c r="V48" s="16">
        <v>13766</v>
      </c>
      <c r="W48" s="16">
        <v>12280</v>
      </c>
      <c r="X48" s="16">
        <v>8113</v>
      </c>
      <c r="Y48" s="16">
        <v>17810</v>
      </c>
      <c r="Z48" s="16">
        <v>17581</v>
      </c>
      <c r="AA48" s="16">
        <v>3975</v>
      </c>
      <c r="AB48" s="16">
        <v>5300</v>
      </c>
      <c r="AC48" s="16">
        <v>4121</v>
      </c>
      <c r="AD48" s="16">
        <v>13846</v>
      </c>
      <c r="AE48" s="16">
        <v>5364</v>
      </c>
      <c r="AF48" s="16">
        <v>1819</v>
      </c>
      <c r="AG48" s="16">
        <v>4134</v>
      </c>
      <c r="AH48" s="16">
        <v>1418</v>
      </c>
      <c r="AI48" s="16">
        <v>8395</v>
      </c>
      <c r="AJ48" s="16">
        <v>6601</v>
      </c>
      <c r="AK48" s="16">
        <v>4306</v>
      </c>
      <c r="AL48" s="16">
        <v>8930</v>
      </c>
      <c r="AM48" s="18">
        <v>0</v>
      </c>
      <c r="AW48" s="2">
        <v>18</v>
      </c>
      <c r="AX48" s="41">
        <v>6868</v>
      </c>
      <c r="AY48" s="42" t="s">
        <v>46</v>
      </c>
      <c r="AZ48" s="69" t="s">
        <v>19</v>
      </c>
    </row>
    <row r="49" spans="1:52" ht="15.75" thickBot="1">
      <c r="A49" s="36">
        <f t="shared" si="0"/>
        <v>2003</v>
      </c>
      <c r="B49" s="36">
        <f t="shared" si="9"/>
        <v>11</v>
      </c>
      <c r="C49" s="39">
        <v>37926</v>
      </c>
      <c r="D49" s="40" t="s">
        <v>35</v>
      </c>
      <c r="E49" s="37"/>
      <c r="F49" s="14">
        <v>202299</v>
      </c>
      <c r="G49" s="8"/>
      <c r="H49" s="15">
        <v>6664</v>
      </c>
      <c r="I49" s="16">
        <v>3401</v>
      </c>
      <c r="J49" s="16">
        <v>2978</v>
      </c>
      <c r="K49" s="16">
        <v>423</v>
      </c>
      <c r="L49" s="16">
        <v>2577</v>
      </c>
      <c r="M49" s="17">
        <v>195441</v>
      </c>
      <c r="N49" s="16">
        <v>109746</v>
      </c>
      <c r="O49" s="16">
        <v>56544</v>
      </c>
      <c r="P49" s="16">
        <v>8345</v>
      </c>
      <c r="Q49" s="16">
        <v>16930</v>
      </c>
      <c r="R49" s="16">
        <v>17460</v>
      </c>
      <c r="S49" s="16">
        <v>7323</v>
      </c>
      <c r="T49" s="16">
        <v>3145</v>
      </c>
      <c r="U49" s="16">
        <v>2382</v>
      </c>
      <c r="V49" s="16">
        <v>15108</v>
      </c>
      <c r="W49" s="16">
        <v>13978</v>
      </c>
      <c r="X49" s="16">
        <v>5103</v>
      </c>
      <c r="Y49" s="16">
        <v>18114</v>
      </c>
      <c r="Z49" s="16">
        <v>17935</v>
      </c>
      <c r="AA49" s="16">
        <v>802</v>
      </c>
      <c r="AB49" s="16">
        <v>4613</v>
      </c>
      <c r="AC49" s="16">
        <v>5699</v>
      </c>
      <c r="AD49" s="16">
        <v>11222</v>
      </c>
      <c r="AE49" s="16">
        <v>5290</v>
      </c>
      <c r="AF49" s="16">
        <v>1034</v>
      </c>
      <c r="AG49" s="16">
        <v>2993</v>
      </c>
      <c r="AH49" s="16">
        <v>1076</v>
      </c>
      <c r="AI49" s="16">
        <v>8012</v>
      </c>
      <c r="AJ49" s="16">
        <v>5448</v>
      </c>
      <c r="AK49" s="16">
        <v>3942</v>
      </c>
      <c r="AL49" s="16">
        <v>5249</v>
      </c>
      <c r="AM49" s="18">
        <v>179</v>
      </c>
      <c r="AW49" s="2">
        <v>19</v>
      </c>
      <c r="AX49" s="41">
        <v>228</v>
      </c>
      <c r="AY49" s="42" t="s">
        <v>51</v>
      </c>
      <c r="AZ49" s="69" t="s">
        <v>24</v>
      </c>
    </row>
    <row r="50" spans="1:52" ht="15.75" thickBot="1">
      <c r="A50" s="36">
        <f t="shared" si="0"/>
        <v>2003</v>
      </c>
      <c r="B50" s="36">
        <f t="shared" si="9"/>
        <v>12</v>
      </c>
      <c r="C50" s="39">
        <v>37956</v>
      </c>
      <c r="D50" s="40" t="s">
        <v>35</v>
      </c>
      <c r="E50" s="37"/>
      <c r="F50" s="14">
        <v>187482</v>
      </c>
      <c r="G50" s="8"/>
      <c r="H50" s="15">
        <v>10839</v>
      </c>
      <c r="I50" s="16">
        <v>7312</v>
      </c>
      <c r="J50" s="16">
        <v>992</v>
      </c>
      <c r="K50" s="16">
        <v>6320</v>
      </c>
      <c r="L50" s="16">
        <v>2758</v>
      </c>
      <c r="M50" s="17">
        <v>176402</v>
      </c>
      <c r="N50" s="16">
        <v>91731</v>
      </c>
      <c r="O50" s="16">
        <v>49223</v>
      </c>
      <c r="P50" s="16">
        <v>5795</v>
      </c>
      <c r="Q50" s="16">
        <v>12979</v>
      </c>
      <c r="R50" s="16">
        <v>18699</v>
      </c>
      <c r="S50" s="16">
        <v>1088</v>
      </c>
      <c r="T50" s="16">
        <v>3948</v>
      </c>
      <c r="U50" s="16">
        <v>2379</v>
      </c>
      <c r="V50" s="16">
        <v>14469</v>
      </c>
      <c r="W50" s="16">
        <v>13571</v>
      </c>
      <c r="X50" s="16">
        <v>3925</v>
      </c>
      <c r="Y50" s="16">
        <v>19704</v>
      </c>
      <c r="Z50" s="16">
        <v>19488</v>
      </c>
      <c r="AA50" s="16">
        <v>4273</v>
      </c>
      <c r="AB50" s="16">
        <v>4361</v>
      </c>
      <c r="AC50" s="16">
        <v>1481</v>
      </c>
      <c r="AD50" s="16">
        <v>11346</v>
      </c>
      <c r="AE50" s="16">
        <v>4519</v>
      </c>
      <c r="AF50" s="16">
        <v>2132</v>
      </c>
      <c r="AG50" s="16">
        <v>2356</v>
      </c>
      <c r="AH50" s="16">
        <v>1385</v>
      </c>
      <c r="AI50" s="16">
        <v>5765</v>
      </c>
      <c r="AJ50" s="16">
        <v>5290</v>
      </c>
      <c r="AK50" s="16">
        <v>3505</v>
      </c>
      <c r="AL50" s="16">
        <v>8172</v>
      </c>
      <c r="AM50" s="18">
        <v>235</v>
      </c>
      <c r="AW50" s="67"/>
      <c r="AX50" s="67"/>
    </row>
    <row r="51" spans="1:52" ht="15.75" thickBot="1">
      <c r="A51" s="36">
        <f t="shared" si="0"/>
        <v>2004</v>
      </c>
      <c r="B51" s="36">
        <f t="shared" si="9"/>
        <v>1</v>
      </c>
      <c r="C51" s="39">
        <v>37987</v>
      </c>
      <c r="D51" s="40" t="s">
        <v>35</v>
      </c>
      <c r="E51" s="37"/>
      <c r="F51" s="14">
        <v>197231</v>
      </c>
      <c r="G51" s="8"/>
      <c r="H51" s="15">
        <v>15823</v>
      </c>
      <c r="I51" s="16">
        <v>8386</v>
      </c>
      <c r="J51" s="16">
        <v>821</v>
      </c>
      <c r="K51" s="16">
        <v>7565</v>
      </c>
      <c r="L51" s="16">
        <v>6837</v>
      </c>
      <c r="M51" s="17">
        <v>181390</v>
      </c>
      <c r="N51" s="16">
        <v>91019</v>
      </c>
      <c r="O51" s="16">
        <v>54067</v>
      </c>
      <c r="P51" s="16">
        <v>7979</v>
      </c>
      <c r="Q51" s="16">
        <v>9277</v>
      </c>
      <c r="R51" s="16">
        <v>7575</v>
      </c>
      <c r="S51" s="16">
        <v>10076</v>
      </c>
      <c r="T51" s="16">
        <v>2045</v>
      </c>
      <c r="U51" s="16">
        <v>1757</v>
      </c>
      <c r="V51" s="16">
        <v>17843</v>
      </c>
      <c r="W51" s="16">
        <v>16529</v>
      </c>
      <c r="X51" s="16">
        <v>2137</v>
      </c>
      <c r="Y51" s="16">
        <v>20576</v>
      </c>
      <c r="Z51" s="16">
        <v>20358</v>
      </c>
      <c r="AA51" s="16">
        <v>737</v>
      </c>
      <c r="AB51" s="16">
        <v>4110</v>
      </c>
      <c r="AC51" s="16">
        <v>10092</v>
      </c>
      <c r="AD51" s="16">
        <v>11852</v>
      </c>
      <c r="AE51" s="16">
        <v>4192</v>
      </c>
      <c r="AF51" s="16">
        <v>1442</v>
      </c>
      <c r="AG51" s="16">
        <v>3962</v>
      </c>
      <c r="AH51" s="16">
        <v>1397</v>
      </c>
      <c r="AI51" s="16">
        <v>7698</v>
      </c>
      <c r="AJ51" s="16">
        <v>5951</v>
      </c>
      <c r="AK51" s="16">
        <v>2536</v>
      </c>
      <c r="AL51" s="16">
        <v>5083</v>
      </c>
      <c r="AM51" s="18">
        <v>13</v>
      </c>
    </row>
    <row r="52" spans="1:52" ht="15.75" thickBot="1">
      <c r="A52" s="36">
        <f t="shared" si="0"/>
        <v>2004</v>
      </c>
      <c r="B52" s="36">
        <f t="shared" si="9"/>
        <v>2</v>
      </c>
      <c r="C52" s="39">
        <v>38018</v>
      </c>
      <c r="D52" s="40" t="s">
        <v>35</v>
      </c>
      <c r="E52" s="37"/>
      <c r="F52" s="14">
        <v>179323</v>
      </c>
      <c r="G52" s="8"/>
      <c r="H52" s="15">
        <v>11974</v>
      </c>
      <c r="I52" s="16">
        <v>9484</v>
      </c>
      <c r="J52" s="16">
        <v>3231</v>
      </c>
      <c r="K52" s="16">
        <v>6253</v>
      </c>
      <c r="L52" s="16">
        <v>1960</v>
      </c>
      <c r="M52" s="17">
        <v>167345</v>
      </c>
      <c r="N52" s="16">
        <v>77671</v>
      </c>
      <c r="O52" s="16">
        <v>54276</v>
      </c>
      <c r="P52" s="16">
        <v>7234</v>
      </c>
      <c r="Q52" s="16">
        <v>7076</v>
      </c>
      <c r="R52" s="16">
        <v>1715</v>
      </c>
      <c r="S52" s="16">
        <v>1781</v>
      </c>
      <c r="T52" s="16">
        <v>5590</v>
      </c>
      <c r="U52" s="16">
        <v>1504</v>
      </c>
      <c r="V52" s="16">
        <v>16993</v>
      </c>
      <c r="W52" s="16">
        <v>15492</v>
      </c>
      <c r="X52" s="16">
        <v>4015</v>
      </c>
      <c r="Y52" s="16">
        <v>17284</v>
      </c>
      <c r="Z52" s="16">
        <v>17230</v>
      </c>
      <c r="AA52" s="16">
        <v>3960</v>
      </c>
      <c r="AB52" s="16">
        <v>3878</v>
      </c>
      <c r="AC52" s="16">
        <v>12042</v>
      </c>
      <c r="AD52" s="16">
        <v>9969</v>
      </c>
      <c r="AE52" s="16">
        <v>4285</v>
      </c>
      <c r="AF52" s="16">
        <v>431</v>
      </c>
      <c r="AG52" s="16">
        <v>2653</v>
      </c>
      <c r="AH52" s="16">
        <v>1466</v>
      </c>
      <c r="AI52" s="16">
        <v>7164</v>
      </c>
      <c r="AJ52" s="16">
        <v>5728</v>
      </c>
      <c r="AK52" s="16">
        <v>2974</v>
      </c>
      <c r="AL52" s="16">
        <v>4164</v>
      </c>
      <c r="AM52" s="18">
        <v>0</v>
      </c>
    </row>
    <row r="53" spans="1:52" ht="15.75" thickBot="1">
      <c r="A53" s="36">
        <f t="shared" si="0"/>
        <v>2004</v>
      </c>
      <c r="B53" s="36">
        <f t="shared" si="9"/>
        <v>3</v>
      </c>
      <c r="C53" s="39">
        <v>38047</v>
      </c>
      <c r="D53" s="40" t="s">
        <v>35</v>
      </c>
      <c r="E53" s="37"/>
      <c r="F53" s="14">
        <v>213767</v>
      </c>
      <c r="G53" s="8"/>
      <c r="H53" s="15">
        <v>18863</v>
      </c>
      <c r="I53" s="16">
        <v>13992</v>
      </c>
      <c r="J53" s="16">
        <v>5414</v>
      </c>
      <c r="K53" s="16">
        <v>8578</v>
      </c>
      <c r="L53" s="16">
        <v>3928</v>
      </c>
      <c r="M53" s="17">
        <v>194872</v>
      </c>
      <c r="N53" s="16">
        <v>97028</v>
      </c>
      <c r="O53" s="16">
        <v>59543</v>
      </c>
      <c r="P53" s="16">
        <v>11325</v>
      </c>
      <c r="Q53" s="16">
        <v>13125</v>
      </c>
      <c r="R53" s="16">
        <v>2514</v>
      </c>
      <c r="S53" s="16">
        <v>7090</v>
      </c>
      <c r="T53" s="16">
        <v>3431</v>
      </c>
      <c r="U53" s="16">
        <v>2491</v>
      </c>
      <c r="V53" s="16">
        <v>15191</v>
      </c>
      <c r="W53" s="16">
        <v>13509</v>
      </c>
      <c r="X53" s="16">
        <v>3665</v>
      </c>
      <c r="Y53" s="16">
        <v>22814</v>
      </c>
      <c r="Z53" s="16">
        <v>22579</v>
      </c>
      <c r="AA53" s="16">
        <v>3224</v>
      </c>
      <c r="AB53" s="16">
        <v>5531</v>
      </c>
      <c r="AC53" s="16">
        <v>8605</v>
      </c>
      <c r="AD53" s="16">
        <v>11031</v>
      </c>
      <c r="AE53" s="16">
        <v>5634</v>
      </c>
      <c r="AF53" s="16">
        <v>718</v>
      </c>
      <c r="AG53" s="16">
        <v>1935</v>
      </c>
      <c r="AH53" s="16">
        <v>1558</v>
      </c>
      <c r="AI53" s="16">
        <v>8247</v>
      </c>
      <c r="AJ53" s="16">
        <v>7249</v>
      </c>
      <c r="AK53" s="16">
        <v>3279</v>
      </c>
      <c r="AL53" s="16">
        <v>6517</v>
      </c>
      <c r="AM53" s="18">
        <v>0</v>
      </c>
    </row>
    <row r="54" spans="1:52" ht="15.75" thickBot="1">
      <c r="A54" s="36">
        <f t="shared" si="0"/>
        <v>2004</v>
      </c>
      <c r="B54" s="36">
        <f t="shared" si="9"/>
        <v>4</v>
      </c>
      <c r="C54" s="39">
        <v>38078</v>
      </c>
      <c r="D54" s="40" t="s">
        <v>35</v>
      </c>
      <c r="E54" s="37"/>
      <c r="F54" s="14">
        <v>224250</v>
      </c>
      <c r="G54" s="8"/>
      <c r="H54" s="15">
        <v>34825</v>
      </c>
      <c r="I54" s="16">
        <v>28923</v>
      </c>
      <c r="J54" s="16">
        <v>15040</v>
      </c>
      <c r="K54" s="16">
        <v>13882</v>
      </c>
      <c r="L54" s="16">
        <v>5132</v>
      </c>
      <c r="M54" s="17">
        <v>189424</v>
      </c>
      <c r="N54" s="16">
        <v>91093</v>
      </c>
      <c r="O54" s="16">
        <v>55153</v>
      </c>
      <c r="P54" s="16">
        <v>9263</v>
      </c>
      <c r="Q54" s="16">
        <v>10911</v>
      </c>
      <c r="R54" s="16">
        <v>12422</v>
      </c>
      <c r="S54" s="16">
        <v>1162</v>
      </c>
      <c r="T54" s="16">
        <v>2182</v>
      </c>
      <c r="U54" s="16">
        <v>790</v>
      </c>
      <c r="V54" s="16">
        <v>17282</v>
      </c>
      <c r="W54" s="16">
        <v>15746</v>
      </c>
      <c r="X54" s="16">
        <v>4870</v>
      </c>
      <c r="Y54" s="16">
        <v>19716</v>
      </c>
      <c r="Z54" s="16">
        <v>19624</v>
      </c>
      <c r="AA54" s="16">
        <v>1592</v>
      </c>
      <c r="AB54" s="16">
        <v>5157</v>
      </c>
      <c r="AC54" s="16">
        <v>12871</v>
      </c>
      <c r="AD54" s="16">
        <v>12132</v>
      </c>
      <c r="AE54" s="16">
        <v>5139</v>
      </c>
      <c r="AF54" s="16">
        <v>969</v>
      </c>
      <c r="AG54" s="16">
        <v>3291</v>
      </c>
      <c r="AH54" s="16">
        <v>1656</v>
      </c>
      <c r="AI54" s="16">
        <v>8451</v>
      </c>
      <c r="AJ54" s="16">
        <v>7010</v>
      </c>
      <c r="AK54" s="16">
        <v>3070</v>
      </c>
      <c r="AL54" s="16">
        <v>5390</v>
      </c>
      <c r="AM54" s="18">
        <v>0</v>
      </c>
    </row>
    <row r="55" spans="1:52" ht="15.75" thickBot="1">
      <c r="A55" s="36">
        <f t="shared" si="0"/>
        <v>2004</v>
      </c>
      <c r="B55" s="36">
        <f t="shared" si="9"/>
        <v>5</v>
      </c>
      <c r="C55" s="39">
        <v>38108</v>
      </c>
      <c r="D55" s="40" t="s">
        <v>35</v>
      </c>
      <c r="E55" s="37"/>
      <c r="F55" s="14">
        <v>279176</v>
      </c>
      <c r="G55" s="8"/>
      <c r="H55" s="15">
        <v>73018</v>
      </c>
      <c r="I55" s="16">
        <v>68071</v>
      </c>
      <c r="J55" s="16">
        <v>62126</v>
      </c>
      <c r="K55" s="16">
        <v>5945</v>
      </c>
      <c r="L55" s="16">
        <v>3905</v>
      </c>
      <c r="M55" s="17">
        <v>206141</v>
      </c>
      <c r="N55" s="16">
        <v>101018</v>
      </c>
      <c r="O55" s="16">
        <v>55463</v>
      </c>
      <c r="P55" s="16">
        <v>8715</v>
      </c>
      <c r="Q55" s="16">
        <v>11787</v>
      </c>
      <c r="R55" s="16">
        <v>16614</v>
      </c>
      <c r="S55" s="16">
        <v>5533</v>
      </c>
      <c r="T55" s="16">
        <v>2905</v>
      </c>
      <c r="U55" s="16">
        <v>3135</v>
      </c>
      <c r="V55" s="16">
        <v>17926</v>
      </c>
      <c r="W55" s="16">
        <v>16281</v>
      </c>
      <c r="X55" s="16">
        <v>4807</v>
      </c>
      <c r="Y55" s="16">
        <v>21215</v>
      </c>
      <c r="Z55" s="16">
        <v>21071</v>
      </c>
      <c r="AA55" s="16">
        <v>3264</v>
      </c>
      <c r="AB55" s="16">
        <v>5140</v>
      </c>
      <c r="AC55" s="16">
        <v>12594</v>
      </c>
      <c r="AD55" s="16">
        <v>12526</v>
      </c>
      <c r="AE55" s="16">
        <v>4660</v>
      </c>
      <c r="AF55" s="16">
        <v>1278</v>
      </c>
      <c r="AG55" s="16">
        <v>3472</v>
      </c>
      <c r="AH55" s="16">
        <v>1847</v>
      </c>
      <c r="AI55" s="16">
        <v>6613</v>
      </c>
      <c r="AJ55" s="16">
        <v>7007</v>
      </c>
      <c r="AK55" s="16">
        <v>4599</v>
      </c>
      <c r="AL55" s="16">
        <v>6297</v>
      </c>
      <c r="AM55" s="18">
        <v>0</v>
      </c>
    </row>
    <row r="56" spans="1:52" ht="15.75" thickBot="1">
      <c r="A56" s="36">
        <f t="shared" si="0"/>
        <v>2004</v>
      </c>
      <c r="B56" s="36">
        <f t="shared" si="9"/>
        <v>6</v>
      </c>
      <c r="C56" s="39">
        <v>38139</v>
      </c>
      <c r="D56" s="40" t="s">
        <v>35</v>
      </c>
      <c r="E56" s="37"/>
      <c r="F56" s="14">
        <v>248580</v>
      </c>
      <c r="G56" s="8"/>
      <c r="H56" s="15">
        <v>36680</v>
      </c>
      <c r="I56" s="16">
        <v>29567</v>
      </c>
      <c r="J56" s="16">
        <v>24040</v>
      </c>
      <c r="K56" s="16">
        <v>5527</v>
      </c>
      <c r="L56" s="16">
        <v>5874</v>
      </c>
      <c r="M56" s="17">
        <v>211864</v>
      </c>
      <c r="N56" s="16">
        <v>109804</v>
      </c>
      <c r="O56" s="16">
        <v>64126</v>
      </c>
      <c r="P56" s="16">
        <v>12272</v>
      </c>
      <c r="Q56" s="16">
        <v>15108</v>
      </c>
      <c r="R56" s="16">
        <v>13462</v>
      </c>
      <c r="S56" s="16">
        <v>2481</v>
      </c>
      <c r="T56" s="16">
        <v>2354</v>
      </c>
      <c r="U56" s="16">
        <v>2404</v>
      </c>
      <c r="V56" s="16">
        <v>18402</v>
      </c>
      <c r="W56" s="16">
        <v>16526</v>
      </c>
      <c r="X56" s="16">
        <v>5995</v>
      </c>
      <c r="Y56" s="16">
        <v>21741</v>
      </c>
      <c r="Z56" s="16">
        <v>21575</v>
      </c>
      <c r="AA56" s="16">
        <v>4283</v>
      </c>
      <c r="AB56" s="16">
        <v>4735</v>
      </c>
      <c r="AC56" s="16">
        <v>6216</v>
      </c>
      <c r="AD56" s="16">
        <v>12240</v>
      </c>
      <c r="AE56" s="16">
        <v>4186</v>
      </c>
      <c r="AF56" s="16">
        <v>1803</v>
      </c>
      <c r="AG56" s="16">
        <v>3431</v>
      </c>
      <c r="AH56" s="16">
        <v>1863</v>
      </c>
      <c r="AI56" s="16">
        <v>7396</v>
      </c>
      <c r="AJ56" s="16">
        <v>7208</v>
      </c>
      <c r="AK56" s="16">
        <v>5344</v>
      </c>
      <c r="AL56" s="16">
        <v>6095</v>
      </c>
      <c r="AM56" s="18">
        <v>0</v>
      </c>
    </row>
    <row r="57" spans="1:52" ht="15.75" thickBot="1">
      <c r="A57" s="36">
        <f t="shared" si="0"/>
        <v>2004</v>
      </c>
      <c r="B57" s="36">
        <f t="shared" si="9"/>
        <v>7</v>
      </c>
      <c r="C57" s="39">
        <v>38169</v>
      </c>
      <c r="D57" s="40" t="s">
        <v>35</v>
      </c>
      <c r="E57" s="37"/>
      <c r="F57" s="14">
        <v>272953</v>
      </c>
      <c r="G57" s="8"/>
      <c r="H57" s="15">
        <v>53372</v>
      </c>
      <c r="I57" s="16">
        <v>50472</v>
      </c>
      <c r="J57" s="16">
        <v>40516</v>
      </c>
      <c r="K57" s="16">
        <v>9956</v>
      </c>
      <c r="L57" s="16">
        <v>1798</v>
      </c>
      <c r="M57" s="17">
        <v>219570</v>
      </c>
      <c r="N57" s="16">
        <v>105968</v>
      </c>
      <c r="O57" s="16">
        <v>62537</v>
      </c>
      <c r="P57" s="16">
        <v>12164</v>
      </c>
      <c r="Q57" s="16">
        <v>12443</v>
      </c>
      <c r="R57" s="16">
        <v>7629</v>
      </c>
      <c r="S57" s="16">
        <v>7394</v>
      </c>
      <c r="T57" s="16">
        <v>3801</v>
      </c>
      <c r="U57" s="16">
        <v>2601</v>
      </c>
      <c r="V57" s="16">
        <v>16163</v>
      </c>
      <c r="W57" s="16">
        <v>13564</v>
      </c>
      <c r="X57" s="16">
        <v>8104</v>
      </c>
      <c r="Y57" s="16">
        <v>18931</v>
      </c>
      <c r="Z57" s="16">
        <v>18806</v>
      </c>
      <c r="AA57" s="16">
        <v>4789</v>
      </c>
      <c r="AB57" s="16">
        <v>4980</v>
      </c>
      <c r="AC57" s="16">
        <v>17043</v>
      </c>
      <c r="AD57" s="16">
        <v>14555</v>
      </c>
      <c r="AE57" s="16">
        <v>5171</v>
      </c>
      <c r="AF57" s="16">
        <v>3017</v>
      </c>
      <c r="AG57" s="16">
        <v>3323</v>
      </c>
      <c r="AH57" s="16">
        <v>1891</v>
      </c>
      <c r="AI57" s="16">
        <v>8175</v>
      </c>
      <c r="AJ57" s="16">
        <v>7547</v>
      </c>
      <c r="AK57" s="16">
        <v>4674</v>
      </c>
      <c r="AL57" s="16">
        <v>6042</v>
      </c>
      <c r="AM57" s="18">
        <v>0</v>
      </c>
    </row>
    <row r="58" spans="1:52" ht="15.75" thickBot="1">
      <c r="A58" s="36">
        <f t="shared" si="0"/>
        <v>2004</v>
      </c>
      <c r="B58" s="36">
        <f t="shared" si="9"/>
        <v>8</v>
      </c>
      <c r="C58" s="39">
        <v>38200</v>
      </c>
      <c r="D58" s="40" t="s">
        <v>35</v>
      </c>
      <c r="E58" s="37"/>
      <c r="F58" s="14">
        <v>247027</v>
      </c>
      <c r="G58" s="8"/>
      <c r="H58" s="15">
        <v>33895</v>
      </c>
      <c r="I58" s="16">
        <v>26799</v>
      </c>
      <c r="J58" s="16">
        <v>25753</v>
      </c>
      <c r="K58" s="16">
        <v>1046</v>
      </c>
      <c r="L58" s="16">
        <v>5897</v>
      </c>
      <c r="M58" s="17">
        <v>213124</v>
      </c>
      <c r="N58" s="16">
        <v>107963</v>
      </c>
      <c r="O58" s="16">
        <v>53435</v>
      </c>
      <c r="P58" s="16">
        <v>11761</v>
      </c>
      <c r="Q58" s="16">
        <v>15560</v>
      </c>
      <c r="R58" s="16">
        <v>15701</v>
      </c>
      <c r="S58" s="16">
        <v>8753</v>
      </c>
      <c r="T58" s="16">
        <v>2753</v>
      </c>
      <c r="U58" s="16">
        <v>2534</v>
      </c>
      <c r="V58" s="16">
        <v>15814</v>
      </c>
      <c r="W58" s="16">
        <v>13262</v>
      </c>
      <c r="X58" s="16">
        <v>8527</v>
      </c>
      <c r="Y58" s="16">
        <v>18366</v>
      </c>
      <c r="Z58" s="16">
        <v>18117</v>
      </c>
      <c r="AA58" s="16">
        <v>7098</v>
      </c>
      <c r="AB58" s="16">
        <v>4914</v>
      </c>
      <c r="AC58" s="16">
        <v>4305</v>
      </c>
      <c r="AD58" s="16">
        <v>15890</v>
      </c>
      <c r="AE58" s="16">
        <v>5978</v>
      </c>
      <c r="AF58" s="16">
        <v>2487</v>
      </c>
      <c r="AG58" s="16">
        <v>4383</v>
      </c>
      <c r="AH58" s="16">
        <v>1767</v>
      </c>
      <c r="AI58" s="16">
        <v>8641</v>
      </c>
      <c r="AJ58" s="16">
        <v>7907</v>
      </c>
      <c r="AK58" s="16">
        <v>4840</v>
      </c>
      <c r="AL58" s="16">
        <v>6326</v>
      </c>
      <c r="AM58" s="18">
        <v>0</v>
      </c>
    </row>
    <row r="59" spans="1:52" ht="15.75" thickBot="1">
      <c r="A59" s="36">
        <f t="shared" si="0"/>
        <v>2004</v>
      </c>
      <c r="B59" s="36">
        <f t="shared" si="9"/>
        <v>9</v>
      </c>
      <c r="C59" s="39">
        <v>38231</v>
      </c>
      <c r="D59" s="40" t="s">
        <v>35</v>
      </c>
      <c r="E59" s="37"/>
      <c r="F59" s="14">
        <v>271220</v>
      </c>
      <c r="G59" s="8"/>
      <c r="H59" s="15">
        <v>32212</v>
      </c>
      <c r="I59" s="16">
        <v>25886</v>
      </c>
      <c r="J59" s="16">
        <v>25192</v>
      </c>
      <c r="K59" s="16">
        <v>695</v>
      </c>
      <c r="L59" s="16">
        <v>5321</v>
      </c>
      <c r="M59" s="17">
        <v>238935</v>
      </c>
      <c r="N59" s="16">
        <v>118963</v>
      </c>
      <c r="O59" s="16">
        <v>58099</v>
      </c>
      <c r="P59" s="16">
        <v>9983</v>
      </c>
      <c r="Q59" s="16">
        <v>17568</v>
      </c>
      <c r="R59" s="16">
        <v>25750</v>
      </c>
      <c r="S59" s="16">
        <v>3861</v>
      </c>
      <c r="T59" s="16">
        <v>3703</v>
      </c>
      <c r="U59" s="16">
        <v>1845</v>
      </c>
      <c r="V59" s="16">
        <v>15705</v>
      </c>
      <c r="W59" s="16">
        <v>13482</v>
      </c>
      <c r="X59" s="16">
        <v>9538</v>
      </c>
      <c r="Y59" s="16">
        <v>21681</v>
      </c>
      <c r="Z59" s="16">
        <v>21524</v>
      </c>
      <c r="AA59" s="16">
        <v>4014</v>
      </c>
      <c r="AB59" s="16">
        <v>4859</v>
      </c>
      <c r="AC59" s="16">
        <v>14704</v>
      </c>
      <c r="AD59" s="16">
        <v>17751</v>
      </c>
      <c r="AE59" s="16">
        <v>6649</v>
      </c>
      <c r="AF59" s="16">
        <v>3640</v>
      </c>
      <c r="AG59" s="16">
        <v>4492</v>
      </c>
      <c r="AH59" s="16">
        <v>1709</v>
      </c>
      <c r="AI59" s="16">
        <v>8847</v>
      </c>
      <c r="AJ59" s="16">
        <v>7982</v>
      </c>
      <c r="AK59" s="16">
        <v>6116</v>
      </c>
      <c r="AL59" s="16">
        <v>6929</v>
      </c>
      <c r="AM59" s="18">
        <v>0</v>
      </c>
    </row>
    <row r="60" spans="1:52" ht="15.75" thickBot="1">
      <c r="A60" s="36">
        <f t="shared" si="0"/>
        <v>2004</v>
      </c>
      <c r="B60" s="36">
        <f t="shared" si="9"/>
        <v>10</v>
      </c>
      <c r="C60" s="39">
        <v>38261</v>
      </c>
      <c r="D60" s="40" t="s">
        <v>35</v>
      </c>
      <c r="E60" s="37"/>
      <c r="F60" s="14">
        <v>270943</v>
      </c>
      <c r="G60" s="8"/>
      <c r="H60" s="15">
        <v>13889</v>
      </c>
      <c r="I60" s="16">
        <v>8768</v>
      </c>
      <c r="J60" s="16">
        <v>8546</v>
      </c>
      <c r="K60" s="16">
        <v>222</v>
      </c>
      <c r="L60" s="16">
        <v>4395</v>
      </c>
      <c r="M60" s="17">
        <v>256750</v>
      </c>
      <c r="N60" s="16">
        <v>136366</v>
      </c>
      <c r="O60" s="16">
        <v>68023</v>
      </c>
      <c r="P60" s="16">
        <v>11797</v>
      </c>
      <c r="Q60" s="16">
        <v>16543</v>
      </c>
      <c r="R60" s="16">
        <v>26981</v>
      </c>
      <c r="S60" s="16">
        <v>9128</v>
      </c>
      <c r="T60" s="16">
        <v>3894</v>
      </c>
      <c r="U60" s="16">
        <v>2161</v>
      </c>
      <c r="V60" s="16">
        <v>17841</v>
      </c>
      <c r="W60" s="16">
        <v>15052</v>
      </c>
      <c r="X60" s="16">
        <v>7753</v>
      </c>
      <c r="Y60" s="16">
        <v>19346</v>
      </c>
      <c r="Z60" s="16">
        <v>19175</v>
      </c>
      <c r="AA60" s="16">
        <v>5875</v>
      </c>
      <c r="AB60" s="16">
        <v>4577</v>
      </c>
      <c r="AC60" s="16">
        <v>13431</v>
      </c>
      <c r="AD60" s="16">
        <v>18358</v>
      </c>
      <c r="AE60" s="16">
        <v>7293</v>
      </c>
      <c r="AF60" s="16">
        <v>2834</v>
      </c>
      <c r="AG60" s="16">
        <v>4516</v>
      </c>
      <c r="AH60" s="16">
        <v>1824</v>
      </c>
      <c r="AI60" s="16">
        <v>9019</v>
      </c>
      <c r="AJ60" s="16">
        <v>7429</v>
      </c>
      <c r="AK60" s="16">
        <v>7603</v>
      </c>
      <c r="AL60" s="16">
        <v>6993</v>
      </c>
      <c r="AM60" s="18">
        <v>0</v>
      </c>
    </row>
    <row r="61" spans="1:52" ht="15.75" thickBot="1">
      <c r="A61" s="36">
        <f t="shared" si="0"/>
        <v>2004</v>
      </c>
      <c r="B61" s="36">
        <f t="shared" si="9"/>
        <v>11</v>
      </c>
      <c r="C61" s="39">
        <v>38292</v>
      </c>
      <c r="D61" s="40" t="s">
        <v>35</v>
      </c>
      <c r="E61" s="37"/>
      <c r="F61" s="14">
        <v>267664</v>
      </c>
      <c r="G61" s="8"/>
      <c r="H61" s="15">
        <v>14420</v>
      </c>
      <c r="I61" s="16">
        <v>8407</v>
      </c>
      <c r="J61" s="16">
        <v>4805</v>
      </c>
      <c r="K61" s="16">
        <v>3602</v>
      </c>
      <c r="L61" s="16">
        <v>5231</v>
      </c>
      <c r="M61" s="17">
        <v>253090</v>
      </c>
      <c r="N61" s="16">
        <v>147081</v>
      </c>
      <c r="O61" s="16">
        <v>73260</v>
      </c>
      <c r="P61" s="16">
        <v>13085</v>
      </c>
      <c r="Q61" s="16">
        <v>25923</v>
      </c>
      <c r="R61" s="16">
        <v>20813</v>
      </c>
      <c r="S61" s="16">
        <v>10319</v>
      </c>
      <c r="T61" s="16">
        <v>3682</v>
      </c>
      <c r="U61" s="16">
        <v>2753</v>
      </c>
      <c r="V61" s="16">
        <v>16029</v>
      </c>
      <c r="W61" s="16">
        <v>13684</v>
      </c>
      <c r="X61" s="16">
        <v>5096</v>
      </c>
      <c r="Y61" s="16">
        <v>18481</v>
      </c>
      <c r="Z61" s="16">
        <v>18228</v>
      </c>
      <c r="AA61" s="16">
        <v>7680</v>
      </c>
      <c r="AB61" s="16">
        <v>4745</v>
      </c>
      <c r="AC61" s="16">
        <v>1675</v>
      </c>
      <c r="AD61" s="16">
        <v>15564</v>
      </c>
      <c r="AE61" s="16">
        <v>6148</v>
      </c>
      <c r="AF61" s="16">
        <v>2070</v>
      </c>
      <c r="AG61" s="16">
        <v>3964</v>
      </c>
      <c r="AH61" s="16">
        <v>2139</v>
      </c>
      <c r="AI61" s="16">
        <v>12935</v>
      </c>
      <c r="AJ61" s="16">
        <v>8957</v>
      </c>
      <c r="AK61" s="16">
        <v>5684</v>
      </c>
      <c r="AL61" s="16">
        <v>6410</v>
      </c>
      <c r="AM61" s="18">
        <v>37</v>
      </c>
    </row>
    <row r="62" spans="1:52" ht="15.75" thickBot="1">
      <c r="A62" s="36">
        <f t="shared" si="0"/>
        <v>2004</v>
      </c>
      <c r="B62" s="36">
        <f t="shared" si="9"/>
        <v>12</v>
      </c>
      <c r="C62" s="39">
        <v>38322</v>
      </c>
      <c r="D62" s="40" t="s">
        <v>35</v>
      </c>
      <c r="E62" s="37"/>
      <c r="F62" s="14">
        <v>265096</v>
      </c>
      <c r="G62" s="8"/>
      <c r="H62" s="15">
        <v>22843</v>
      </c>
      <c r="I62" s="16">
        <v>16739</v>
      </c>
      <c r="J62" s="16">
        <v>3620</v>
      </c>
      <c r="K62" s="16">
        <v>13118</v>
      </c>
      <c r="L62" s="16">
        <v>5259</v>
      </c>
      <c r="M62" s="17">
        <v>242226</v>
      </c>
      <c r="N62" s="16">
        <v>128668</v>
      </c>
      <c r="O62" s="16">
        <v>76523</v>
      </c>
      <c r="P62" s="16">
        <v>10932</v>
      </c>
      <c r="Q62" s="16">
        <v>19360</v>
      </c>
      <c r="R62" s="16">
        <v>11714</v>
      </c>
      <c r="S62" s="16">
        <v>5748</v>
      </c>
      <c r="T62" s="16">
        <v>4390</v>
      </c>
      <c r="U62" s="16">
        <v>1950</v>
      </c>
      <c r="V62" s="16">
        <v>14657</v>
      </c>
      <c r="W62" s="16">
        <v>13263</v>
      </c>
      <c r="X62" s="16">
        <v>3355</v>
      </c>
      <c r="Y62" s="16">
        <v>18999</v>
      </c>
      <c r="Z62" s="16">
        <v>18845</v>
      </c>
      <c r="AA62" s="16">
        <v>4658</v>
      </c>
      <c r="AB62" s="16">
        <v>3971</v>
      </c>
      <c r="AC62" s="16">
        <v>14611</v>
      </c>
      <c r="AD62" s="16">
        <v>15685</v>
      </c>
      <c r="AE62" s="16">
        <v>6429</v>
      </c>
      <c r="AF62" s="16">
        <v>1809</v>
      </c>
      <c r="AG62" s="16">
        <v>4346</v>
      </c>
      <c r="AH62" s="16">
        <v>1861</v>
      </c>
      <c r="AI62" s="16">
        <v>11853</v>
      </c>
      <c r="AJ62" s="16">
        <v>7991</v>
      </c>
      <c r="AK62" s="16">
        <v>7610</v>
      </c>
      <c r="AL62" s="16">
        <v>8219</v>
      </c>
      <c r="AM62" s="18">
        <v>4</v>
      </c>
    </row>
    <row r="63" spans="1:52" ht="15.75" thickBot="1">
      <c r="A63" s="36">
        <f t="shared" si="0"/>
        <v>2005</v>
      </c>
      <c r="B63" s="36">
        <f t="shared" si="9"/>
        <v>1</v>
      </c>
      <c r="C63" s="39">
        <v>38353</v>
      </c>
      <c r="D63" s="40" t="s">
        <v>35</v>
      </c>
      <c r="E63" s="37"/>
      <c r="F63" s="19">
        <v>239138</v>
      </c>
      <c r="G63" s="20"/>
      <c r="H63" s="15">
        <v>8607</v>
      </c>
      <c r="I63" s="16">
        <v>6884</v>
      </c>
      <c r="J63" s="16">
        <v>3523</v>
      </c>
      <c r="K63" s="16">
        <v>3362</v>
      </c>
      <c r="L63" s="16">
        <v>1185</v>
      </c>
      <c r="M63" s="17">
        <v>230502</v>
      </c>
      <c r="N63" s="16">
        <v>131325</v>
      </c>
      <c r="O63" s="16">
        <v>77229</v>
      </c>
      <c r="P63" s="16">
        <v>7830</v>
      </c>
      <c r="Q63" s="16">
        <v>17668</v>
      </c>
      <c r="R63" s="16">
        <v>20114</v>
      </c>
      <c r="S63" s="16">
        <v>3386</v>
      </c>
      <c r="T63" s="16">
        <v>5099</v>
      </c>
      <c r="U63" s="16">
        <v>1573</v>
      </c>
      <c r="V63" s="16">
        <v>16902</v>
      </c>
      <c r="W63" s="16">
        <v>15584</v>
      </c>
      <c r="X63" s="16">
        <v>3367</v>
      </c>
      <c r="Y63" s="16">
        <v>16885</v>
      </c>
      <c r="Z63" s="16">
        <v>16727</v>
      </c>
      <c r="AA63" s="16">
        <v>4338</v>
      </c>
      <c r="AB63" s="16">
        <v>4563</v>
      </c>
      <c r="AC63" s="16">
        <v>11238</v>
      </c>
      <c r="AD63" s="16">
        <v>12436</v>
      </c>
      <c r="AE63" s="16">
        <v>5673</v>
      </c>
      <c r="AF63" s="16">
        <v>492</v>
      </c>
      <c r="AG63" s="16">
        <v>2352</v>
      </c>
      <c r="AH63" s="16">
        <v>2800</v>
      </c>
      <c r="AI63" s="16">
        <v>11802</v>
      </c>
      <c r="AJ63" s="16">
        <v>6698</v>
      </c>
      <c r="AK63" s="16">
        <v>3754</v>
      </c>
      <c r="AL63" s="16">
        <v>5621</v>
      </c>
      <c r="AM63" s="18">
        <v>0</v>
      </c>
    </row>
    <row r="64" spans="1:52" ht="15.75" thickBot="1">
      <c r="A64" s="36">
        <f t="shared" si="0"/>
        <v>2005</v>
      </c>
      <c r="B64" s="36">
        <f t="shared" si="9"/>
        <v>2</v>
      </c>
      <c r="C64" s="39">
        <v>38384</v>
      </c>
      <c r="D64" s="40" t="s">
        <v>35</v>
      </c>
      <c r="E64" s="37"/>
      <c r="F64" s="19">
        <v>237422</v>
      </c>
      <c r="G64" s="20"/>
      <c r="H64" s="15">
        <v>16539</v>
      </c>
      <c r="I64" s="16">
        <v>11790</v>
      </c>
      <c r="J64" s="16">
        <v>8523</v>
      </c>
      <c r="K64" s="16">
        <v>3268</v>
      </c>
      <c r="L64" s="16">
        <v>4259</v>
      </c>
      <c r="M64" s="17">
        <v>220793</v>
      </c>
      <c r="N64" s="16">
        <v>112723</v>
      </c>
      <c r="O64" s="16">
        <v>65813</v>
      </c>
      <c r="P64" s="16">
        <v>5444</v>
      </c>
      <c r="Q64" s="16">
        <v>13192</v>
      </c>
      <c r="R64" s="16">
        <v>14932</v>
      </c>
      <c r="S64" s="16">
        <v>9852</v>
      </c>
      <c r="T64" s="16">
        <v>3491</v>
      </c>
      <c r="U64" s="16">
        <v>1540</v>
      </c>
      <c r="V64" s="16">
        <v>16051</v>
      </c>
      <c r="W64" s="16">
        <v>14742</v>
      </c>
      <c r="X64" s="16">
        <v>3646</v>
      </c>
      <c r="Y64" s="16">
        <v>18097</v>
      </c>
      <c r="Z64" s="16">
        <v>18020</v>
      </c>
      <c r="AA64" s="16">
        <v>10872</v>
      </c>
      <c r="AB64" s="16">
        <v>4219</v>
      </c>
      <c r="AC64" s="16">
        <v>11276</v>
      </c>
      <c r="AD64" s="16">
        <v>12566</v>
      </c>
      <c r="AE64" s="16">
        <v>5563</v>
      </c>
      <c r="AF64" s="16">
        <v>148</v>
      </c>
      <c r="AG64" s="16">
        <v>3733</v>
      </c>
      <c r="AH64" s="16">
        <v>1945</v>
      </c>
      <c r="AI64" s="16">
        <v>11790</v>
      </c>
      <c r="AJ64" s="16">
        <v>7723</v>
      </c>
      <c r="AK64" s="16">
        <v>4287</v>
      </c>
      <c r="AL64" s="16">
        <v>6000</v>
      </c>
      <c r="AM64" s="18">
        <v>0</v>
      </c>
    </row>
    <row r="65" spans="1:39" ht="15.75" thickBot="1">
      <c r="A65" s="36">
        <f t="shared" si="0"/>
        <v>2005</v>
      </c>
      <c r="B65" s="36">
        <f t="shared" si="9"/>
        <v>3</v>
      </c>
      <c r="C65" s="39">
        <v>38412</v>
      </c>
      <c r="D65" s="40" t="s">
        <v>35</v>
      </c>
      <c r="E65" s="37"/>
      <c r="F65" s="19">
        <v>238092</v>
      </c>
      <c r="G65" s="20"/>
      <c r="H65" s="15">
        <v>16966</v>
      </c>
      <c r="I65" s="16">
        <v>9324</v>
      </c>
      <c r="J65" s="16">
        <v>5985</v>
      </c>
      <c r="K65" s="16">
        <v>3339</v>
      </c>
      <c r="L65" s="16">
        <v>6962</v>
      </c>
      <c r="M65" s="17">
        <v>221062</v>
      </c>
      <c r="N65" s="16">
        <v>120493</v>
      </c>
      <c r="O65" s="16">
        <v>61917</v>
      </c>
      <c r="P65" s="16">
        <v>10764</v>
      </c>
      <c r="Q65" s="16">
        <v>15390</v>
      </c>
      <c r="R65" s="16">
        <v>21982</v>
      </c>
      <c r="S65" s="16">
        <v>5529</v>
      </c>
      <c r="T65" s="16">
        <v>4912</v>
      </c>
      <c r="U65" s="16">
        <v>1517</v>
      </c>
      <c r="V65" s="16">
        <v>18263</v>
      </c>
      <c r="W65" s="16">
        <v>15926</v>
      </c>
      <c r="X65" s="16">
        <v>3813</v>
      </c>
      <c r="Y65" s="16">
        <v>21392</v>
      </c>
      <c r="Z65" s="16">
        <v>21241</v>
      </c>
      <c r="AA65" s="16">
        <v>2297</v>
      </c>
      <c r="AB65" s="16">
        <v>6487</v>
      </c>
      <c r="AC65" s="16">
        <v>291</v>
      </c>
      <c r="AD65" s="16">
        <v>13504</v>
      </c>
      <c r="AE65" s="16">
        <v>6308</v>
      </c>
      <c r="AF65" s="16">
        <v>392</v>
      </c>
      <c r="AG65" s="16">
        <v>3176</v>
      </c>
      <c r="AH65" s="16">
        <v>2481</v>
      </c>
      <c r="AI65" s="16">
        <v>11928</v>
      </c>
      <c r="AJ65" s="16">
        <v>8782</v>
      </c>
      <c r="AK65" s="16">
        <v>5349</v>
      </c>
      <c r="AL65" s="16">
        <v>6948</v>
      </c>
      <c r="AM65" s="18">
        <v>0</v>
      </c>
    </row>
    <row r="66" spans="1:39" ht="15.75" thickBot="1">
      <c r="A66" s="36">
        <f t="shared" si="0"/>
        <v>2005</v>
      </c>
      <c r="B66" s="36">
        <f t="shared" si="9"/>
        <v>4</v>
      </c>
      <c r="C66" s="39">
        <v>38443</v>
      </c>
      <c r="D66" s="40" t="s">
        <v>35</v>
      </c>
      <c r="E66" s="37"/>
      <c r="F66" s="19">
        <v>279658</v>
      </c>
      <c r="G66" s="20"/>
      <c r="H66" s="15">
        <v>31816</v>
      </c>
      <c r="I66" s="16">
        <v>29739</v>
      </c>
      <c r="J66" s="16">
        <v>27177</v>
      </c>
      <c r="K66" s="16">
        <v>2562</v>
      </c>
      <c r="L66" s="16">
        <v>1266</v>
      </c>
      <c r="M66" s="17">
        <v>247608</v>
      </c>
      <c r="N66" s="16">
        <v>123256</v>
      </c>
      <c r="O66" s="16">
        <v>73299</v>
      </c>
      <c r="P66" s="16">
        <v>12203</v>
      </c>
      <c r="Q66" s="16">
        <v>24136</v>
      </c>
      <c r="R66" s="16">
        <v>6626</v>
      </c>
      <c r="S66" s="16">
        <v>3715</v>
      </c>
      <c r="T66" s="16">
        <v>3277</v>
      </c>
      <c r="U66" s="16">
        <v>2332</v>
      </c>
      <c r="V66" s="16">
        <v>19647</v>
      </c>
      <c r="W66" s="16">
        <v>17502</v>
      </c>
      <c r="X66" s="16">
        <v>6658</v>
      </c>
      <c r="Y66" s="16">
        <v>21916</v>
      </c>
      <c r="Z66" s="16">
        <v>21812</v>
      </c>
      <c r="AA66" s="16">
        <v>8528</v>
      </c>
      <c r="AB66" s="16">
        <v>4975</v>
      </c>
      <c r="AC66" s="16">
        <v>10899</v>
      </c>
      <c r="AD66" s="16">
        <v>14147</v>
      </c>
      <c r="AE66" s="16">
        <v>6068</v>
      </c>
      <c r="AF66" s="16">
        <v>383</v>
      </c>
      <c r="AG66" s="16">
        <v>4022</v>
      </c>
      <c r="AH66" s="16">
        <v>2087</v>
      </c>
      <c r="AI66" s="16">
        <v>11083</v>
      </c>
      <c r="AJ66" s="16">
        <v>10173</v>
      </c>
      <c r="AK66" s="16">
        <v>6708</v>
      </c>
      <c r="AL66" s="16">
        <v>7287</v>
      </c>
      <c r="AM66" s="18">
        <v>0</v>
      </c>
    </row>
    <row r="67" spans="1:39" ht="15.75" thickBot="1">
      <c r="A67" s="36">
        <f t="shared" si="0"/>
        <v>2005</v>
      </c>
      <c r="B67" s="36">
        <f t="shared" si="9"/>
        <v>5</v>
      </c>
      <c r="C67" s="39">
        <v>38473</v>
      </c>
      <c r="D67" s="40" t="s">
        <v>35</v>
      </c>
      <c r="E67" s="37"/>
      <c r="F67" s="19">
        <v>333261</v>
      </c>
      <c r="G67" s="20"/>
      <c r="H67" s="15">
        <v>62459</v>
      </c>
      <c r="I67" s="16">
        <v>55362</v>
      </c>
      <c r="J67" s="16">
        <v>52778</v>
      </c>
      <c r="K67" s="16">
        <v>2584</v>
      </c>
      <c r="L67" s="16">
        <v>6117</v>
      </c>
      <c r="M67" s="17">
        <v>269535</v>
      </c>
      <c r="N67" s="16">
        <v>133595</v>
      </c>
      <c r="O67" s="16">
        <v>76858</v>
      </c>
      <c r="P67" s="16">
        <v>13192</v>
      </c>
      <c r="Q67" s="16">
        <v>18939</v>
      </c>
      <c r="R67" s="16">
        <v>16777</v>
      </c>
      <c r="S67" s="16">
        <v>4231</v>
      </c>
      <c r="T67" s="16">
        <v>3599</v>
      </c>
      <c r="U67" s="16">
        <v>1833</v>
      </c>
      <c r="V67" s="16">
        <v>19958</v>
      </c>
      <c r="W67" s="16">
        <v>17721</v>
      </c>
      <c r="X67" s="16">
        <v>4565</v>
      </c>
      <c r="Y67" s="16">
        <v>22285</v>
      </c>
      <c r="Z67" s="16">
        <v>22062</v>
      </c>
      <c r="AA67" s="16">
        <v>7558</v>
      </c>
      <c r="AB67" s="16">
        <v>6735</v>
      </c>
      <c r="AC67" s="16">
        <v>22054</v>
      </c>
      <c r="AD67" s="16">
        <v>15287</v>
      </c>
      <c r="AE67" s="16">
        <v>5705</v>
      </c>
      <c r="AF67" s="16">
        <v>718</v>
      </c>
      <c r="AG67" s="16">
        <v>4997</v>
      </c>
      <c r="AH67" s="16">
        <v>2476</v>
      </c>
      <c r="AI67" s="16">
        <v>10684</v>
      </c>
      <c r="AJ67" s="16">
        <v>10628</v>
      </c>
      <c r="AK67" s="16">
        <v>6622</v>
      </c>
      <c r="AL67" s="16">
        <v>7730</v>
      </c>
      <c r="AM67" s="18">
        <v>1095</v>
      </c>
    </row>
    <row r="68" spans="1:39" ht="15.75" thickBot="1">
      <c r="A68" s="36">
        <f t="shared" ref="A68:A131" si="45">YEAR(C68)</f>
        <v>2005</v>
      </c>
      <c r="B68" s="36">
        <f t="shared" ref="B68:B131" si="46">MONTH(C68)</f>
        <v>6</v>
      </c>
      <c r="C68" s="39">
        <v>38504</v>
      </c>
      <c r="D68" s="40" t="s">
        <v>35</v>
      </c>
      <c r="E68" s="37"/>
      <c r="F68" s="19">
        <v>289350</v>
      </c>
      <c r="G68" s="20"/>
      <c r="H68" s="15">
        <v>35574</v>
      </c>
      <c r="I68" s="16">
        <v>30925</v>
      </c>
      <c r="J68" s="16">
        <v>29157</v>
      </c>
      <c r="K68" s="16">
        <v>1768</v>
      </c>
      <c r="L68" s="16">
        <v>3716</v>
      </c>
      <c r="M68" s="17">
        <v>251082</v>
      </c>
      <c r="N68" s="16">
        <v>131306</v>
      </c>
      <c r="O68" s="16">
        <v>74375</v>
      </c>
      <c r="P68" s="16">
        <v>13549</v>
      </c>
      <c r="Q68" s="16">
        <v>24108</v>
      </c>
      <c r="R68" s="16">
        <v>11287</v>
      </c>
      <c r="S68" s="16">
        <v>4867</v>
      </c>
      <c r="T68" s="16">
        <v>3121</v>
      </c>
      <c r="U68" s="16">
        <v>2560</v>
      </c>
      <c r="V68" s="16">
        <v>17847</v>
      </c>
      <c r="W68" s="16">
        <v>15707</v>
      </c>
      <c r="X68" s="16">
        <v>6478</v>
      </c>
      <c r="Y68" s="16">
        <v>21159</v>
      </c>
      <c r="Z68" s="16">
        <v>21000</v>
      </c>
      <c r="AA68" s="16">
        <v>4515</v>
      </c>
      <c r="AB68" s="16">
        <v>5459</v>
      </c>
      <c r="AC68" s="16">
        <v>12090</v>
      </c>
      <c r="AD68" s="16">
        <v>17493</v>
      </c>
      <c r="AE68" s="16">
        <v>6147</v>
      </c>
      <c r="AF68" s="16">
        <v>1998</v>
      </c>
      <c r="AG68" s="16">
        <v>4589</v>
      </c>
      <c r="AH68" s="16">
        <v>3248</v>
      </c>
      <c r="AI68" s="16">
        <v>10130</v>
      </c>
      <c r="AJ68" s="16">
        <v>9457</v>
      </c>
      <c r="AK68" s="16">
        <v>5905</v>
      </c>
      <c r="AL68" s="16">
        <v>6683</v>
      </c>
      <c r="AM68" s="18">
        <v>2685</v>
      </c>
    </row>
    <row r="69" spans="1:39" ht="15.75" thickBot="1">
      <c r="A69" s="36">
        <f t="shared" si="45"/>
        <v>2005</v>
      </c>
      <c r="B69" s="36">
        <f t="shared" si="46"/>
        <v>7</v>
      </c>
      <c r="C69" s="39">
        <v>38534</v>
      </c>
      <c r="D69" s="40" t="s">
        <v>35</v>
      </c>
      <c r="E69" s="37"/>
      <c r="F69" s="19">
        <v>293285</v>
      </c>
      <c r="G69" s="20"/>
      <c r="H69" s="15">
        <v>49614</v>
      </c>
      <c r="I69" s="16">
        <v>43904</v>
      </c>
      <c r="J69" s="16">
        <v>41654</v>
      </c>
      <c r="K69" s="16">
        <v>2250</v>
      </c>
      <c r="L69" s="16">
        <v>4718</v>
      </c>
      <c r="M69" s="17">
        <v>240255</v>
      </c>
      <c r="N69" s="16">
        <v>128804</v>
      </c>
      <c r="O69" s="16">
        <v>66549</v>
      </c>
      <c r="P69" s="16">
        <v>14287</v>
      </c>
      <c r="Q69" s="16">
        <v>17244</v>
      </c>
      <c r="R69" s="16">
        <v>18334</v>
      </c>
      <c r="S69" s="16">
        <v>8433</v>
      </c>
      <c r="T69" s="16">
        <v>3956</v>
      </c>
      <c r="U69" s="16">
        <v>1600</v>
      </c>
      <c r="V69" s="16">
        <v>14713</v>
      </c>
      <c r="W69" s="16">
        <v>11569</v>
      </c>
      <c r="X69" s="16">
        <v>7305</v>
      </c>
      <c r="Y69" s="16">
        <v>18935</v>
      </c>
      <c r="Z69" s="16">
        <v>18778</v>
      </c>
      <c r="AA69" s="16">
        <v>6762</v>
      </c>
      <c r="AB69" s="16">
        <v>5395</v>
      </c>
      <c r="AC69" s="16">
        <v>9925</v>
      </c>
      <c r="AD69" s="16">
        <v>15637</v>
      </c>
      <c r="AE69" s="16">
        <v>5504</v>
      </c>
      <c r="AF69" s="16">
        <v>1663</v>
      </c>
      <c r="AG69" s="16">
        <v>4864</v>
      </c>
      <c r="AH69" s="16">
        <v>2294</v>
      </c>
      <c r="AI69" s="16">
        <v>9065</v>
      </c>
      <c r="AJ69" s="16">
        <v>9364</v>
      </c>
      <c r="AK69" s="16">
        <v>5275</v>
      </c>
      <c r="AL69" s="16">
        <v>7475</v>
      </c>
      <c r="AM69" s="18">
        <v>3195</v>
      </c>
    </row>
    <row r="70" spans="1:39" ht="15.75" thickBot="1">
      <c r="A70" s="36">
        <f t="shared" si="45"/>
        <v>2005</v>
      </c>
      <c r="B70" s="36">
        <f t="shared" si="46"/>
        <v>8</v>
      </c>
      <c r="C70" s="39">
        <v>38565</v>
      </c>
      <c r="D70" s="40" t="s">
        <v>35</v>
      </c>
      <c r="E70" s="37"/>
      <c r="F70" s="19">
        <v>289908</v>
      </c>
      <c r="G70" s="20"/>
      <c r="H70" s="15">
        <v>29250</v>
      </c>
      <c r="I70" s="16">
        <v>22858</v>
      </c>
      <c r="J70" s="16">
        <v>18017</v>
      </c>
      <c r="K70" s="16">
        <v>4841</v>
      </c>
      <c r="L70" s="16">
        <v>5118</v>
      </c>
      <c r="M70" s="17">
        <v>260261</v>
      </c>
      <c r="N70" s="16">
        <v>127089</v>
      </c>
      <c r="O70" s="16">
        <v>63829</v>
      </c>
      <c r="P70" s="16">
        <v>10805</v>
      </c>
      <c r="Q70" s="16">
        <v>20286</v>
      </c>
      <c r="R70" s="16">
        <v>19147</v>
      </c>
      <c r="S70" s="16">
        <v>8431</v>
      </c>
      <c r="T70" s="16">
        <v>4592</v>
      </c>
      <c r="U70" s="16">
        <v>1439</v>
      </c>
      <c r="V70" s="16">
        <v>15912</v>
      </c>
      <c r="W70" s="16">
        <v>13412</v>
      </c>
      <c r="X70" s="16">
        <v>8435</v>
      </c>
      <c r="Y70" s="16">
        <v>22626</v>
      </c>
      <c r="Z70" s="16">
        <v>22366</v>
      </c>
      <c r="AA70" s="16">
        <v>6609</v>
      </c>
      <c r="AB70" s="16">
        <v>6078</v>
      </c>
      <c r="AC70" s="16">
        <v>20109</v>
      </c>
      <c r="AD70" s="16">
        <v>17667</v>
      </c>
      <c r="AE70" s="16">
        <v>5556</v>
      </c>
      <c r="AF70" s="16">
        <v>2486</v>
      </c>
      <c r="AG70" s="16">
        <v>5114</v>
      </c>
      <c r="AH70" s="16">
        <v>3314</v>
      </c>
      <c r="AI70" s="16">
        <v>9770</v>
      </c>
      <c r="AJ70" s="16">
        <v>10683</v>
      </c>
      <c r="AK70" s="16">
        <v>5916</v>
      </c>
      <c r="AL70" s="16">
        <v>7928</v>
      </c>
      <c r="AM70" s="18">
        <v>336</v>
      </c>
    </row>
    <row r="71" spans="1:39" ht="15.75" thickBot="1">
      <c r="A71" s="36">
        <f t="shared" si="45"/>
        <v>2005</v>
      </c>
      <c r="B71" s="36">
        <f t="shared" si="46"/>
        <v>9</v>
      </c>
      <c r="C71" s="39">
        <v>38596</v>
      </c>
      <c r="D71" s="40" t="s">
        <v>35</v>
      </c>
      <c r="E71" s="37"/>
      <c r="F71" s="19">
        <v>300900</v>
      </c>
      <c r="G71" s="20"/>
      <c r="H71" s="15">
        <v>29417</v>
      </c>
      <c r="I71" s="16">
        <v>22797</v>
      </c>
      <c r="J71" s="16">
        <v>22334</v>
      </c>
      <c r="K71" s="16">
        <v>463</v>
      </c>
      <c r="L71" s="16">
        <v>5459</v>
      </c>
      <c r="M71" s="17">
        <v>269729</v>
      </c>
      <c r="N71" s="16">
        <v>137017</v>
      </c>
      <c r="O71" s="16">
        <v>72219</v>
      </c>
      <c r="P71" s="16">
        <v>12534</v>
      </c>
      <c r="Q71" s="16">
        <v>27082</v>
      </c>
      <c r="R71" s="16">
        <v>15613</v>
      </c>
      <c r="S71" s="16">
        <v>5010</v>
      </c>
      <c r="T71" s="16">
        <v>4560</v>
      </c>
      <c r="U71" s="16">
        <v>1659</v>
      </c>
      <c r="V71" s="16">
        <v>17125</v>
      </c>
      <c r="W71" s="16">
        <v>14180</v>
      </c>
      <c r="X71" s="16">
        <v>7924</v>
      </c>
      <c r="Y71" s="16">
        <v>20541</v>
      </c>
      <c r="Z71" s="16">
        <v>20296</v>
      </c>
      <c r="AA71" s="16">
        <v>4226</v>
      </c>
      <c r="AB71" s="16">
        <v>5891</v>
      </c>
      <c r="AC71" s="16">
        <v>23232</v>
      </c>
      <c r="AD71" s="16">
        <v>15625</v>
      </c>
      <c r="AE71" s="16">
        <v>5402</v>
      </c>
      <c r="AF71" s="16">
        <v>1928</v>
      </c>
      <c r="AG71" s="16">
        <v>4419</v>
      </c>
      <c r="AH71" s="16">
        <v>2564</v>
      </c>
      <c r="AI71" s="16">
        <v>12142</v>
      </c>
      <c r="AJ71" s="16">
        <v>9080</v>
      </c>
      <c r="AK71" s="16">
        <v>5955</v>
      </c>
      <c r="AL71" s="16">
        <v>9314</v>
      </c>
      <c r="AM71" s="18">
        <v>1725</v>
      </c>
    </row>
    <row r="72" spans="1:39" ht="15.75" thickBot="1">
      <c r="A72" s="36">
        <f t="shared" si="45"/>
        <v>2005</v>
      </c>
      <c r="B72" s="36">
        <f t="shared" si="46"/>
        <v>10</v>
      </c>
      <c r="C72" s="39">
        <v>38626</v>
      </c>
      <c r="D72" s="40" t="s">
        <v>35</v>
      </c>
      <c r="E72" s="37"/>
      <c r="F72" s="19">
        <v>306009</v>
      </c>
      <c r="G72" s="20"/>
      <c r="H72" s="15">
        <v>19763</v>
      </c>
      <c r="I72" s="16">
        <v>10962</v>
      </c>
      <c r="J72" s="16">
        <v>9228</v>
      </c>
      <c r="K72" s="16">
        <v>1734</v>
      </c>
      <c r="L72" s="16">
        <v>7347</v>
      </c>
      <c r="M72" s="17">
        <v>284217</v>
      </c>
      <c r="N72" s="16">
        <v>156496</v>
      </c>
      <c r="O72" s="16">
        <v>83604</v>
      </c>
      <c r="P72" s="16">
        <v>15979</v>
      </c>
      <c r="Q72" s="16">
        <v>25968</v>
      </c>
      <c r="R72" s="16">
        <v>22518</v>
      </c>
      <c r="S72" s="16">
        <v>3698</v>
      </c>
      <c r="T72" s="16">
        <v>4728</v>
      </c>
      <c r="U72" s="16">
        <v>1363</v>
      </c>
      <c r="V72" s="16">
        <v>19392</v>
      </c>
      <c r="W72" s="16">
        <v>16740</v>
      </c>
      <c r="X72" s="16">
        <v>6444</v>
      </c>
      <c r="Y72" s="16">
        <v>21245</v>
      </c>
      <c r="Z72" s="16">
        <v>21002</v>
      </c>
      <c r="AA72" s="16">
        <v>11945</v>
      </c>
      <c r="AB72" s="16">
        <v>5764</v>
      </c>
      <c r="AC72" s="16">
        <v>5947</v>
      </c>
      <c r="AD72" s="16">
        <v>16969</v>
      </c>
      <c r="AE72" s="16">
        <v>5717</v>
      </c>
      <c r="AF72" s="16">
        <v>1184</v>
      </c>
      <c r="AG72" s="16">
        <v>5443</v>
      </c>
      <c r="AH72" s="16">
        <v>3335</v>
      </c>
      <c r="AI72" s="16">
        <v>13591</v>
      </c>
      <c r="AJ72" s="16">
        <v>9270</v>
      </c>
      <c r="AK72" s="16">
        <v>5500</v>
      </c>
      <c r="AL72" s="16">
        <v>10292</v>
      </c>
      <c r="AM72" s="18">
        <v>1924</v>
      </c>
    </row>
    <row r="73" spans="1:39" ht="15.75" thickBot="1">
      <c r="A73" s="36">
        <f t="shared" si="45"/>
        <v>2005</v>
      </c>
      <c r="B73" s="36">
        <f t="shared" si="46"/>
        <v>11</v>
      </c>
      <c r="C73" s="39">
        <v>38657</v>
      </c>
      <c r="D73" s="40" t="s">
        <v>35</v>
      </c>
      <c r="E73" s="37"/>
      <c r="F73" s="19">
        <v>294064</v>
      </c>
      <c r="G73" s="20"/>
      <c r="H73" s="15">
        <v>16804</v>
      </c>
      <c r="I73" s="16">
        <v>11334</v>
      </c>
      <c r="J73" s="16">
        <v>3877</v>
      </c>
      <c r="K73" s="16">
        <v>7457</v>
      </c>
      <c r="L73" s="16">
        <v>4370</v>
      </c>
      <c r="M73" s="17">
        <v>277117</v>
      </c>
      <c r="N73" s="16">
        <v>156582</v>
      </c>
      <c r="O73" s="16">
        <v>89229</v>
      </c>
      <c r="P73" s="16">
        <v>10669</v>
      </c>
      <c r="Q73" s="16">
        <v>22062</v>
      </c>
      <c r="R73" s="16">
        <v>16287</v>
      </c>
      <c r="S73" s="16">
        <v>9840</v>
      </c>
      <c r="T73" s="16">
        <v>8495</v>
      </c>
      <c r="U73" s="16">
        <v>2001</v>
      </c>
      <c r="V73" s="16">
        <v>16717</v>
      </c>
      <c r="W73" s="16">
        <v>14617</v>
      </c>
      <c r="X73" s="16">
        <v>4694</v>
      </c>
      <c r="Y73" s="16">
        <v>19554</v>
      </c>
      <c r="Z73" s="16">
        <v>19193</v>
      </c>
      <c r="AA73" s="16">
        <v>4799</v>
      </c>
      <c r="AB73" s="16">
        <v>5908</v>
      </c>
      <c r="AC73" s="16">
        <v>8746</v>
      </c>
      <c r="AD73" s="16">
        <v>17098</v>
      </c>
      <c r="AE73" s="16">
        <v>5506</v>
      </c>
      <c r="AF73" s="16">
        <v>1828</v>
      </c>
      <c r="AG73" s="16">
        <v>5413</v>
      </c>
      <c r="AH73" s="16">
        <v>3081</v>
      </c>
      <c r="AI73" s="16">
        <v>14109</v>
      </c>
      <c r="AJ73" s="16">
        <v>9963</v>
      </c>
      <c r="AK73" s="16">
        <v>7315</v>
      </c>
      <c r="AL73" s="16">
        <v>9629</v>
      </c>
      <c r="AM73" s="18">
        <v>113</v>
      </c>
    </row>
    <row r="74" spans="1:39" ht="15.75" thickBot="1">
      <c r="A74" s="36">
        <f t="shared" si="45"/>
        <v>2005</v>
      </c>
      <c r="B74" s="36">
        <f t="shared" si="46"/>
        <v>12</v>
      </c>
      <c r="C74" s="39">
        <v>38687</v>
      </c>
      <c r="D74" s="40" t="s">
        <v>35</v>
      </c>
      <c r="E74" s="37"/>
      <c r="F74" s="19">
        <v>320806</v>
      </c>
      <c r="G74" s="20"/>
      <c r="H74" s="15">
        <v>21318</v>
      </c>
      <c r="I74" s="16">
        <v>14256</v>
      </c>
      <c r="J74" s="16">
        <v>2261</v>
      </c>
      <c r="K74" s="16">
        <v>11995</v>
      </c>
      <c r="L74" s="16">
        <v>5867</v>
      </c>
      <c r="M74" s="17">
        <v>299338</v>
      </c>
      <c r="N74" s="16">
        <v>160223</v>
      </c>
      <c r="O74" s="16">
        <v>99377</v>
      </c>
      <c r="P74" s="16">
        <v>10552</v>
      </c>
      <c r="Q74" s="16">
        <v>20060</v>
      </c>
      <c r="R74" s="16">
        <v>15527</v>
      </c>
      <c r="S74" s="16">
        <v>7574</v>
      </c>
      <c r="T74" s="16">
        <v>7132</v>
      </c>
      <c r="U74" s="16">
        <v>2475</v>
      </c>
      <c r="V74" s="16">
        <v>16124</v>
      </c>
      <c r="W74" s="16">
        <v>14418</v>
      </c>
      <c r="X74" s="16">
        <v>3616</v>
      </c>
      <c r="Y74" s="16">
        <v>23218</v>
      </c>
      <c r="Z74" s="16">
        <v>22949</v>
      </c>
      <c r="AA74" s="16">
        <v>13449</v>
      </c>
      <c r="AB74" s="16">
        <v>6919</v>
      </c>
      <c r="AC74" s="16">
        <v>14854</v>
      </c>
      <c r="AD74" s="16">
        <v>17015</v>
      </c>
      <c r="AE74" s="16">
        <v>6007</v>
      </c>
      <c r="AF74" s="16">
        <v>1850</v>
      </c>
      <c r="AG74" s="16">
        <v>4560</v>
      </c>
      <c r="AH74" s="16">
        <v>3180</v>
      </c>
      <c r="AI74" s="16">
        <v>13159</v>
      </c>
      <c r="AJ74" s="16">
        <v>10028</v>
      </c>
      <c r="AK74" s="16">
        <v>7792</v>
      </c>
      <c r="AL74" s="16">
        <v>10466</v>
      </c>
      <c r="AM74" s="18">
        <v>26</v>
      </c>
    </row>
    <row r="75" spans="1:39" ht="15.75" thickBot="1">
      <c r="A75" s="36">
        <f t="shared" si="45"/>
        <v>2006</v>
      </c>
      <c r="B75" s="36">
        <f t="shared" si="46"/>
        <v>1</v>
      </c>
      <c r="C75" s="39">
        <v>38718</v>
      </c>
      <c r="D75" s="40" t="s">
        <v>35</v>
      </c>
      <c r="E75" s="37"/>
      <c r="F75" s="19">
        <v>278597</v>
      </c>
      <c r="G75" s="20"/>
      <c r="H75" s="15">
        <v>16589</v>
      </c>
      <c r="I75" s="16">
        <v>9885</v>
      </c>
      <c r="J75" s="16">
        <v>531</v>
      </c>
      <c r="K75" s="16">
        <v>9354</v>
      </c>
      <c r="L75" s="16">
        <v>6071</v>
      </c>
      <c r="M75" s="17">
        <v>261764</v>
      </c>
      <c r="N75" s="16">
        <v>149609</v>
      </c>
      <c r="O75" s="16">
        <v>93013</v>
      </c>
      <c r="P75" s="16">
        <v>7122</v>
      </c>
      <c r="Q75" s="16">
        <v>15308</v>
      </c>
      <c r="R75" s="16">
        <v>22095</v>
      </c>
      <c r="S75" s="16">
        <v>6832</v>
      </c>
      <c r="T75" s="16">
        <v>5239</v>
      </c>
      <c r="U75" s="16">
        <v>1125</v>
      </c>
      <c r="V75" s="16">
        <v>12519</v>
      </c>
      <c r="W75" s="16">
        <v>11399</v>
      </c>
      <c r="X75" s="16">
        <v>2873</v>
      </c>
      <c r="Y75" s="16">
        <v>19065</v>
      </c>
      <c r="Z75" s="16">
        <v>18806</v>
      </c>
      <c r="AA75" s="16">
        <v>6234</v>
      </c>
      <c r="AB75" s="16">
        <v>5230</v>
      </c>
      <c r="AC75" s="16">
        <v>16430</v>
      </c>
      <c r="AD75" s="16">
        <v>13867</v>
      </c>
      <c r="AE75" s="16">
        <v>5079</v>
      </c>
      <c r="AF75" s="16">
        <v>852</v>
      </c>
      <c r="AG75" s="16">
        <v>4131</v>
      </c>
      <c r="AH75" s="16">
        <v>2441</v>
      </c>
      <c r="AI75" s="16">
        <v>14634</v>
      </c>
      <c r="AJ75" s="16">
        <v>8852</v>
      </c>
      <c r="AK75" s="16">
        <v>5243</v>
      </c>
      <c r="AL75" s="16">
        <v>6083</v>
      </c>
      <c r="AM75" s="18">
        <v>0</v>
      </c>
    </row>
    <row r="76" spans="1:39" ht="15.75" thickBot="1">
      <c r="A76" s="36">
        <f t="shared" si="45"/>
        <v>2006</v>
      </c>
      <c r="B76" s="36">
        <f t="shared" si="46"/>
        <v>2</v>
      </c>
      <c r="C76" s="39">
        <v>38749</v>
      </c>
      <c r="D76" s="40" t="s">
        <v>35</v>
      </c>
      <c r="E76" s="37"/>
      <c r="F76" s="19">
        <v>244561</v>
      </c>
      <c r="G76" s="20"/>
      <c r="H76" s="15">
        <v>15268</v>
      </c>
      <c r="I76" s="16">
        <v>9326</v>
      </c>
      <c r="J76" s="16">
        <v>4060</v>
      </c>
      <c r="K76" s="16">
        <v>5266</v>
      </c>
      <c r="L76" s="16">
        <v>5219</v>
      </c>
      <c r="M76" s="17">
        <v>229193</v>
      </c>
      <c r="N76" s="16">
        <v>119765</v>
      </c>
      <c r="O76" s="16">
        <v>75217</v>
      </c>
      <c r="P76" s="16">
        <v>12779</v>
      </c>
      <c r="Q76" s="16">
        <v>11654</v>
      </c>
      <c r="R76" s="16">
        <v>12136</v>
      </c>
      <c r="S76" s="16">
        <v>5340</v>
      </c>
      <c r="T76" s="16">
        <v>2639</v>
      </c>
      <c r="U76" s="16">
        <v>1556</v>
      </c>
      <c r="V76" s="16">
        <v>17049</v>
      </c>
      <c r="W76" s="16">
        <v>15264</v>
      </c>
      <c r="X76" s="16">
        <v>3583</v>
      </c>
      <c r="Y76" s="16">
        <v>22381</v>
      </c>
      <c r="Z76" s="16">
        <v>22061</v>
      </c>
      <c r="AA76" s="16">
        <v>7162</v>
      </c>
      <c r="AB76" s="16">
        <v>4854</v>
      </c>
      <c r="AC76" s="16">
        <v>3118</v>
      </c>
      <c r="AD76" s="16">
        <v>14195</v>
      </c>
      <c r="AE76" s="16">
        <v>6668</v>
      </c>
      <c r="AF76" s="16">
        <v>563</v>
      </c>
      <c r="AG76" s="16">
        <v>3673</v>
      </c>
      <c r="AH76" s="16">
        <v>2289</v>
      </c>
      <c r="AI76" s="16">
        <v>13150</v>
      </c>
      <c r="AJ76" s="16">
        <v>7495</v>
      </c>
      <c r="AK76" s="16">
        <v>7331</v>
      </c>
      <c r="AL76" s="16">
        <v>7554</v>
      </c>
      <c r="AM76" s="18">
        <v>30</v>
      </c>
    </row>
    <row r="77" spans="1:39" ht="15.75" thickBot="1">
      <c r="A77" s="36">
        <f t="shared" si="45"/>
        <v>2006</v>
      </c>
      <c r="B77" s="36">
        <f t="shared" si="46"/>
        <v>3</v>
      </c>
      <c r="C77" s="39">
        <v>38777</v>
      </c>
      <c r="D77" s="40" t="s">
        <v>35</v>
      </c>
      <c r="E77" s="37"/>
      <c r="F77" s="19">
        <v>317677</v>
      </c>
      <c r="G77" s="20"/>
      <c r="H77" s="15">
        <v>17853</v>
      </c>
      <c r="I77" s="16">
        <v>11785</v>
      </c>
      <c r="J77" s="16">
        <v>3851</v>
      </c>
      <c r="K77" s="16">
        <v>7934</v>
      </c>
      <c r="L77" s="16">
        <v>4802</v>
      </c>
      <c r="M77" s="17">
        <v>299637</v>
      </c>
      <c r="N77" s="16">
        <v>146669</v>
      </c>
      <c r="O77" s="16">
        <v>89637</v>
      </c>
      <c r="P77" s="16">
        <v>16581</v>
      </c>
      <c r="Q77" s="16">
        <v>19798</v>
      </c>
      <c r="R77" s="16">
        <v>9765</v>
      </c>
      <c r="S77" s="16">
        <v>6552</v>
      </c>
      <c r="T77" s="16">
        <v>4335</v>
      </c>
      <c r="U77" s="16">
        <v>2514</v>
      </c>
      <c r="V77" s="16">
        <v>18267</v>
      </c>
      <c r="W77" s="16">
        <v>16287</v>
      </c>
      <c r="X77" s="16">
        <v>4634</v>
      </c>
      <c r="Y77" s="16">
        <v>21985</v>
      </c>
      <c r="Z77" s="16">
        <v>21789</v>
      </c>
      <c r="AA77" s="16">
        <v>8996</v>
      </c>
      <c r="AB77" s="16">
        <v>5496</v>
      </c>
      <c r="AC77" s="16">
        <v>30376</v>
      </c>
      <c r="AD77" s="16">
        <v>16874</v>
      </c>
      <c r="AE77" s="16">
        <v>7087</v>
      </c>
      <c r="AF77" s="16">
        <v>940</v>
      </c>
      <c r="AG77" s="16">
        <v>4724</v>
      </c>
      <c r="AH77" s="16">
        <v>2950</v>
      </c>
      <c r="AI77" s="16">
        <v>15462</v>
      </c>
      <c r="AJ77" s="16">
        <v>13192</v>
      </c>
      <c r="AK77" s="16">
        <v>9412</v>
      </c>
      <c r="AL77" s="16">
        <v>5760</v>
      </c>
      <c r="AM77" s="18">
        <v>0</v>
      </c>
    </row>
    <row r="78" spans="1:39" ht="15.75" thickBot="1">
      <c r="A78" s="36">
        <f t="shared" si="45"/>
        <v>2006</v>
      </c>
      <c r="B78" s="36">
        <f t="shared" si="46"/>
        <v>4</v>
      </c>
      <c r="C78" s="39">
        <v>38808</v>
      </c>
      <c r="D78" s="40" t="s">
        <v>35</v>
      </c>
      <c r="E78" s="37"/>
      <c r="F78" s="19">
        <v>302502</v>
      </c>
      <c r="G78" s="20"/>
      <c r="H78" s="15">
        <v>37696</v>
      </c>
      <c r="I78" s="16">
        <v>31348</v>
      </c>
      <c r="J78" s="16">
        <v>24035</v>
      </c>
      <c r="K78" s="16">
        <v>7313</v>
      </c>
      <c r="L78" s="16">
        <v>5007</v>
      </c>
      <c r="M78" s="17">
        <v>264769</v>
      </c>
      <c r="N78" s="16">
        <v>143861</v>
      </c>
      <c r="O78" s="16">
        <v>96942</v>
      </c>
      <c r="P78" s="16">
        <v>11219</v>
      </c>
      <c r="Q78" s="16">
        <v>16285</v>
      </c>
      <c r="R78" s="16">
        <v>7182</v>
      </c>
      <c r="S78" s="16">
        <v>8706</v>
      </c>
      <c r="T78" s="16">
        <v>3527</v>
      </c>
      <c r="U78" s="16">
        <v>1395</v>
      </c>
      <c r="V78" s="16">
        <v>18223</v>
      </c>
      <c r="W78" s="16">
        <v>15989</v>
      </c>
      <c r="X78" s="16">
        <v>5297</v>
      </c>
      <c r="Y78" s="16">
        <v>25094</v>
      </c>
      <c r="Z78" s="16">
        <v>24859</v>
      </c>
      <c r="AA78" s="16">
        <v>7826</v>
      </c>
      <c r="AB78" s="16">
        <v>4033</v>
      </c>
      <c r="AC78" s="16">
        <v>9173</v>
      </c>
      <c r="AD78" s="16">
        <v>14702</v>
      </c>
      <c r="AE78" s="16">
        <v>5600</v>
      </c>
      <c r="AF78" s="16">
        <v>1028</v>
      </c>
      <c r="AG78" s="16">
        <v>4551</v>
      </c>
      <c r="AH78" s="16">
        <v>2148</v>
      </c>
      <c r="AI78" s="16">
        <v>11761</v>
      </c>
      <c r="AJ78" s="16">
        <v>9974</v>
      </c>
      <c r="AK78" s="16">
        <v>9017</v>
      </c>
      <c r="AL78" s="16">
        <v>4413</v>
      </c>
      <c r="AM78" s="18">
        <v>0</v>
      </c>
    </row>
    <row r="79" spans="1:39" ht="15.75" thickBot="1">
      <c r="A79" s="36">
        <f t="shared" si="45"/>
        <v>2006</v>
      </c>
      <c r="B79" s="36">
        <f t="shared" si="46"/>
        <v>5</v>
      </c>
      <c r="C79" s="39">
        <v>38838</v>
      </c>
      <c r="D79" s="40" t="s">
        <v>35</v>
      </c>
      <c r="E79" s="37"/>
      <c r="F79" s="19">
        <v>372778</v>
      </c>
      <c r="G79" s="20"/>
      <c r="H79" s="15">
        <v>52911</v>
      </c>
      <c r="I79" s="16">
        <v>46972</v>
      </c>
      <c r="J79" s="16">
        <v>35543</v>
      </c>
      <c r="K79" s="16">
        <v>11429</v>
      </c>
      <c r="L79" s="16">
        <v>4943</v>
      </c>
      <c r="M79" s="17">
        <v>319507</v>
      </c>
      <c r="N79" s="16">
        <v>167701</v>
      </c>
      <c r="O79" s="16">
        <v>115344</v>
      </c>
      <c r="P79" s="16">
        <v>8676</v>
      </c>
      <c r="Q79" s="16">
        <v>16582</v>
      </c>
      <c r="R79" s="16">
        <v>18299</v>
      </c>
      <c r="S79" s="16">
        <v>4651</v>
      </c>
      <c r="T79" s="16">
        <v>4150</v>
      </c>
      <c r="U79" s="16">
        <v>1688</v>
      </c>
      <c r="V79" s="16">
        <v>18497</v>
      </c>
      <c r="W79" s="16">
        <v>15924</v>
      </c>
      <c r="X79" s="16">
        <v>4980</v>
      </c>
      <c r="Y79" s="16">
        <v>24416</v>
      </c>
      <c r="Z79" s="16">
        <v>24084</v>
      </c>
      <c r="AA79" s="16">
        <v>10848</v>
      </c>
      <c r="AB79" s="16">
        <v>5750</v>
      </c>
      <c r="AC79" s="16">
        <v>20569</v>
      </c>
      <c r="AD79" s="16">
        <v>17842</v>
      </c>
      <c r="AE79" s="16">
        <v>6212</v>
      </c>
      <c r="AF79" s="16">
        <v>1834</v>
      </c>
      <c r="AG79" s="16">
        <v>5103</v>
      </c>
      <c r="AH79" s="16">
        <v>3257</v>
      </c>
      <c r="AI79" s="16">
        <v>13624</v>
      </c>
      <c r="AJ79" s="16">
        <v>14009</v>
      </c>
      <c r="AK79" s="16">
        <v>12911</v>
      </c>
      <c r="AL79" s="16">
        <v>6670</v>
      </c>
      <c r="AM79" s="18">
        <v>0</v>
      </c>
    </row>
    <row r="80" spans="1:39" ht="15.75" thickBot="1">
      <c r="A80" s="36">
        <f t="shared" si="45"/>
        <v>2006</v>
      </c>
      <c r="B80" s="36">
        <f t="shared" si="46"/>
        <v>6</v>
      </c>
      <c r="C80" s="39">
        <v>38869</v>
      </c>
      <c r="D80" s="40" t="s">
        <v>35</v>
      </c>
      <c r="E80" s="37"/>
      <c r="F80" s="19">
        <v>374212</v>
      </c>
      <c r="G80" s="20"/>
      <c r="H80" s="15">
        <v>58316</v>
      </c>
      <c r="I80" s="16">
        <v>51095</v>
      </c>
      <c r="J80" s="16">
        <v>40053</v>
      </c>
      <c r="K80" s="16">
        <v>11042</v>
      </c>
      <c r="L80" s="16">
        <v>5564</v>
      </c>
      <c r="M80" s="17">
        <v>314680</v>
      </c>
      <c r="N80" s="16">
        <v>177656</v>
      </c>
      <c r="O80" s="16">
        <v>113499</v>
      </c>
      <c r="P80" s="16">
        <v>11774</v>
      </c>
      <c r="Q80" s="16">
        <v>16859</v>
      </c>
      <c r="R80" s="16">
        <v>25157</v>
      </c>
      <c r="S80" s="16">
        <v>4862</v>
      </c>
      <c r="T80" s="16">
        <v>5504</v>
      </c>
      <c r="U80" s="16">
        <v>2112</v>
      </c>
      <c r="V80" s="16">
        <v>19428</v>
      </c>
      <c r="W80" s="16">
        <v>16916</v>
      </c>
      <c r="X80" s="16">
        <v>5841</v>
      </c>
      <c r="Y80" s="16">
        <v>27260</v>
      </c>
      <c r="Z80" s="16">
        <v>27175</v>
      </c>
      <c r="AA80" s="16">
        <v>4538</v>
      </c>
      <c r="AB80" s="16">
        <v>6180</v>
      </c>
      <c r="AC80" s="16">
        <v>13824</v>
      </c>
      <c r="AD80" s="16">
        <v>18039</v>
      </c>
      <c r="AE80" s="16">
        <v>5502</v>
      </c>
      <c r="AF80" s="16">
        <v>978</v>
      </c>
      <c r="AG80" s="16">
        <v>6621</v>
      </c>
      <c r="AH80" s="16">
        <v>3659</v>
      </c>
      <c r="AI80" s="16">
        <v>12342</v>
      </c>
      <c r="AJ80" s="16">
        <v>10206</v>
      </c>
      <c r="AK80" s="16">
        <v>10795</v>
      </c>
      <c r="AL80" s="16">
        <v>6460</v>
      </c>
      <c r="AM80" s="18">
        <v>1157</v>
      </c>
    </row>
    <row r="81" spans="1:39" ht="15.75" thickBot="1">
      <c r="A81" s="36">
        <f t="shared" si="45"/>
        <v>2006</v>
      </c>
      <c r="B81" s="36">
        <f t="shared" si="46"/>
        <v>7</v>
      </c>
      <c r="C81" s="39">
        <v>38899</v>
      </c>
      <c r="D81" s="40" t="s">
        <v>35</v>
      </c>
      <c r="E81" s="37"/>
      <c r="F81" s="19">
        <v>336319</v>
      </c>
      <c r="G81" s="20"/>
      <c r="H81" s="15">
        <v>57705</v>
      </c>
      <c r="I81" s="16">
        <v>50482</v>
      </c>
      <c r="J81" s="16">
        <v>45408</v>
      </c>
      <c r="K81" s="16">
        <v>5074</v>
      </c>
      <c r="L81" s="16">
        <v>5639</v>
      </c>
      <c r="M81" s="17">
        <v>278477</v>
      </c>
      <c r="N81" s="16">
        <v>144629</v>
      </c>
      <c r="O81" s="16">
        <v>90817</v>
      </c>
      <c r="P81" s="16">
        <v>14352</v>
      </c>
      <c r="Q81" s="16">
        <v>20984</v>
      </c>
      <c r="R81" s="16">
        <v>10857</v>
      </c>
      <c r="S81" s="16">
        <v>2769</v>
      </c>
      <c r="T81" s="16">
        <v>4850</v>
      </c>
      <c r="U81" s="16">
        <v>1968</v>
      </c>
      <c r="V81" s="16">
        <v>16941</v>
      </c>
      <c r="W81" s="16">
        <v>14036</v>
      </c>
      <c r="X81" s="16">
        <v>7144</v>
      </c>
      <c r="Y81" s="16">
        <v>25014</v>
      </c>
      <c r="Z81" s="16">
        <v>24636</v>
      </c>
      <c r="AA81" s="16">
        <v>8886</v>
      </c>
      <c r="AB81" s="16">
        <v>6673</v>
      </c>
      <c r="AC81" s="16">
        <v>9505</v>
      </c>
      <c r="AD81" s="16">
        <v>15789</v>
      </c>
      <c r="AE81" s="16">
        <v>5955</v>
      </c>
      <c r="AF81" s="16">
        <v>834</v>
      </c>
      <c r="AG81" s="16">
        <v>4480</v>
      </c>
      <c r="AH81" s="16">
        <v>3037</v>
      </c>
      <c r="AI81" s="16">
        <v>15096</v>
      </c>
      <c r="AJ81" s="16">
        <v>13732</v>
      </c>
      <c r="AK81" s="16">
        <v>8154</v>
      </c>
      <c r="AL81" s="16">
        <v>4948</v>
      </c>
      <c r="AM81" s="18">
        <v>87</v>
      </c>
    </row>
    <row r="82" spans="1:39" ht="15.75" thickBot="1">
      <c r="A82" s="36">
        <f t="shared" si="45"/>
        <v>2006</v>
      </c>
      <c r="B82" s="36">
        <f t="shared" si="46"/>
        <v>8</v>
      </c>
      <c r="C82" s="39">
        <v>38930</v>
      </c>
      <c r="D82" s="40" t="s">
        <v>35</v>
      </c>
      <c r="E82" s="37"/>
      <c r="F82" s="19">
        <v>375759</v>
      </c>
      <c r="G82" s="20"/>
      <c r="H82" s="15">
        <v>59415</v>
      </c>
      <c r="I82" s="16">
        <v>50651</v>
      </c>
      <c r="J82" s="16">
        <v>47434</v>
      </c>
      <c r="K82" s="16">
        <v>3217</v>
      </c>
      <c r="L82" s="16">
        <v>7349</v>
      </c>
      <c r="M82" s="17">
        <v>316328</v>
      </c>
      <c r="N82" s="16">
        <v>153596</v>
      </c>
      <c r="O82" s="16">
        <v>84399</v>
      </c>
      <c r="P82" s="16">
        <v>13927</v>
      </c>
      <c r="Q82" s="16">
        <v>17127</v>
      </c>
      <c r="R82" s="16">
        <v>26440</v>
      </c>
      <c r="S82" s="16">
        <v>7644</v>
      </c>
      <c r="T82" s="16">
        <v>4058</v>
      </c>
      <c r="U82" s="16">
        <v>2102</v>
      </c>
      <c r="V82" s="16">
        <v>16220</v>
      </c>
      <c r="W82" s="16">
        <v>13275</v>
      </c>
      <c r="X82" s="16">
        <v>8868</v>
      </c>
      <c r="Y82" s="16">
        <v>27991</v>
      </c>
      <c r="Z82" s="16">
        <v>27495</v>
      </c>
      <c r="AA82" s="16">
        <v>13396</v>
      </c>
      <c r="AB82" s="16">
        <v>10636</v>
      </c>
      <c r="AC82" s="16">
        <v>19787</v>
      </c>
      <c r="AD82" s="16">
        <v>17906</v>
      </c>
      <c r="AE82" s="16">
        <v>6733</v>
      </c>
      <c r="AF82" s="16">
        <v>1720</v>
      </c>
      <c r="AG82" s="16">
        <v>4950</v>
      </c>
      <c r="AH82" s="16">
        <v>3050</v>
      </c>
      <c r="AI82" s="16">
        <v>13680</v>
      </c>
      <c r="AJ82" s="16">
        <v>12170</v>
      </c>
      <c r="AK82" s="16">
        <v>11020</v>
      </c>
      <c r="AL82" s="16">
        <v>8956</v>
      </c>
      <c r="AM82" s="18">
        <v>0</v>
      </c>
    </row>
    <row r="83" spans="1:39" ht="15.75" thickBot="1">
      <c r="A83" s="36">
        <f t="shared" si="45"/>
        <v>2006</v>
      </c>
      <c r="B83" s="36">
        <f t="shared" si="46"/>
        <v>9</v>
      </c>
      <c r="C83" s="39">
        <v>38961</v>
      </c>
      <c r="D83" s="40" t="s">
        <v>35</v>
      </c>
      <c r="E83" s="37"/>
      <c r="F83" s="19">
        <v>347292</v>
      </c>
      <c r="G83" s="20"/>
      <c r="H83" s="15">
        <v>34512</v>
      </c>
      <c r="I83" s="16">
        <v>25473</v>
      </c>
      <c r="J83" s="16">
        <v>20381</v>
      </c>
      <c r="K83" s="16">
        <v>5092</v>
      </c>
      <c r="L83" s="16">
        <v>7781</v>
      </c>
      <c r="M83" s="17">
        <v>312649</v>
      </c>
      <c r="N83" s="16">
        <v>164127</v>
      </c>
      <c r="O83" s="16">
        <v>90571</v>
      </c>
      <c r="P83" s="16">
        <v>14719</v>
      </c>
      <c r="Q83" s="16">
        <v>30923</v>
      </c>
      <c r="R83" s="16">
        <v>12829</v>
      </c>
      <c r="S83" s="16">
        <v>8088</v>
      </c>
      <c r="T83" s="16">
        <v>6997</v>
      </c>
      <c r="U83" s="16">
        <v>1612</v>
      </c>
      <c r="V83" s="16">
        <v>17496</v>
      </c>
      <c r="W83" s="16">
        <v>14658</v>
      </c>
      <c r="X83" s="16">
        <v>8768</v>
      </c>
      <c r="Y83" s="16">
        <v>27812</v>
      </c>
      <c r="Z83" s="16">
        <v>27386</v>
      </c>
      <c r="AA83" s="16">
        <v>7842</v>
      </c>
      <c r="AB83" s="16">
        <v>6504</v>
      </c>
      <c r="AC83" s="16">
        <v>14915</v>
      </c>
      <c r="AD83" s="16">
        <v>17812</v>
      </c>
      <c r="AE83" s="16">
        <v>6169</v>
      </c>
      <c r="AF83" s="16">
        <v>763</v>
      </c>
      <c r="AG83" s="16">
        <v>6096</v>
      </c>
      <c r="AH83" s="16">
        <v>3251</v>
      </c>
      <c r="AI83" s="16">
        <v>15883</v>
      </c>
      <c r="AJ83" s="16">
        <v>12422</v>
      </c>
      <c r="AK83" s="16">
        <v>10545</v>
      </c>
      <c r="AL83" s="16">
        <v>6912</v>
      </c>
      <c r="AM83" s="18">
        <v>0</v>
      </c>
    </row>
    <row r="84" spans="1:39" ht="15.75" thickBot="1">
      <c r="A84" s="36">
        <f t="shared" si="45"/>
        <v>2006</v>
      </c>
      <c r="B84" s="36">
        <f t="shared" si="46"/>
        <v>10</v>
      </c>
      <c r="C84" s="39">
        <v>38991</v>
      </c>
      <c r="D84" s="40" t="s">
        <v>35</v>
      </c>
      <c r="E84" s="37"/>
      <c r="F84" s="19">
        <v>331189</v>
      </c>
      <c r="G84" s="20"/>
      <c r="H84" s="15">
        <v>18240</v>
      </c>
      <c r="I84" s="16">
        <v>8999</v>
      </c>
      <c r="J84" s="16">
        <v>4958</v>
      </c>
      <c r="K84" s="16">
        <v>4040</v>
      </c>
      <c r="L84" s="16">
        <v>7812</v>
      </c>
      <c r="M84" s="17">
        <v>312909</v>
      </c>
      <c r="N84" s="16">
        <v>169754</v>
      </c>
      <c r="O84" s="16">
        <v>92892</v>
      </c>
      <c r="P84" s="16">
        <v>18736</v>
      </c>
      <c r="Q84" s="16">
        <v>27096</v>
      </c>
      <c r="R84" s="16">
        <v>20940</v>
      </c>
      <c r="S84" s="16">
        <v>5527</v>
      </c>
      <c r="T84" s="16">
        <v>4563</v>
      </c>
      <c r="U84" s="16">
        <v>1784</v>
      </c>
      <c r="V84" s="16">
        <v>17511</v>
      </c>
      <c r="W84" s="16">
        <v>14875</v>
      </c>
      <c r="X84" s="16">
        <v>6974</v>
      </c>
      <c r="Y84" s="16">
        <v>26338</v>
      </c>
      <c r="Z84" s="16">
        <v>25990</v>
      </c>
      <c r="AA84" s="16">
        <v>15923</v>
      </c>
      <c r="AB84" s="16">
        <v>5494</v>
      </c>
      <c r="AC84" s="16">
        <v>261</v>
      </c>
      <c r="AD84" s="16">
        <v>20585</v>
      </c>
      <c r="AE84" s="16">
        <v>6340</v>
      </c>
      <c r="AF84" s="16">
        <v>2984</v>
      </c>
      <c r="AG84" s="16">
        <v>5629</v>
      </c>
      <c r="AH84" s="16">
        <v>3794</v>
      </c>
      <c r="AI84" s="16">
        <v>15297</v>
      </c>
      <c r="AJ84" s="16">
        <v>14905</v>
      </c>
      <c r="AK84" s="16">
        <v>11060</v>
      </c>
      <c r="AL84" s="16">
        <v>7022</v>
      </c>
      <c r="AM84" s="18">
        <v>0</v>
      </c>
    </row>
    <row r="85" spans="1:39" ht="15.75" thickBot="1">
      <c r="A85" s="36">
        <f t="shared" si="45"/>
        <v>2006</v>
      </c>
      <c r="B85" s="36">
        <f t="shared" si="46"/>
        <v>11</v>
      </c>
      <c r="C85" s="39">
        <v>39022</v>
      </c>
      <c r="D85" s="40" t="s">
        <v>35</v>
      </c>
      <c r="E85" s="37"/>
      <c r="F85" s="19">
        <v>359345</v>
      </c>
      <c r="G85" s="20"/>
      <c r="H85" s="15">
        <v>27869</v>
      </c>
      <c r="I85" s="16">
        <v>20892</v>
      </c>
      <c r="J85" s="16">
        <v>7323</v>
      </c>
      <c r="K85" s="16">
        <v>13570</v>
      </c>
      <c r="L85" s="16">
        <v>5951</v>
      </c>
      <c r="M85" s="17">
        <v>331387</v>
      </c>
      <c r="N85" s="16">
        <v>193796</v>
      </c>
      <c r="O85" s="16">
        <v>89249</v>
      </c>
      <c r="P85" s="16">
        <v>16398</v>
      </c>
      <c r="Q85" s="16">
        <v>37301</v>
      </c>
      <c r="R85" s="16">
        <v>29285</v>
      </c>
      <c r="S85" s="16">
        <v>13599</v>
      </c>
      <c r="T85" s="16">
        <v>7964</v>
      </c>
      <c r="U85" s="16">
        <v>1817</v>
      </c>
      <c r="V85" s="16">
        <v>17299</v>
      </c>
      <c r="W85" s="16">
        <v>15133</v>
      </c>
      <c r="X85" s="16">
        <v>4825</v>
      </c>
      <c r="Y85" s="16">
        <v>27210</v>
      </c>
      <c r="Z85" s="16">
        <v>26790</v>
      </c>
      <c r="AA85" s="16">
        <v>9626</v>
      </c>
      <c r="AB85" s="16">
        <v>5787</v>
      </c>
      <c r="AC85" s="16">
        <v>77</v>
      </c>
      <c r="AD85" s="16">
        <v>23947</v>
      </c>
      <c r="AE85" s="16">
        <v>6310</v>
      </c>
      <c r="AF85" s="16">
        <v>6173</v>
      </c>
      <c r="AG85" s="16">
        <v>6236</v>
      </c>
      <c r="AH85" s="16">
        <v>3645</v>
      </c>
      <c r="AI85" s="16">
        <v>16057</v>
      </c>
      <c r="AJ85" s="16">
        <v>14475</v>
      </c>
      <c r="AK85" s="16">
        <v>9076</v>
      </c>
      <c r="AL85" s="16">
        <v>7396</v>
      </c>
      <c r="AM85" s="18">
        <v>0</v>
      </c>
    </row>
    <row r="86" spans="1:39" ht="15.75" thickBot="1">
      <c r="A86" s="36">
        <f t="shared" si="45"/>
        <v>2006</v>
      </c>
      <c r="B86" s="36">
        <f t="shared" si="46"/>
        <v>12</v>
      </c>
      <c r="C86" s="39">
        <v>39052</v>
      </c>
      <c r="D86" s="40" t="s">
        <v>35</v>
      </c>
      <c r="E86" s="37"/>
      <c r="F86" s="19">
        <v>349091</v>
      </c>
      <c r="G86" s="20"/>
      <c r="H86" s="15">
        <v>31115</v>
      </c>
      <c r="I86" s="16">
        <v>21523</v>
      </c>
      <c r="J86" s="16">
        <v>13374</v>
      </c>
      <c r="K86" s="16">
        <v>8149</v>
      </c>
      <c r="L86" s="16">
        <v>8431</v>
      </c>
      <c r="M86" s="17">
        <v>317915</v>
      </c>
      <c r="N86" s="16">
        <v>179744</v>
      </c>
      <c r="O86" s="16">
        <v>103028</v>
      </c>
      <c r="P86" s="16">
        <v>14396</v>
      </c>
      <c r="Q86" s="16">
        <v>27100</v>
      </c>
      <c r="R86" s="16">
        <v>22526</v>
      </c>
      <c r="S86" s="16">
        <v>6574</v>
      </c>
      <c r="T86" s="16">
        <v>6119</v>
      </c>
      <c r="U86" s="16">
        <v>1597</v>
      </c>
      <c r="V86" s="16">
        <v>20026</v>
      </c>
      <c r="W86" s="16">
        <v>18107</v>
      </c>
      <c r="X86" s="16">
        <v>4173</v>
      </c>
      <c r="Y86" s="16">
        <v>27428</v>
      </c>
      <c r="Z86" s="16">
        <v>27212</v>
      </c>
      <c r="AA86" s="16">
        <v>14505</v>
      </c>
      <c r="AB86" s="16">
        <v>5610</v>
      </c>
      <c r="AC86" s="16">
        <v>147</v>
      </c>
      <c r="AD86" s="16">
        <v>21443</v>
      </c>
      <c r="AE86" s="16">
        <v>5247</v>
      </c>
      <c r="AF86" s="16">
        <v>5033</v>
      </c>
      <c r="AG86" s="16">
        <v>6004</v>
      </c>
      <c r="AH86" s="16">
        <v>3767</v>
      </c>
      <c r="AI86" s="16">
        <v>14470</v>
      </c>
      <c r="AJ86" s="16">
        <v>13608</v>
      </c>
      <c r="AK86" s="16">
        <v>7473</v>
      </c>
      <c r="AL86" s="16">
        <v>7691</v>
      </c>
      <c r="AM86" s="18">
        <v>0</v>
      </c>
    </row>
    <row r="87" spans="1:39" ht="15.75" thickBot="1">
      <c r="A87" s="36">
        <f t="shared" si="45"/>
        <v>2007</v>
      </c>
      <c r="B87" s="36">
        <f t="shared" si="46"/>
        <v>1</v>
      </c>
      <c r="C87" s="39">
        <v>39083</v>
      </c>
      <c r="D87" s="40" t="s">
        <v>35</v>
      </c>
      <c r="E87" s="37"/>
      <c r="F87" s="19">
        <v>298822</v>
      </c>
      <c r="G87" s="20"/>
      <c r="H87" s="15">
        <v>17657</v>
      </c>
      <c r="I87" s="16">
        <v>13073</v>
      </c>
      <c r="J87" s="16">
        <v>6260</v>
      </c>
      <c r="K87" s="16">
        <v>6813</v>
      </c>
      <c r="L87" s="16">
        <v>3907</v>
      </c>
      <c r="M87" s="17">
        <v>281090</v>
      </c>
      <c r="N87" s="16">
        <v>148847</v>
      </c>
      <c r="O87" s="16">
        <v>89183</v>
      </c>
      <c r="P87" s="16">
        <v>10195</v>
      </c>
      <c r="Q87" s="16">
        <v>22206</v>
      </c>
      <c r="R87" s="16">
        <v>17089</v>
      </c>
      <c r="S87" s="16">
        <v>5016</v>
      </c>
      <c r="T87" s="16">
        <v>5158</v>
      </c>
      <c r="U87" s="16">
        <v>1443</v>
      </c>
      <c r="V87" s="16">
        <v>13170</v>
      </c>
      <c r="W87" s="16">
        <v>11518</v>
      </c>
      <c r="X87" s="16">
        <v>3414</v>
      </c>
      <c r="Y87" s="16">
        <v>21999</v>
      </c>
      <c r="Z87" s="16">
        <v>21700</v>
      </c>
      <c r="AA87" s="16">
        <v>11438</v>
      </c>
      <c r="AB87" s="16">
        <v>5882</v>
      </c>
      <c r="AC87" s="16">
        <v>13365</v>
      </c>
      <c r="AD87" s="16">
        <v>17840</v>
      </c>
      <c r="AE87" s="16">
        <v>6067</v>
      </c>
      <c r="AF87" s="16">
        <v>1506</v>
      </c>
      <c r="AG87" s="16">
        <v>3953</v>
      </c>
      <c r="AH87" s="16">
        <v>4842</v>
      </c>
      <c r="AI87" s="16">
        <v>15422</v>
      </c>
      <c r="AJ87" s="16">
        <v>15744</v>
      </c>
      <c r="AK87" s="16">
        <v>6402</v>
      </c>
      <c r="AL87" s="16">
        <v>6125</v>
      </c>
      <c r="AM87" s="18">
        <v>0</v>
      </c>
    </row>
    <row r="88" spans="1:39" ht="15.75" thickBot="1">
      <c r="A88" s="36">
        <f t="shared" si="45"/>
        <v>2007</v>
      </c>
      <c r="B88" s="36">
        <f t="shared" si="46"/>
        <v>2</v>
      </c>
      <c r="C88" s="39">
        <v>39114</v>
      </c>
      <c r="D88" s="40" t="s">
        <v>35</v>
      </c>
      <c r="E88" s="37"/>
      <c r="F88" s="19">
        <v>304022</v>
      </c>
      <c r="G88" s="20"/>
      <c r="H88" s="15">
        <v>27670</v>
      </c>
      <c r="I88" s="16">
        <v>17768</v>
      </c>
      <c r="J88" s="16">
        <v>6203</v>
      </c>
      <c r="K88" s="16">
        <v>11565</v>
      </c>
      <c r="L88" s="16">
        <v>9005</v>
      </c>
      <c r="M88" s="17">
        <v>276268</v>
      </c>
      <c r="N88" s="16">
        <v>136458</v>
      </c>
      <c r="O88" s="16">
        <v>78039</v>
      </c>
      <c r="P88" s="16">
        <v>11621</v>
      </c>
      <c r="Q88" s="16">
        <v>20030</v>
      </c>
      <c r="R88" s="16">
        <v>14794</v>
      </c>
      <c r="S88" s="16">
        <v>6890</v>
      </c>
      <c r="T88" s="16">
        <v>5084</v>
      </c>
      <c r="U88" s="16">
        <v>1967</v>
      </c>
      <c r="V88" s="16">
        <v>18081</v>
      </c>
      <c r="W88" s="16">
        <v>16015</v>
      </c>
      <c r="X88" s="16">
        <v>4428</v>
      </c>
      <c r="Y88" s="16">
        <v>24385</v>
      </c>
      <c r="Z88" s="16">
        <v>24135</v>
      </c>
      <c r="AA88" s="16">
        <v>11200</v>
      </c>
      <c r="AB88" s="16">
        <v>4256</v>
      </c>
      <c r="AC88" s="16">
        <v>16199</v>
      </c>
      <c r="AD88" s="16">
        <v>17763</v>
      </c>
      <c r="AE88" s="16">
        <v>5615</v>
      </c>
      <c r="AF88" s="16">
        <v>1385</v>
      </c>
      <c r="AG88" s="16">
        <v>5735</v>
      </c>
      <c r="AH88" s="16">
        <v>3897</v>
      </c>
      <c r="AI88" s="16">
        <v>12969</v>
      </c>
      <c r="AJ88" s="16">
        <v>13463</v>
      </c>
      <c r="AK88" s="16">
        <v>9682</v>
      </c>
      <c r="AL88" s="16">
        <v>5416</v>
      </c>
      <c r="AM88" s="18">
        <v>0</v>
      </c>
    </row>
    <row r="89" spans="1:39" ht="15.75" thickBot="1">
      <c r="A89" s="36">
        <f t="shared" si="45"/>
        <v>2007</v>
      </c>
      <c r="B89" s="36">
        <f t="shared" si="46"/>
        <v>3</v>
      </c>
      <c r="C89" s="39">
        <v>39142</v>
      </c>
      <c r="D89" s="40" t="s">
        <v>35</v>
      </c>
      <c r="E89" s="37"/>
      <c r="F89" s="19">
        <v>328715</v>
      </c>
      <c r="G89" s="20"/>
      <c r="H89" s="15">
        <v>36087</v>
      </c>
      <c r="I89" s="16">
        <v>26754</v>
      </c>
      <c r="J89" s="16">
        <v>15464</v>
      </c>
      <c r="K89" s="16">
        <v>11290</v>
      </c>
      <c r="L89" s="16">
        <v>8617</v>
      </c>
      <c r="M89" s="17">
        <v>292051</v>
      </c>
      <c r="N89" s="16">
        <v>143968</v>
      </c>
      <c r="O89" s="16">
        <v>84973</v>
      </c>
      <c r="P89" s="16">
        <v>17771</v>
      </c>
      <c r="Q89" s="16">
        <v>20996</v>
      </c>
      <c r="R89" s="16">
        <v>9898</v>
      </c>
      <c r="S89" s="16">
        <v>5658</v>
      </c>
      <c r="T89" s="16">
        <v>4672</v>
      </c>
      <c r="U89" s="16">
        <v>2334</v>
      </c>
      <c r="V89" s="16">
        <v>19898</v>
      </c>
      <c r="W89" s="16">
        <v>17631</v>
      </c>
      <c r="X89" s="16">
        <v>5220</v>
      </c>
      <c r="Y89" s="16">
        <v>27886</v>
      </c>
      <c r="Z89" s="16">
        <v>27535</v>
      </c>
      <c r="AA89" s="16">
        <v>9114</v>
      </c>
      <c r="AB89" s="16">
        <v>5263</v>
      </c>
      <c r="AC89" s="16">
        <v>7320</v>
      </c>
      <c r="AD89" s="16">
        <v>20292</v>
      </c>
      <c r="AE89" s="16">
        <v>6959</v>
      </c>
      <c r="AF89" s="16">
        <v>956</v>
      </c>
      <c r="AG89" s="16">
        <v>6486</v>
      </c>
      <c r="AH89" s="16">
        <v>4546</v>
      </c>
      <c r="AI89" s="16">
        <v>16153</v>
      </c>
      <c r="AJ89" s="16">
        <v>14991</v>
      </c>
      <c r="AK89" s="16">
        <v>12279</v>
      </c>
      <c r="AL89" s="16">
        <v>7332</v>
      </c>
      <c r="AM89" s="18">
        <v>480</v>
      </c>
    </row>
    <row r="90" spans="1:39" ht="15.75" thickBot="1">
      <c r="A90" s="36">
        <f t="shared" si="45"/>
        <v>2007</v>
      </c>
      <c r="B90" s="36">
        <f t="shared" si="46"/>
        <v>4</v>
      </c>
      <c r="C90" s="39">
        <v>39173</v>
      </c>
      <c r="D90" s="40" t="s">
        <v>35</v>
      </c>
      <c r="E90" s="37"/>
      <c r="F90" s="19">
        <v>326334</v>
      </c>
      <c r="G90" s="20"/>
      <c r="H90" s="15">
        <v>48090</v>
      </c>
      <c r="I90" s="16">
        <v>38967</v>
      </c>
      <c r="J90" s="16">
        <v>26009</v>
      </c>
      <c r="K90" s="16">
        <v>12958</v>
      </c>
      <c r="L90" s="16">
        <v>7974</v>
      </c>
      <c r="M90" s="17">
        <v>277050</v>
      </c>
      <c r="N90" s="16">
        <v>134150</v>
      </c>
      <c r="O90" s="16">
        <v>80546</v>
      </c>
      <c r="P90" s="16">
        <v>14211</v>
      </c>
      <c r="Q90" s="16">
        <v>18618</v>
      </c>
      <c r="R90" s="16">
        <v>10661</v>
      </c>
      <c r="S90" s="16">
        <v>5039</v>
      </c>
      <c r="T90" s="16">
        <v>5075</v>
      </c>
      <c r="U90" s="16">
        <v>1463</v>
      </c>
      <c r="V90" s="16">
        <v>19183</v>
      </c>
      <c r="W90" s="16">
        <v>16464</v>
      </c>
      <c r="X90" s="16">
        <v>4696</v>
      </c>
      <c r="Y90" s="16">
        <v>28603</v>
      </c>
      <c r="Z90" s="16">
        <v>28470</v>
      </c>
      <c r="AA90" s="16">
        <v>13073</v>
      </c>
      <c r="AB90" s="16">
        <v>5338</v>
      </c>
      <c r="AC90" s="16">
        <v>1991</v>
      </c>
      <c r="AD90" s="16">
        <v>18403</v>
      </c>
      <c r="AE90" s="16">
        <v>6497</v>
      </c>
      <c r="AF90" s="16">
        <v>1084</v>
      </c>
      <c r="AG90" s="16">
        <v>5834</v>
      </c>
      <c r="AH90" s="16">
        <v>3420</v>
      </c>
      <c r="AI90" s="16">
        <v>16728</v>
      </c>
      <c r="AJ90" s="16">
        <v>17903</v>
      </c>
      <c r="AK90" s="16">
        <v>9318</v>
      </c>
      <c r="AL90" s="16">
        <v>6201</v>
      </c>
      <c r="AM90" s="18">
        <v>1209</v>
      </c>
    </row>
    <row r="91" spans="1:39" ht="15.75" thickBot="1">
      <c r="A91" s="36">
        <f t="shared" si="45"/>
        <v>2007</v>
      </c>
      <c r="B91" s="36">
        <f t="shared" si="46"/>
        <v>5</v>
      </c>
      <c r="C91" s="39">
        <v>39203</v>
      </c>
      <c r="D91" s="40" t="s">
        <v>35</v>
      </c>
      <c r="E91" s="37"/>
      <c r="F91" s="19">
        <v>393321</v>
      </c>
      <c r="G91" s="20"/>
      <c r="H91" s="15">
        <v>73785</v>
      </c>
      <c r="I91" s="16">
        <v>64729</v>
      </c>
      <c r="J91" s="16">
        <v>57184</v>
      </c>
      <c r="K91" s="16">
        <v>7545</v>
      </c>
      <c r="L91" s="16">
        <v>8014</v>
      </c>
      <c r="M91" s="17">
        <v>307804</v>
      </c>
      <c r="N91" s="16">
        <v>163909</v>
      </c>
      <c r="O91" s="16">
        <v>87777</v>
      </c>
      <c r="P91" s="16">
        <v>12222</v>
      </c>
      <c r="Q91" s="16">
        <v>15482</v>
      </c>
      <c r="R91" s="16">
        <v>33165</v>
      </c>
      <c r="S91" s="16">
        <v>9599</v>
      </c>
      <c r="T91" s="16">
        <v>5664</v>
      </c>
      <c r="U91" s="16">
        <v>1833</v>
      </c>
      <c r="V91" s="16">
        <v>20922</v>
      </c>
      <c r="W91" s="16">
        <v>18026</v>
      </c>
      <c r="X91" s="16">
        <v>4874</v>
      </c>
      <c r="Y91" s="16">
        <v>27126</v>
      </c>
      <c r="Z91" s="16">
        <v>26804</v>
      </c>
      <c r="AA91" s="16">
        <v>9038</v>
      </c>
      <c r="AB91" s="16">
        <v>5426</v>
      </c>
      <c r="AC91" s="16">
        <v>59</v>
      </c>
      <c r="AD91" s="16">
        <v>20545</v>
      </c>
      <c r="AE91" s="16">
        <v>7110</v>
      </c>
      <c r="AF91" s="16">
        <v>1804</v>
      </c>
      <c r="AG91" s="16">
        <v>5915</v>
      </c>
      <c r="AH91" s="16">
        <v>4471</v>
      </c>
      <c r="AI91" s="16">
        <v>15925</v>
      </c>
      <c r="AJ91" s="16">
        <v>20225</v>
      </c>
      <c r="AK91" s="16">
        <v>10744</v>
      </c>
      <c r="AL91" s="16">
        <v>7177</v>
      </c>
      <c r="AM91" s="18">
        <v>11589</v>
      </c>
    </row>
    <row r="92" spans="1:39" ht="15.75" thickBot="1">
      <c r="A92" s="36">
        <f t="shared" si="45"/>
        <v>2007</v>
      </c>
      <c r="B92" s="36">
        <f t="shared" si="46"/>
        <v>6</v>
      </c>
      <c r="C92" s="39">
        <v>39234</v>
      </c>
      <c r="D92" s="40" t="s">
        <v>35</v>
      </c>
      <c r="E92" s="37"/>
      <c r="F92" s="19">
        <v>416141</v>
      </c>
      <c r="G92" s="20"/>
      <c r="H92" s="15">
        <v>97429</v>
      </c>
      <c r="I92" s="16">
        <v>86416</v>
      </c>
      <c r="J92" s="16">
        <v>79480</v>
      </c>
      <c r="K92" s="16">
        <v>6936</v>
      </c>
      <c r="L92" s="16">
        <v>9943</v>
      </c>
      <c r="M92" s="17">
        <v>315802</v>
      </c>
      <c r="N92" s="16">
        <v>173419</v>
      </c>
      <c r="O92" s="16">
        <v>97022</v>
      </c>
      <c r="P92" s="16">
        <v>14223</v>
      </c>
      <c r="Q92" s="16">
        <v>19450</v>
      </c>
      <c r="R92" s="16">
        <v>27589</v>
      </c>
      <c r="S92" s="16">
        <v>9456</v>
      </c>
      <c r="T92" s="16">
        <v>5680</v>
      </c>
      <c r="U92" s="16">
        <v>1129</v>
      </c>
      <c r="V92" s="16">
        <v>21861</v>
      </c>
      <c r="W92" s="16">
        <v>18843</v>
      </c>
      <c r="X92" s="16">
        <v>5879</v>
      </c>
      <c r="Y92" s="16">
        <v>27956</v>
      </c>
      <c r="Z92" s="16">
        <v>27555</v>
      </c>
      <c r="AA92" s="16">
        <v>12576</v>
      </c>
      <c r="AB92" s="16">
        <v>4720</v>
      </c>
      <c r="AC92" s="16">
        <v>35</v>
      </c>
      <c r="AD92" s="16">
        <v>21725</v>
      </c>
      <c r="AE92" s="16">
        <v>5749</v>
      </c>
      <c r="AF92" s="16">
        <v>3267</v>
      </c>
      <c r="AG92" s="16">
        <v>6425</v>
      </c>
      <c r="AH92" s="16">
        <v>4795</v>
      </c>
      <c r="AI92" s="16">
        <v>14446</v>
      </c>
      <c r="AJ92" s="16">
        <v>13775</v>
      </c>
      <c r="AK92" s="16">
        <v>10945</v>
      </c>
      <c r="AL92" s="16">
        <v>7338</v>
      </c>
      <c r="AM92" s="18">
        <v>2806</v>
      </c>
    </row>
    <row r="93" spans="1:39" ht="15.75" thickBot="1">
      <c r="A93" s="36">
        <f t="shared" si="45"/>
        <v>2007</v>
      </c>
      <c r="B93" s="36">
        <f t="shared" si="46"/>
        <v>7</v>
      </c>
      <c r="C93" s="39">
        <v>39264</v>
      </c>
      <c r="D93" s="40" t="s">
        <v>35</v>
      </c>
      <c r="E93" s="37"/>
      <c r="F93" s="19">
        <v>402464</v>
      </c>
      <c r="G93" s="20"/>
      <c r="H93" s="15">
        <v>61208</v>
      </c>
      <c r="I93" s="16">
        <v>51535</v>
      </c>
      <c r="J93" s="16">
        <v>45063</v>
      </c>
      <c r="K93" s="16">
        <v>6472</v>
      </c>
      <c r="L93" s="16">
        <v>8462</v>
      </c>
      <c r="M93" s="17">
        <v>323109</v>
      </c>
      <c r="N93" s="16">
        <v>184672</v>
      </c>
      <c r="O93" s="16">
        <v>101622</v>
      </c>
      <c r="P93" s="16">
        <v>15987</v>
      </c>
      <c r="Q93" s="16">
        <v>25108</v>
      </c>
      <c r="R93" s="16">
        <v>27573</v>
      </c>
      <c r="S93" s="16">
        <v>6771</v>
      </c>
      <c r="T93" s="16">
        <v>7611</v>
      </c>
      <c r="U93" s="16">
        <v>1154</v>
      </c>
      <c r="V93" s="16">
        <v>20506</v>
      </c>
      <c r="W93" s="16">
        <v>17047</v>
      </c>
      <c r="X93" s="16">
        <v>7820</v>
      </c>
      <c r="Y93" s="16">
        <v>27647</v>
      </c>
      <c r="Z93" s="16">
        <v>27352</v>
      </c>
      <c r="AA93" s="16">
        <v>8786</v>
      </c>
      <c r="AB93" s="16">
        <v>5074</v>
      </c>
      <c r="AC93" s="16">
        <v>53</v>
      </c>
      <c r="AD93" s="16">
        <v>23208</v>
      </c>
      <c r="AE93" s="16">
        <v>8331</v>
      </c>
      <c r="AF93" s="16">
        <v>3061</v>
      </c>
      <c r="AG93" s="16">
        <v>5491</v>
      </c>
      <c r="AH93" s="16">
        <v>4832</v>
      </c>
      <c r="AI93" s="16">
        <v>15034</v>
      </c>
      <c r="AJ93" s="16">
        <v>12312</v>
      </c>
      <c r="AK93" s="16">
        <v>8386</v>
      </c>
      <c r="AL93" s="16">
        <v>8456</v>
      </c>
      <c r="AM93" s="18">
        <v>17764</v>
      </c>
    </row>
    <row r="94" spans="1:39" ht="15.75" thickBot="1">
      <c r="A94" s="36">
        <f t="shared" si="45"/>
        <v>2007</v>
      </c>
      <c r="B94" s="36">
        <f t="shared" si="46"/>
        <v>8</v>
      </c>
      <c r="C94" s="39">
        <v>39295</v>
      </c>
      <c r="D94" s="40" t="s">
        <v>35</v>
      </c>
      <c r="E94" s="37"/>
      <c r="F94" s="19">
        <v>422372</v>
      </c>
      <c r="G94" s="20"/>
      <c r="H94" s="15">
        <v>76379</v>
      </c>
      <c r="I94" s="16">
        <v>64563</v>
      </c>
      <c r="J94" s="16">
        <v>60736</v>
      </c>
      <c r="K94" s="16">
        <v>3827</v>
      </c>
      <c r="L94" s="16">
        <v>10180</v>
      </c>
      <c r="M94" s="17">
        <v>328490</v>
      </c>
      <c r="N94" s="16">
        <v>172491</v>
      </c>
      <c r="O94" s="16">
        <v>76111</v>
      </c>
      <c r="P94" s="16">
        <v>19650</v>
      </c>
      <c r="Q94" s="16">
        <v>32973</v>
      </c>
      <c r="R94" s="16">
        <v>31861</v>
      </c>
      <c r="S94" s="16">
        <v>5238</v>
      </c>
      <c r="T94" s="16">
        <v>6658</v>
      </c>
      <c r="U94" s="16">
        <v>2672</v>
      </c>
      <c r="V94" s="16">
        <v>18878</v>
      </c>
      <c r="W94" s="16">
        <v>15422</v>
      </c>
      <c r="X94" s="16">
        <v>8009</v>
      </c>
      <c r="Y94" s="16">
        <v>26746</v>
      </c>
      <c r="Z94" s="16">
        <v>26439</v>
      </c>
      <c r="AA94" s="16">
        <v>13657</v>
      </c>
      <c r="AB94" s="16">
        <v>5427</v>
      </c>
      <c r="AC94" s="16">
        <v>101</v>
      </c>
      <c r="AD94" s="16">
        <v>25512</v>
      </c>
      <c r="AE94" s="16">
        <v>7801</v>
      </c>
      <c r="AF94" s="16">
        <v>4519</v>
      </c>
      <c r="AG94" s="16">
        <v>7228</v>
      </c>
      <c r="AH94" s="16">
        <v>4635</v>
      </c>
      <c r="AI94" s="16">
        <v>18706</v>
      </c>
      <c r="AJ94" s="16">
        <v>16272</v>
      </c>
      <c r="AK94" s="16">
        <v>10482</v>
      </c>
      <c r="AL94" s="16">
        <v>9537</v>
      </c>
      <c r="AM94" s="18">
        <v>17434</v>
      </c>
    </row>
    <row r="95" spans="1:39" ht="15.75" thickBot="1">
      <c r="A95" s="36">
        <f t="shared" si="45"/>
        <v>2007</v>
      </c>
      <c r="B95" s="36">
        <f t="shared" si="46"/>
        <v>9</v>
      </c>
      <c r="C95" s="39">
        <v>39326</v>
      </c>
      <c r="D95" s="40" t="s">
        <v>35</v>
      </c>
      <c r="E95" s="37"/>
      <c r="F95" s="19">
        <v>394984</v>
      </c>
      <c r="G95" s="20"/>
      <c r="H95" s="15">
        <v>46127</v>
      </c>
      <c r="I95" s="16">
        <v>31860</v>
      </c>
      <c r="J95" s="16">
        <v>27599</v>
      </c>
      <c r="K95" s="16">
        <v>4261</v>
      </c>
      <c r="L95" s="16">
        <v>12983</v>
      </c>
      <c r="M95" s="17">
        <v>345002</v>
      </c>
      <c r="N95" s="16">
        <v>168096</v>
      </c>
      <c r="O95" s="16">
        <v>79016</v>
      </c>
      <c r="P95" s="16">
        <v>19450</v>
      </c>
      <c r="Q95" s="16">
        <v>32575</v>
      </c>
      <c r="R95" s="16">
        <v>21493</v>
      </c>
      <c r="S95" s="16">
        <v>8325</v>
      </c>
      <c r="T95" s="16">
        <v>7237</v>
      </c>
      <c r="U95" s="16">
        <v>1607</v>
      </c>
      <c r="V95" s="16">
        <v>20251</v>
      </c>
      <c r="W95" s="16">
        <v>17522</v>
      </c>
      <c r="X95" s="16">
        <v>8535</v>
      </c>
      <c r="Y95" s="16">
        <v>22916</v>
      </c>
      <c r="Z95" s="16">
        <v>22482</v>
      </c>
      <c r="AA95" s="16">
        <v>12152</v>
      </c>
      <c r="AB95" s="16">
        <v>5433</v>
      </c>
      <c r="AC95" s="16">
        <v>23911</v>
      </c>
      <c r="AD95" s="16">
        <v>26576</v>
      </c>
      <c r="AE95" s="16">
        <v>6914</v>
      </c>
      <c r="AF95" s="16">
        <v>6554</v>
      </c>
      <c r="AG95" s="16">
        <v>7158</v>
      </c>
      <c r="AH95" s="16">
        <v>3939</v>
      </c>
      <c r="AI95" s="16">
        <v>17183</v>
      </c>
      <c r="AJ95" s="16">
        <v>16215</v>
      </c>
      <c r="AK95" s="16">
        <v>12582</v>
      </c>
      <c r="AL95" s="16">
        <v>9544</v>
      </c>
      <c r="AM95" s="18">
        <v>1264</v>
      </c>
    </row>
    <row r="96" spans="1:39" ht="15.75" thickBot="1">
      <c r="A96" s="36">
        <f t="shared" si="45"/>
        <v>2007</v>
      </c>
      <c r="B96" s="36">
        <f t="shared" si="46"/>
        <v>10</v>
      </c>
      <c r="C96" s="39">
        <v>39356</v>
      </c>
      <c r="D96" s="40" t="s">
        <v>35</v>
      </c>
      <c r="E96" s="37"/>
      <c r="F96" s="19">
        <v>377920</v>
      </c>
      <c r="G96" s="20"/>
      <c r="H96" s="15">
        <v>38706</v>
      </c>
      <c r="I96" s="16">
        <v>26666</v>
      </c>
      <c r="J96" s="16">
        <v>22833</v>
      </c>
      <c r="K96" s="16">
        <v>3832</v>
      </c>
      <c r="L96" s="16">
        <v>10779</v>
      </c>
      <c r="M96" s="17">
        <v>335886</v>
      </c>
      <c r="N96" s="16">
        <v>171496</v>
      </c>
      <c r="O96" s="16">
        <v>58318</v>
      </c>
      <c r="P96" s="16">
        <v>22162</v>
      </c>
      <c r="Q96" s="16">
        <v>42399</v>
      </c>
      <c r="R96" s="16">
        <v>28782</v>
      </c>
      <c r="S96" s="16">
        <v>11203</v>
      </c>
      <c r="T96" s="16">
        <v>8632</v>
      </c>
      <c r="U96" s="16">
        <v>1941</v>
      </c>
      <c r="V96" s="16">
        <v>19945</v>
      </c>
      <c r="W96" s="16">
        <v>16849</v>
      </c>
      <c r="X96" s="16">
        <v>5417</v>
      </c>
      <c r="Y96" s="16">
        <v>26271</v>
      </c>
      <c r="Z96" s="16">
        <v>26007</v>
      </c>
      <c r="AA96" s="16">
        <v>9097</v>
      </c>
      <c r="AB96" s="16">
        <v>5399</v>
      </c>
      <c r="AC96" s="16">
        <v>3022</v>
      </c>
      <c r="AD96" s="16">
        <v>24592</v>
      </c>
      <c r="AE96" s="16">
        <v>8787</v>
      </c>
      <c r="AF96" s="16">
        <v>4371</v>
      </c>
      <c r="AG96" s="16">
        <v>6356</v>
      </c>
      <c r="AH96" s="16">
        <v>3302</v>
      </c>
      <c r="AI96" s="16">
        <v>23279</v>
      </c>
      <c r="AJ96" s="16">
        <v>21286</v>
      </c>
      <c r="AK96" s="16">
        <v>13641</v>
      </c>
      <c r="AL96" s="16">
        <v>10498</v>
      </c>
      <c r="AM96" s="18">
        <v>2973</v>
      </c>
    </row>
    <row r="97" spans="1:39" ht="15.75" thickBot="1">
      <c r="A97" s="36">
        <f t="shared" si="45"/>
        <v>2007</v>
      </c>
      <c r="B97" s="36">
        <f t="shared" si="46"/>
        <v>11</v>
      </c>
      <c r="C97" s="39">
        <v>39387</v>
      </c>
      <c r="D97" s="40" t="s">
        <v>35</v>
      </c>
      <c r="E97" s="37"/>
      <c r="F97" s="19">
        <v>437303</v>
      </c>
      <c r="G97" s="20"/>
      <c r="H97" s="15">
        <v>57356</v>
      </c>
      <c r="I97" s="16">
        <v>48914</v>
      </c>
      <c r="J97" s="16">
        <v>27423</v>
      </c>
      <c r="K97" s="16">
        <v>21491</v>
      </c>
      <c r="L97" s="16">
        <v>7355</v>
      </c>
      <c r="M97" s="17">
        <v>377491</v>
      </c>
      <c r="N97" s="16">
        <v>176566</v>
      </c>
      <c r="O97" s="16">
        <v>77529</v>
      </c>
      <c r="P97" s="16">
        <v>16384</v>
      </c>
      <c r="Q97" s="16">
        <v>42093</v>
      </c>
      <c r="R97" s="16">
        <v>21825</v>
      </c>
      <c r="S97" s="16">
        <v>8651</v>
      </c>
      <c r="T97" s="16">
        <v>10085</v>
      </c>
      <c r="U97" s="16">
        <v>1992</v>
      </c>
      <c r="V97" s="16">
        <v>18021</v>
      </c>
      <c r="W97" s="16">
        <v>15430</v>
      </c>
      <c r="X97" s="16">
        <v>4336</v>
      </c>
      <c r="Y97" s="16">
        <v>21771</v>
      </c>
      <c r="Z97" s="16">
        <v>21293</v>
      </c>
      <c r="AA97" s="16">
        <v>15253</v>
      </c>
      <c r="AB97" s="16">
        <v>5413</v>
      </c>
      <c r="AC97" s="16">
        <v>47250</v>
      </c>
      <c r="AD97" s="16">
        <v>28033</v>
      </c>
      <c r="AE97" s="16">
        <v>8948</v>
      </c>
      <c r="AF97" s="16">
        <v>4565</v>
      </c>
      <c r="AG97" s="16">
        <v>8871</v>
      </c>
      <c r="AH97" s="16">
        <v>3880</v>
      </c>
      <c r="AI97" s="16">
        <v>21972</v>
      </c>
      <c r="AJ97" s="16">
        <v>17058</v>
      </c>
      <c r="AK97" s="16">
        <v>11635</v>
      </c>
      <c r="AL97" s="16">
        <v>8192</v>
      </c>
      <c r="AM97" s="18">
        <v>2148</v>
      </c>
    </row>
    <row r="98" spans="1:39" ht="15.75" thickBot="1">
      <c r="A98" s="36">
        <f t="shared" si="45"/>
        <v>2007</v>
      </c>
      <c r="B98" s="36">
        <f t="shared" si="46"/>
        <v>12</v>
      </c>
      <c r="C98" s="39">
        <v>39417</v>
      </c>
      <c r="D98" s="40" t="s">
        <v>35</v>
      </c>
      <c r="E98" s="37"/>
      <c r="F98" s="19">
        <v>415154</v>
      </c>
      <c r="G98" s="20"/>
      <c r="H98" s="15">
        <v>29956</v>
      </c>
      <c r="I98" s="16">
        <v>13053</v>
      </c>
      <c r="J98" s="16">
        <v>2299</v>
      </c>
      <c r="K98" s="16">
        <v>10754</v>
      </c>
      <c r="L98" s="16">
        <v>16007</v>
      </c>
      <c r="M98" s="17">
        <v>378692</v>
      </c>
      <c r="N98" s="16">
        <v>214513</v>
      </c>
      <c r="O98" s="16">
        <v>104833</v>
      </c>
      <c r="P98" s="16">
        <v>15381</v>
      </c>
      <c r="Q98" s="16">
        <v>43891</v>
      </c>
      <c r="R98" s="16">
        <v>33962</v>
      </c>
      <c r="S98" s="16">
        <v>8032</v>
      </c>
      <c r="T98" s="16">
        <v>8414</v>
      </c>
      <c r="U98" s="16">
        <v>2355</v>
      </c>
      <c r="V98" s="16">
        <v>24638</v>
      </c>
      <c r="W98" s="16">
        <v>22426</v>
      </c>
      <c r="X98" s="16">
        <v>4644</v>
      </c>
      <c r="Y98" s="16">
        <v>21397</v>
      </c>
      <c r="Z98" s="16">
        <v>21104</v>
      </c>
      <c r="AA98" s="16">
        <v>9153</v>
      </c>
      <c r="AB98" s="16">
        <v>6483</v>
      </c>
      <c r="AC98" s="16">
        <v>12488</v>
      </c>
      <c r="AD98" s="16">
        <v>27872</v>
      </c>
      <c r="AE98" s="16">
        <v>9082</v>
      </c>
      <c r="AF98" s="16">
        <v>6897</v>
      </c>
      <c r="AG98" s="16">
        <v>6452</v>
      </c>
      <c r="AH98" s="16">
        <v>2990</v>
      </c>
      <c r="AI98" s="16">
        <v>20069</v>
      </c>
      <c r="AJ98" s="16">
        <v>15279</v>
      </c>
      <c r="AK98" s="16">
        <v>8903</v>
      </c>
      <c r="AL98" s="16">
        <v>10899</v>
      </c>
      <c r="AM98" s="18">
        <v>6369</v>
      </c>
    </row>
    <row r="99" spans="1:39" ht="15.75" thickBot="1">
      <c r="A99" s="36">
        <f t="shared" si="45"/>
        <v>2008</v>
      </c>
      <c r="B99" s="36">
        <f t="shared" si="46"/>
        <v>1</v>
      </c>
      <c r="C99" s="39">
        <v>39448</v>
      </c>
      <c r="D99" s="40" t="s">
        <v>35</v>
      </c>
      <c r="E99" s="37"/>
      <c r="F99" s="19">
        <v>383460</v>
      </c>
      <c r="G99" s="20"/>
      <c r="H99" s="15">
        <v>30761</v>
      </c>
      <c r="I99" s="16">
        <v>15254</v>
      </c>
      <c r="J99" s="16">
        <v>6564</v>
      </c>
      <c r="K99" s="16">
        <v>8690</v>
      </c>
      <c r="L99" s="16">
        <v>14806</v>
      </c>
      <c r="M99" s="17">
        <v>352082</v>
      </c>
      <c r="N99" s="16">
        <v>199768</v>
      </c>
      <c r="O99" s="16">
        <v>114214</v>
      </c>
      <c r="P99" s="16">
        <v>13455</v>
      </c>
      <c r="Q99" s="16">
        <v>30953</v>
      </c>
      <c r="R99" s="16">
        <v>25239</v>
      </c>
      <c r="S99" s="16">
        <v>9303</v>
      </c>
      <c r="T99" s="16">
        <v>6604</v>
      </c>
      <c r="U99" s="16">
        <v>987</v>
      </c>
      <c r="V99" s="16">
        <v>15547</v>
      </c>
      <c r="W99" s="16">
        <v>13608</v>
      </c>
      <c r="X99" s="16">
        <v>3449</v>
      </c>
      <c r="Y99" s="16">
        <v>22943</v>
      </c>
      <c r="Z99" s="16">
        <v>22704</v>
      </c>
      <c r="AA99" s="16">
        <v>11481</v>
      </c>
      <c r="AB99" s="16">
        <v>7180</v>
      </c>
      <c r="AC99" s="16">
        <v>10598</v>
      </c>
      <c r="AD99" s="16">
        <v>24345</v>
      </c>
      <c r="AE99" s="16">
        <v>9121</v>
      </c>
      <c r="AF99" s="16">
        <v>1244</v>
      </c>
      <c r="AG99" s="16">
        <v>7300</v>
      </c>
      <c r="AH99" s="16">
        <v>5058</v>
      </c>
      <c r="AI99" s="16">
        <v>19108</v>
      </c>
      <c r="AJ99" s="16">
        <v>16062</v>
      </c>
      <c r="AK99" s="16">
        <v>13793</v>
      </c>
      <c r="AL99" s="16">
        <v>6821</v>
      </c>
      <c r="AM99" s="18">
        <v>0</v>
      </c>
    </row>
    <row r="100" spans="1:39" ht="15.75" thickBot="1">
      <c r="A100" s="36">
        <f t="shared" si="45"/>
        <v>2008</v>
      </c>
      <c r="B100" s="36">
        <f t="shared" si="46"/>
        <v>2</v>
      </c>
      <c r="C100" s="39">
        <v>39479</v>
      </c>
      <c r="D100" s="40" t="s">
        <v>35</v>
      </c>
      <c r="E100" s="37"/>
      <c r="F100" s="19">
        <v>454157</v>
      </c>
      <c r="G100" s="20"/>
      <c r="H100" s="15">
        <v>88229</v>
      </c>
      <c r="I100" s="16">
        <v>69059</v>
      </c>
      <c r="J100" s="16">
        <v>60415</v>
      </c>
      <c r="K100" s="16">
        <v>8644</v>
      </c>
      <c r="L100" s="16">
        <v>18446</v>
      </c>
      <c r="M100" s="17">
        <v>366597</v>
      </c>
      <c r="N100" s="16">
        <v>208699</v>
      </c>
      <c r="O100" s="16">
        <v>120469</v>
      </c>
      <c r="P100" s="16">
        <v>17542</v>
      </c>
      <c r="Q100" s="16">
        <v>31199</v>
      </c>
      <c r="R100" s="16">
        <v>24400</v>
      </c>
      <c r="S100" s="16">
        <v>8943</v>
      </c>
      <c r="T100" s="16">
        <v>6145</v>
      </c>
      <c r="U100" s="16">
        <v>917</v>
      </c>
      <c r="V100" s="16">
        <v>20431</v>
      </c>
      <c r="W100" s="16">
        <v>17798</v>
      </c>
      <c r="X100" s="16">
        <v>4278</v>
      </c>
      <c r="Y100" s="16">
        <v>23413</v>
      </c>
      <c r="Z100" s="16">
        <v>23112</v>
      </c>
      <c r="AA100" s="16">
        <v>11610</v>
      </c>
      <c r="AB100" s="16">
        <v>5605</v>
      </c>
      <c r="AC100" s="16">
        <v>16790</v>
      </c>
      <c r="AD100" s="16">
        <v>22641</v>
      </c>
      <c r="AE100" s="16">
        <v>9679</v>
      </c>
      <c r="AF100" s="16">
        <v>1154</v>
      </c>
      <c r="AG100" s="16">
        <v>5331</v>
      </c>
      <c r="AH100" s="16">
        <v>4656</v>
      </c>
      <c r="AI100" s="16">
        <v>19170</v>
      </c>
      <c r="AJ100" s="16">
        <v>15838</v>
      </c>
      <c r="AK100" s="16">
        <v>10321</v>
      </c>
      <c r="AL100" s="16">
        <v>6883</v>
      </c>
      <c r="AM100" s="18">
        <v>0</v>
      </c>
    </row>
    <row r="101" spans="1:39" ht="15.75" thickBot="1">
      <c r="A101" s="36">
        <f t="shared" si="45"/>
        <v>2008</v>
      </c>
      <c r="B101" s="36">
        <f t="shared" si="46"/>
        <v>3</v>
      </c>
      <c r="C101" s="39">
        <v>39508</v>
      </c>
      <c r="D101" s="40" t="s">
        <v>35</v>
      </c>
      <c r="E101" s="37"/>
      <c r="F101" s="19">
        <v>460005</v>
      </c>
      <c r="G101" s="20"/>
      <c r="H101" s="15">
        <v>66033</v>
      </c>
      <c r="I101" s="16">
        <v>54270</v>
      </c>
      <c r="J101" s="16">
        <v>38888</v>
      </c>
      <c r="K101" s="16">
        <v>15381</v>
      </c>
      <c r="L101" s="16">
        <v>10415</v>
      </c>
      <c r="M101" s="17">
        <v>393352</v>
      </c>
      <c r="N101" s="16">
        <v>208519</v>
      </c>
      <c r="O101" s="16">
        <v>126284</v>
      </c>
      <c r="P101" s="16">
        <v>11211</v>
      </c>
      <c r="Q101" s="16">
        <v>33434</v>
      </c>
      <c r="R101" s="16">
        <v>17522</v>
      </c>
      <c r="S101" s="16">
        <v>9887</v>
      </c>
      <c r="T101" s="16">
        <v>10181</v>
      </c>
      <c r="U101" s="16">
        <v>1992</v>
      </c>
      <c r="V101" s="16">
        <v>22088</v>
      </c>
      <c r="W101" s="16">
        <v>18745</v>
      </c>
      <c r="X101" s="16">
        <v>5254</v>
      </c>
      <c r="Y101" s="16">
        <v>25139</v>
      </c>
      <c r="Z101" s="16">
        <v>24953</v>
      </c>
      <c r="AA101" s="16">
        <v>20224</v>
      </c>
      <c r="AB101" s="16">
        <v>5924</v>
      </c>
      <c r="AC101" s="16">
        <v>18819</v>
      </c>
      <c r="AD101" s="16">
        <v>25951</v>
      </c>
      <c r="AE101" s="16">
        <v>10467</v>
      </c>
      <c r="AF101" s="16">
        <v>885</v>
      </c>
      <c r="AG101" s="16">
        <v>7400</v>
      </c>
      <c r="AH101" s="16">
        <v>5392</v>
      </c>
      <c r="AI101" s="16">
        <v>20052</v>
      </c>
      <c r="AJ101" s="16">
        <v>17758</v>
      </c>
      <c r="AK101" s="16">
        <v>11438</v>
      </c>
      <c r="AL101" s="16">
        <v>10194</v>
      </c>
      <c r="AM101" s="18">
        <v>0</v>
      </c>
    </row>
    <row r="102" spans="1:39" ht="15.75" thickBot="1">
      <c r="A102" s="36">
        <f t="shared" si="45"/>
        <v>2008</v>
      </c>
      <c r="B102" s="36">
        <f t="shared" si="46"/>
        <v>4</v>
      </c>
      <c r="C102" s="39">
        <v>39539</v>
      </c>
      <c r="D102" s="40" t="s">
        <v>35</v>
      </c>
      <c r="E102" s="37"/>
      <c r="F102" s="19">
        <v>495934</v>
      </c>
      <c r="G102" s="20"/>
      <c r="H102" s="15">
        <v>107226</v>
      </c>
      <c r="I102" s="16">
        <v>92625</v>
      </c>
      <c r="J102" s="16">
        <v>82421</v>
      </c>
      <c r="K102" s="16">
        <v>10204</v>
      </c>
      <c r="L102" s="16">
        <v>13299</v>
      </c>
      <c r="M102" s="17">
        <v>385588</v>
      </c>
      <c r="N102" s="16">
        <v>205400</v>
      </c>
      <c r="O102" s="16">
        <v>129947</v>
      </c>
      <c r="P102" s="16">
        <v>9999</v>
      </c>
      <c r="Q102" s="16">
        <v>28581</v>
      </c>
      <c r="R102" s="16">
        <v>17426</v>
      </c>
      <c r="S102" s="16">
        <v>12641</v>
      </c>
      <c r="T102" s="16">
        <v>6806</v>
      </c>
      <c r="U102" s="16">
        <v>1466</v>
      </c>
      <c r="V102" s="16">
        <v>24714</v>
      </c>
      <c r="W102" s="16">
        <v>20407</v>
      </c>
      <c r="X102" s="16">
        <v>6874</v>
      </c>
      <c r="Y102" s="16">
        <v>27843</v>
      </c>
      <c r="Z102" s="16">
        <v>27472</v>
      </c>
      <c r="AA102" s="16">
        <v>20868</v>
      </c>
      <c r="AB102" s="16">
        <v>7064</v>
      </c>
      <c r="AC102" s="16">
        <v>9261</v>
      </c>
      <c r="AD102" s="16">
        <v>26583</v>
      </c>
      <c r="AE102" s="16">
        <v>10457</v>
      </c>
      <c r="AF102" s="16">
        <v>701</v>
      </c>
      <c r="AG102" s="16">
        <v>9158</v>
      </c>
      <c r="AH102" s="16">
        <v>4253</v>
      </c>
      <c r="AI102" s="16">
        <v>18300</v>
      </c>
      <c r="AJ102" s="16">
        <v>14515</v>
      </c>
      <c r="AK102" s="16">
        <v>13864</v>
      </c>
      <c r="AL102" s="16">
        <v>8835</v>
      </c>
      <c r="AM102" s="18">
        <v>0</v>
      </c>
    </row>
    <row r="103" spans="1:39" ht="15.75" thickBot="1">
      <c r="A103" s="36">
        <f t="shared" si="45"/>
        <v>2008</v>
      </c>
      <c r="B103" s="36">
        <f t="shared" si="46"/>
        <v>5</v>
      </c>
      <c r="C103" s="39">
        <v>39569</v>
      </c>
      <c r="D103" s="40" t="s">
        <v>35</v>
      </c>
      <c r="E103" s="37"/>
      <c r="F103" s="19">
        <v>537330</v>
      </c>
      <c r="G103" s="20"/>
      <c r="H103" s="15">
        <v>89732</v>
      </c>
      <c r="I103" s="16">
        <v>75771</v>
      </c>
      <c r="J103" s="16">
        <v>64050</v>
      </c>
      <c r="K103" s="16">
        <v>11721</v>
      </c>
      <c r="L103" s="16">
        <v>12775</v>
      </c>
      <c r="M103" s="17">
        <v>447358</v>
      </c>
      <c r="N103" s="16">
        <v>254608</v>
      </c>
      <c r="O103" s="16">
        <v>171324</v>
      </c>
      <c r="P103" s="16">
        <v>8912</v>
      </c>
      <c r="Q103" s="16">
        <v>33768</v>
      </c>
      <c r="R103" s="16">
        <v>19086</v>
      </c>
      <c r="S103" s="16">
        <v>13899</v>
      </c>
      <c r="T103" s="16">
        <v>7618</v>
      </c>
      <c r="U103" s="16">
        <v>2479</v>
      </c>
      <c r="V103" s="16">
        <v>26474</v>
      </c>
      <c r="W103" s="16">
        <v>21731</v>
      </c>
      <c r="X103" s="16">
        <v>5997</v>
      </c>
      <c r="Y103" s="16">
        <v>23248</v>
      </c>
      <c r="Z103" s="16">
        <v>22788</v>
      </c>
      <c r="AA103" s="16">
        <v>18891</v>
      </c>
      <c r="AB103" s="16">
        <v>6804</v>
      </c>
      <c r="AC103" s="16">
        <v>23029</v>
      </c>
      <c r="AD103" s="16">
        <v>31324</v>
      </c>
      <c r="AE103" s="16">
        <v>11603</v>
      </c>
      <c r="AF103" s="16">
        <v>4142</v>
      </c>
      <c r="AG103" s="16">
        <v>7438</v>
      </c>
      <c r="AH103" s="16">
        <v>6648</v>
      </c>
      <c r="AI103" s="16">
        <v>18348</v>
      </c>
      <c r="AJ103" s="16">
        <v>14387</v>
      </c>
      <c r="AK103" s="16">
        <v>14218</v>
      </c>
      <c r="AL103" s="16">
        <v>7551</v>
      </c>
      <c r="AM103" s="18">
        <v>0</v>
      </c>
    </row>
    <row r="104" spans="1:39" ht="15.75" thickBot="1">
      <c r="A104" s="36">
        <f t="shared" si="45"/>
        <v>2008</v>
      </c>
      <c r="B104" s="36">
        <f t="shared" si="46"/>
        <v>6</v>
      </c>
      <c r="C104" s="39">
        <v>39600</v>
      </c>
      <c r="D104" s="40" t="s">
        <v>35</v>
      </c>
      <c r="E104" s="37"/>
      <c r="F104" s="19">
        <v>636270</v>
      </c>
      <c r="G104" s="20"/>
      <c r="H104" s="15">
        <v>156445</v>
      </c>
      <c r="I104" s="16">
        <v>145991</v>
      </c>
      <c r="J104" s="16">
        <v>128194</v>
      </c>
      <c r="K104" s="16">
        <v>17797</v>
      </c>
      <c r="L104" s="16">
        <v>8782</v>
      </c>
      <c r="M104" s="17">
        <v>476966</v>
      </c>
      <c r="N104" s="16">
        <v>274518</v>
      </c>
      <c r="O104" s="16">
        <v>150920</v>
      </c>
      <c r="P104" s="16">
        <v>8900</v>
      </c>
      <c r="Q104" s="16">
        <v>33110</v>
      </c>
      <c r="R104" s="16">
        <v>56633</v>
      </c>
      <c r="S104" s="16">
        <v>15802</v>
      </c>
      <c r="T104" s="16">
        <v>9154</v>
      </c>
      <c r="U104" s="16">
        <v>1655</v>
      </c>
      <c r="V104" s="16">
        <v>19102</v>
      </c>
      <c r="W104" s="16">
        <v>15535</v>
      </c>
      <c r="X104" s="16">
        <v>6892</v>
      </c>
      <c r="Y104" s="16">
        <v>22990</v>
      </c>
      <c r="Z104" s="16">
        <v>22583</v>
      </c>
      <c r="AA104" s="16">
        <v>24782</v>
      </c>
      <c r="AB104" s="16">
        <v>6728</v>
      </c>
      <c r="AC104" s="16">
        <v>23776</v>
      </c>
      <c r="AD104" s="16">
        <v>35365</v>
      </c>
      <c r="AE104" s="16">
        <v>11131</v>
      </c>
      <c r="AF104" s="16">
        <v>6635</v>
      </c>
      <c r="AG104" s="16">
        <v>9678</v>
      </c>
      <c r="AH104" s="16">
        <v>6182</v>
      </c>
      <c r="AI104" s="16">
        <v>19822</v>
      </c>
      <c r="AJ104" s="16">
        <v>17352</v>
      </c>
      <c r="AK104" s="16">
        <v>15731</v>
      </c>
      <c r="AL104" s="16">
        <v>8253</v>
      </c>
      <c r="AM104" s="18">
        <v>3401</v>
      </c>
    </row>
    <row r="105" spans="1:39" ht="15.75" thickBot="1">
      <c r="A105" s="36">
        <f t="shared" si="45"/>
        <v>2008</v>
      </c>
      <c r="B105" s="36">
        <f t="shared" si="46"/>
        <v>7</v>
      </c>
      <c r="C105" s="39">
        <v>39630</v>
      </c>
      <c r="D105" s="40" t="s">
        <v>35</v>
      </c>
      <c r="E105" s="37"/>
      <c r="F105" s="19">
        <v>646962</v>
      </c>
      <c r="G105" s="20"/>
      <c r="H105" s="15">
        <v>135281</v>
      </c>
      <c r="I105" s="16">
        <v>115401</v>
      </c>
      <c r="J105" s="16">
        <v>107928</v>
      </c>
      <c r="K105" s="16">
        <v>7472</v>
      </c>
      <c r="L105" s="16">
        <v>18631</v>
      </c>
      <c r="M105" s="17">
        <v>511351</v>
      </c>
      <c r="N105" s="16">
        <v>302962</v>
      </c>
      <c r="O105" s="16">
        <v>158367</v>
      </c>
      <c r="P105" s="16">
        <v>33209</v>
      </c>
      <c r="Q105" s="16">
        <v>37909</v>
      </c>
      <c r="R105" s="16">
        <v>49279</v>
      </c>
      <c r="S105" s="16">
        <v>15392</v>
      </c>
      <c r="T105" s="16">
        <v>8807</v>
      </c>
      <c r="U105" s="16">
        <v>1644</v>
      </c>
      <c r="V105" s="16">
        <v>19983</v>
      </c>
      <c r="W105" s="16">
        <v>15839</v>
      </c>
      <c r="X105" s="16">
        <v>7041</v>
      </c>
      <c r="Y105" s="16">
        <v>20956</v>
      </c>
      <c r="Z105" s="16">
        <v>20694</v>
      </c>
      <c r="AA105" s="16">
        <v>21773</v>
      </c>
      <c r="AB105" s="16">
        <v>8527</v>
      </c>
      <c r="AC105" s="16">
        <v>27166</v>
      </c>
      <c r="AD105" s="16">
        <v>35222</v>
      </c>
      <c r="AE105" s="16">
        <v>10947</v>
      </c>
      <c r="AF105" s="16">
        <v>7001</v>
      </c>
      <c r="AG105" s="16">
        <v>9653</v>
      </c>
      <c r="AH105" s="16">
        <v>6235</v>
      </c>
      <c r="AI105" s="16">
        <v>22485</v>
      </c>
      <c r="AJ105" s="16">
        <v>21075</v>
      </c>
      <c r="AK105" s="16">
        <v>15073</v>
      </c>
      <c r="AL105" s="16">
        <v>7444</v>
      </c>
      <c r="AM105" s="18">
        <v>0</v>
      </c>
    </row>
    <row r="106" spans="1:39" ht="15.75" thickBot="1">
      <c r="A106" s="36">
        <f t="shared" si="45"/>
        <v>2008</v>
      </c>
      <c r="B106" s="36">
        <f t="shared" si="46"/>
        <v>8</v>
      </c>
      <c r="C106" s="39">
        <v>39661</v>
      </c>
      <c r="D106" s="40" t="s">
        <v>35</v>
      </c>
      <c r="E106" s="37"/>
      <c r="F106" s="19">
        <v>554815</v>
      </c>
      <c r="G106" s="20"/>
      <c r="H106" s="15">
        <v>63923</v>
      </c>
      <c r="I106" s="16">
        <v>44582</v>
      </c>
      <c r="J106" s="16">
        <v>40904</v>
      </c>
      <c r="K106" s="16">
        <v>3678</v>
      </c>
      <c r="L106" s="16">
        <v>17743</v>
      </c>
      <c r="M106" s="17">
        <v>490717</v>
      </c>
      <c r="N106" s="16">
        <v>274052</v>
      </c>
      <c r="O106" s="16">
        <v>117362</v>
      </c>
      <c r="P106" s="16">
        <v>24764</v>
      </c>
      <c r="Q106" s="16">
        <v>36706</v>
      </c>
      <c r="R106" s="16">
        <v>70606</v>
      </c>
      <c r="S106" s="16">
        <v>14425</v>
      </c>
      <c r="T106" s="16">
        <v>10189</v>
      </c>
      <c r="U106" s="16">
        <v>2062</v>
      </c>
      <c r="V106" s="16">
        <v>21052</v>
      </c>
      <c r="W106" s="16">
        <v>16803</v>
      </c>
      <c r="X106" s="16">
        <v>8532</v>
      </c>
      <c r="Y106" s="16">
        <v>24631</v>
      </c>
      <c r="Z106" s="16">
        <v>24408</v>
      </c>
      <c r="AA106" s="16">
        <v>18470</v>
      </c>
      <c r="AB106" s="16">
        <v>7987</v>
      </c>
      <c r="AC106" s="16">
        <v>22385</v>
      </c>
      <c r="AD106" s="16">
        <v>42325</v>
      </c>
      <c r="AE106" s="16">
        <v>12127</v>
      </c>
      <c r="AF106" s="16">
        <v>12601</v>
      </c>
      <c r="AG106" s="16">
        <v>9498</v>
      </c>
      <c r="AH106" s="16">
        <v>6309</v>
      </c>
      <c r="AI106" s="16">
        <v>23769</v>
      </c>
      <c r="AJ106" s="16">
        <v>18939</v>
      </c>
      <c r="AK106" s="16">
        <v>17152</v>
      </c>
      <c r="AL106" s="16">
        <v>9361</v>
      </c>
      <c r="AM106" s="18">
        <v>0</v>
      </c>
    </row>
    <row r="107" spans="1:39" ht="15.75" thickBot="1">
      <c r="A107" s="36">
        <f t="shared" si="45"/>
        <v>2008</v>
      </c>
      <c r="B107" s="36">
        <f t="shared" si="46"/>
        <v>9</v>
      </c>
      <c r="C107" s="39">
        <v>39692</v>
      </c>
      <c r="D107" s="40" t="s">
        <v>35</v>
      </c>
      <c r="E107" s="37"/>
      <c r="F107" s="19">
        <v>437731</v>
      </c>
      <c r="G107" s="20"/>
      <c r="H107" s="15">
        <v>46627</v>
      </c>
      <c r="I107" s="16">
        <v>30380</v>
      </c>
      <c r="J107" s="16">
        <v>16136</v>
      </c>
      <c r="K107" s="16">
        <v>14244</v>
      </c>
      <c r="L107" s="16">
        <v>15348</v>
      </c>
      <c r="M107" s="17">
        <v>388782</v>
      </c>
      <c r="N107" s="16">
        <v>212342</v>
      </c>
      <c r="O107" s="16">
        <v>98184</v>
      </c>
      <c r="P107" s="16">
        <v>15370</v>
      </c>
      <c r="Q107" s="16">
        <v>39485</v>
      </c>
      <c r="R107" s="16">
        <v>42120</v>
      </c>
      <c r="S107" s="16">
        <v>6632</v>
      </c>
      <c r="T107" s="16">
        <v>10550</v>
      </c>
      <c r="U107" s="16">
        <v>1017</v>
      </c>
      <c r="V107" s="16">
        <v>13878</v>
      </c>
      <c r="W107" s="16">
        <v>10132</v>
      </c>
      <c r="X107" s="16">
        <v>7180</v>
      </c>
      <c r="Y107" s="16">
        <v>15343</v>
      </c>
      <c r="Z107" s="16">
        <v>15012</v>
      </c>
      <c r="AA107" s="16">
        <v>18852</v>
      </c>
      <c r="AB107" s="16">
        <v>7342</v>
      </c>
      <c r="AC107" s="16">
        <v>9983</v>
      </c>
      <c r="AD107" s="16">
        <v>37499</v>
      </c>
      <c r="AE107" s="16">
        <v>12285</v>
      </c>
      <c r="AF107" s="16">
        <v>7743</v>
      </c>
      <c r="AG107" s="16">
        <v>9164</v>
      </c>
      <c r="AH107" s="16">
        <v>6492</v>
      </c>
      <c r="AI107" s="16">
        <v>23883</v>
      </c>
      <c r="AJ107" s="16">
        <v>17956</v>
      </c>
      <c r="AK107" s="16">
        <v>14410</v>
      </c>
      <c r="AL107" s="16">
        <v>9097</v>
      </c>
      <c r="AM107" s="18">
        <v>0</v>
      </c>
    </row>
    <row r="108" spans="1:39" ht="15.75" thickBot="1">
      <c r="A108" s="36">
        <f t="shared" si="45"/>
        <v>2008</v>
      </c>
      <c r="B108" s="36">
        <f t="shared" si="46"/>
        <v>10</v>
      </c>
      <c r="C108" s="39">
        <v>39722</v>
      </c>
      <c r="D108" s="40" t="s">
        <v>35</v>
      </c>
      <c r="E108" s="37"/>
      <c r="F108" s="19">
        <v>523896</v>
      </c>
      <c r="G108" s="20"/>
      <c r="H108" s="15">
        <v>69303</v>
      </c>
      <c r="I108" s="16">
        <v>48798</v>
      </c>
      <c r="J108" s="16">
        <v>31334</v>
      </c>
      <c r="K108" s="16">
        <v>17464</v>
      </c>
      <c r="L108" s="16">
        <v>19401</v>
      </c>
      <c r="M108" s="17">
        <v>455590</v>
      </c>
      <c r="N108" s="16">
        <v>259854</v>
      </c>
      <c r="O108" s="16">
        <v>95334</v>
      </c>
      <c r="P108" s="16">
        <v>23237</v>
      </c>
      <c r="Q108" s="16">
        <v>44555</v>
      </c>
      <c r="R108" s="16">
        <v>62946</v>
      </c>
      <c r="S108" s="16">
        <v>19877</v>
      </c>
      <c r="T108" s="16">
        <v>13905</v>
      </c>
      <c r="U108" s="16">
        <v>1954</v>
      </c>
      <c r="V108" s="16">
        <v>17260</v>
      </c>
      <c r="W108" s="16">
        <v>14969</v>
      </c>
      <c r="X108" s="16">
        <v>6608</v>
      </c>
      <c r="Y108" s="16">
        <v>20749</v>
      </c>
      <c r="Z108" s="16">
        <v>20460</v>
      </c>
      <c r="AA108" s="16">
        <v>26526</v>
      </c>
      <c r="AB108" s="16">
        <v>7021</v>
      </c>
      <c r="AC108" s="16">
        <v>10879</v>
      </c>
      <c r="AD108" s="16">
        <v>35889</v>
      </c>
      <c r="AE108" s="16">
        <v>11322</v>
      </c>
      <c r="AF108" s="16">
        <v>7169</v>
      </c>
      <c r="AG108" s="16">
        <v>10034</v>
      </c>
      <c r="AH108" s="16">
        <v>5202</v>
      </c>
      <c r="AI108" s="16">
        <v>21851</v>
      </c>
      <c r="AJ108" s="16">
        <v>15257</v>
      </c>
      <c r="AK108" s="16">
        <v>19427</v>
      </c>
      <c r="AL108" s="16">
        <v>12313</v>
      </c>
      <c r="AM108" s="18">
        <v>455</v>
      </c>
    </row>
    <row r="109" spans="1:39" ht="15.75" thickBot="1">
      <c r="A109" s="36">
        <f t="shared" si="45"/>
        <v>2008</v>
      </c>
      <c r="B109" s="36">
        <f t="shared" si="46"/>
        <v>11</v>
      </c>
      <c r="C109" s="39">
        <v>39753</v>
      </c>
      <c r="D109" s="40" t="s">
        <v>35</v>
      </c>
      <c r="E109" s="37"/>
      <c r="F109" s="19">
        <v>442836</v>
      </c>
      <c r="G109" s="20"/>
      <c r="H109" s="15">
        <v>31327</v>
      </c>
      <c r="I109" s="16">
        <v>17368</v>
      </c>
      <c r="J109" s="16">
        <v>7469</v>
      </c>
      <c r="K109" s="16">
        <v>9899</v>
      </c>
      <c r="L109" s="16">
        <v>13250</v>
      </c>
      <c r="M109" s="17">
        <v>417586</v>
      </c>
      <c r="N109" s="16">
        <v>253600</v>
      </c>
      <c r="O109" s="16">
        <v>111176</v>
      </c>
      <c r="P109" s="16">
        <v>19193</v>
      </c>
      <c r="Q109" s="16">
        <v>52445</v>
      </c>
      <c r="R109" s="16">
        <v>38524</v>
      </c>
      <c r="S109" s="16">
        <v>23199</v>
      </c>
      <c r="T109" s="16">
        <v>9062</v>
      </c>
      <c r="U109" s="16">
        <v>1737</v>
      </c>
      <c r="V109" s="16">
        <v>15112</v>
      </c>
      <c r="W109" s="16">
        <v>12188</v>
      </c>
      <c r="X109" s="16">
        <v>3543</v>
      </c>
      <c r="Y109" s="16">
        <v>13668</v>
      </c>
      <c r="Z109" s="16">
        <v>13631</v>
      </c>
      <c r="AA109" s="16">
        <v>23199</v>
      </c>
      <c r="AB109" s="16">
        <v>8533</v>
      </c>
      <c r="AC109" s="16">
        <v>7567</v>
      </c>
      <c r="AD109" s="16">
        <v>31753</v>
      </c>
      <c r="AE109" s="16">
        <v>9468</v>
      </c>
      <c r="AF109" s="16">
        <v>5032</v>
      </c>
      <c r="AG109" s="16">
        <v>11262</v>
      </c>
      <c r="AH109" s="16">
        <v>4184</v>
      </c>
      <c r="AI109" s="16">
        <v>22095</v>
      </c>
      <c r="AJ109" s="16">
        <v>10343</v>
      </c>
      <c r="AK109" s="16">
        <v>14472</v>
      </c>
      <c r="AL109" s="16">
        <v>11964</v>
      </c>
      <c r="AM109" s="18">
        <v>84</v>
      </c>
    </row>
    <row r="110" spans="1:39" ht="15.75" thickBot="1">
      <c r="A110" s="36">
        <f t="shared" si="45"/>
        <v>2008</v>
      </c>
      <c r="B110" s="36">
        <f t="shared" si="46"/>
        <v>12</v>
      </c>
      <c r="C110" s="39">
        <v>39783</v>
      </c>
      <c r="D110" s="40" t="s">
        <v>35</v>
      </c>
      <c r="E110" s="37"/>
      <c r="F110" s="19">
        <v>368500</v>
      </c>
      <c r="G110" s="20"/>
      <c r="H110" s="15">
        <v>38056</v>
      </c>
      <c r="I110" s="16">
        <v>22658</v>
      </c>
      <c r="J110" s="16">
        <v>15139</v>
      </c>
      <c r="K110" s="16">
        <v>7518</v>
      </c>
      <c r="L110" s="16">
        <v>14894</v>
      </c>
      <c r="M110" s="17">
        <v>334616</v>
      </c>
      <c r="N110" s="16">
        <v>190446</v>
      </c>
      <c r="O110" s="16">
        <v>94056</v>
      </c>
      <c r="P110" s="16">
        <v>16349</v>
      </c>
      <c r="Q110" s="16">
        <v>29322</v>
      </c>
      <c r="R110" s="16">
        <v>17306</v>
      </c>
      <c r="S110" s="16">
        <v>25339</v>
      </c>
      <c r="T110" s="16">
        <v>8074</v>
      </c>
      <c r="U110" s="16">
        <v>1497</v>
      </c>
      <c r="V110" s="16">
        <v>14942</v>
      </c>
      <c r="W110" s="16">
        <v>12985</v>
      </c>
      <c r="X110" s="16">
        <v>2566</v>
      </c>
      <c r="Y110" s="16">
        <v>14110</v>
      </c>
      <c r="Z110" s="16">
        <v>13834</v>
      </c>
      <c r="AA110" s="16">
        <v>27748</v>
      </c>
      <c r="AB110" s="16">
        <v>6179</v>
      </c>
      <c r="AC110" s="16">
        <v>6956</v>
      </c>
      <c r="AD110" s="16">
        <v>26168</v>
      </c>
      <c r="AE110" s="16">
        <v>7238</v>
      </c>
      <c r="AF110" s="16">
        <v>4053</v>
      </c>
      <c r="AG110" s="16">
        <v>9148</v>
      </c>
      <c r="AH110" s="16">
        <v>4418</v>
      </c>
      <c r="AI110" s="16">
        <v>18716</v>
      </c>
      <c r="AJ110" s="16">
        <v>7799</v>
      </c>
      <c r="AK110" s="16">
        <v>5689</v>
      </c>
      <c r="AL110" s="16">
        <v>11800</v>
      </c>
      <c r="AM110" s="18">
        <v>586</v>
      </c>
    </row>
    <row r="111" spans="1:39" ht="15.75" thickBot="1">
      <c r="A111" s="36">
        <f t="shared" si="45"/>
        <v>2009</v>
      </c>
      <c r="B111" s="36">
        <f t="shared" si="46"/>
        <v>1</v>
      </c>
      <c r="C111" s="39">
        <v>39814</v>
      </c>
      <c r="D111" s="40" t="s">
        <v>35</v>
      </c>
      <c r="E111" s="37"/>
      <c r="F111" s="19">
        <v>347533</v>
      </c>
      <c r="G111" s="20"/>
      <c r="H111" s="15">
        <v>52276</v>
      </c>
      <c r="I111" s="16">
        <v>35894</v>
      </c>
      <c r="J111" s="16">
        <v>26197</v>
      </c>
      <c r="K111" s="16">
        <v>9696</v>
      </c>
      <c r="L111" s="16">
        <v>15800</v>
      </c>
      <c r="M111" s="17">
        <v>295239</v>
      </c>
      <c r="N111" s="16">
        <v>184411</v>
      </c>
      <c r="O111" s="16">
        <v>96041</v>
      </c>
      <c r="P111" s="16">
        <v>9827</v>
      </c>
      <c r="Q111" s="16">
        <v>24281</v>
      </c>
      <c r="R111" s="16">
        <v>41541</v>
      </c>
      <c r="S111" s="16">
        <v>5111</v>
      </c>
      <c r="T111" s="16">
        <v>7611</v>
      </c>
      <c r="U111" s="16">
        <v>1525</v>
      </c>
      <c r="V111" s="16">
        <v>10893</v>
      </c>
      <c r="W111" s="16">
        <v>9017</v>
      </c>
      <c r="X111" s="16">
        <v>3517</v>
      </c>
      <c r="Y111" s="16">
        <v>11676</v>
      </c>
      <c r="Z111" s="16">
        <v>11442</v>
      </c>
      <c r="AA111" s="16">
        <v>6745</v>
      </c>
      <c r="AB111" s="16">
        <v>7284</v>
      </c>
      <c r="AC111" s="16">
        <v>4387</v>
      </c>
      <c r="AD111" s="16">
        <v>23406</v>
      </c>
      <c r="AE111" s="16">
        <v>6911</v>
      </c>
      <c r="AF111" s="16">
        <v>621</v>
      </c>
      <c r="AG111" s="16">
        <v>9279</v>
      </c>
      <c r="AH111" s="16">
        <v>5498</v>
      </c>
      <c r="AI111" s="16">
        <v>17831</v>
      </c>
      <c r="AJ111" s="16">
        <v>13244</v>
      </c>
      <c r="AK111" s="16">
        <v>3671</v>
      </c>
      <c r="AL111" s="16">
        <v>6649</v>
      </c>
      <c r="AM111" s="18">
        <v>0</v>
      </c>
    </row>
    <row r="112" spans="1:39" ht="15.75" thickBot="1">
      <c r="A112" s="36">
        <f t="shared" si="45"/>
        <v>2009</v>
      </c>
      <c r="B112" s="36">
        <f t="shared" si="46"/>
        <v>2</v>
      </c>
      <c r="C112" s="39">
        <v>39845</v>
      </c>
      <c r="D112" s="40" t="s">
        <v>35</v>
      </c>
      <c r="E112" s="37"/>
      <c r="F112" s="19">
        <v>371616</v>
      </c>
      <c r="G112" s="20"/>
      <c r="H112" s="15">
        <v>33789</v>
      </c>
      <c r="I112" s="16">
        <v>18217</v>
      </c>
      <c r="J112" s="16">
        <v>12480</v>
      </c>
      <c r="K112" s="16">
        <v>5737</v>
      </c>
      <c r="L112" s="16">
        <v>15069</v>
      </c>
      <c r="M112" s="17">
        <v>337792</v>
      </c>
      <c r="N112" s="16">
        <v>213070</v>
      </c>
      <c r="O112" s="16">
        <v>95608</v>
      </c>
      <c r="P112" s="16">
        <v>10850</v>
      </c>
      <c r="Q112" s="16">
        <v>31517</v>
      </c>
      <c r="R112" s="16">
        <v>45772</v>
      </c>
      <c r="S112" s="16">
        <v>20385</v>
      </c>
      <c r="T112" s="16">
        <v>8938</v>
      </c>
      <c r="U112" s="16">
        <v>1608</v>
      </c>
      <c r="V112" s="16">
        <v>13366</v>
      </c>
      <c r="W112" s="16">
        <v>10500</v>
      </c>
      <c r="X112" s="16">
        <v>3879</v>
      </c>
      <c r="Y112" s="16">
        <v>10094</v>
      </c>
      <c r="Z112" s="16">
        <v>10013</v>
      </c>
      <c r="AA112" s="16">
        <v>16288</v>
      </c>
      <c r="AB112" s="16">
        <v>10097</v>
      </c>
      <c r="AC112" s="16">
        <v>10002</v>
      </c>
      <c r="AD112" s="16">
        <v>21008</v>
      </c>
      <c r="AE112" s="16">
        <v>6789</v>
      </c>
      <c r="AF112" s="16">
        <v>1328</v>
      </c>
      <c r="AG112" s="16">
        <v>6860</v>
      </c>
      <c r="AH112" s="16">
        <v>5066</v>
      </c>
      <c r="AI112" s="16">
        <v>14623</v>
      </c>
      <c r="AJ112" s="16">
        <v>9863</v>
      </c>
      <c r="AK112" s="16">
        <v>6516</v>
      </c>
      <c r="AL112" s="16">
        <v>7378</v>
      </c>
      <c r="AM112" s="18">
        <v>0</v>
      </c>
    </row>
    <row r="113" spans="1:39" ht="15.75" thickBot="1">
      <c r="A113" s="36">
        <f t="shared" si="45"/>
        <v>2009</v>
      </c>
      <c r="B113" s="36">
        <f t="shared" si="46"/>
        <v>3</v>
      </c>
      <c r="C113" s="39">
        <v>39873</v>
      </c>
      <c r="D113" s="40" t="s">
        <v>35</v>
      </c>
      <c r="E113" s="37"/>
      <c r="F113" s="19">
        <v>360207</v>
      </c>
      <c r="G113" s="20"/>
      <c r="H113" s="15">
        <v>63156</v>
      </c>
      <c r="I113" s="16">
        <v>44976</v>
      </c>
      <c r="J113" s="16">
        <v>35493</v>
      </c>
      <c r="K113" s="16">
        <v>9482</v>
      </c>
      <c r="L113" s="16">
        <v>17087</v>
      </c>
      <c r="M113" s="17">
        <v>296986</v>
      </c>
      <c r="N113" s="16">
        <v>168207</v>
      </c>
      <c r="O113" s="16">
        <v>78665</v>
      </c>
      <c r="P113" s="16">
        <v>16971</v>
      </c>
      <c r="Q113" s="16">
        <v>22629</v>
      </c>
      <c r="R113" s="16">
        <v>23500</v>
      </c>
      <c r="S113" s="16">
        <v>15483</v>
      </c>
      <c r="T113" s="16">
        <v>10959</v>
      </c>
      <c r="U113" s="16">
        <v>2834</v>
      </c>
      <c r="V113" s="16">
        <v>17399</v>
      </c>
      <c r="W113" s="16">
        <v>12758</v>
      </c>
      <c r="X113" s="16">
        <v>5420</v>
      </c>
      <c r="Y113" s="16">
        <v>10248</v>
      </c>
      <c r="Z113" s="16">
        <v>9899</v>
      </c>
      <c r="AA113" s="16">
        <v>9386</v>
      </c>
      <c r="AB113" s="16">
        <v>6101</v>
      </c>
      <c r="AC113" s="16">
        <v>4115</v>
      </c>
      <c r="AD113" s="16">
        <v>27040</v>
      </c>
      <c r="AE113" s="16">
        <v>7873</v>
      </c>
      <c r="AF113" s="16">
        <v>2839</v>
      </c>
      <c r="AG113" s="16">
        <v>10250</v>
      </c>
      <c r="AH113" s="16">
        <v>4876</v>
      </c>
      <c r="AI113" s="16">
        <v>18954</v>
      </c>
      <c r="AJ113" s="16">
        <v>11877</v>
      </c>
      <c r="AK113" s="16">
        <v>7627</v>
      </c>
      <c r="AL113" s="16">
        <v>7778</v>
      </c>
      <c r="AM113" s="18">
        <v>0</v>
      </c>
    </row>
    <row r="114" spans="1:39" ht="15.75" thickBot="1">
      <c r="A114" s="36">
        <f t="shared" si="45"/>
        <v>2009</v>
      </c>
      <c r="B114" s="36">
        <f t="shared" si="46"/>
        <v>4</v>
      </c>
      <c r="C114" s="39">
        <v>39904</v>
      </c>
      <c r="D114" s="40" t="s">
        <v>35</v>
      </c>
      <c r="E114" s="37"/>
      <c r="F114" s="19">
        <v>410494</v>
      </c>
      <c r="G114" s="20"/>
      <c r="H114" s="15">
        <v>113986</v>
      </c>
      <c r="I114" s="16">
        <v>95559</v>
      </c>
      <c r="J114" s="16">
        <v>76724</v>
      </c>
      <c r="K114" s="16">
        <v>18835</v>
      </c>
      <c r="L114" s="16">
        <v>17409</v>
      </c>
      <c r="M114" s="17">
        <v>296432</v>
      </c>
      <c r="N114" s="16">
        <v>162028</v>
      </c>
      <c r="O114" s="16">
        <v>81823</v>
      </c>
      <c r="P114" s="16">
        <v>12541</v>
      </c>
      <c r="Q114" s="16">
        <v>23631</v>
      </c>
      <c r="R114" s="16">
        <v>23233</v>
      </c>
      <c r="S114" s="16">
        <v>11546</v>
      </c>
      <c r="T114" s="16">
        <v>9254</v>
      </c>
      <c r="U114" s="16">
        <v>887</v>
      </c>
      <c r="V114" s="16">
        <v>16819</v>
      </c>
      <c r="W114" s="16">
        <v>13383</v>
      </c>
      <c r="X114" s="16">
        <v>6498</v>
      </c>
      <c r="Y114" s="16">
        <v>8414</v>
      </c>
      <c r="Z114" s="16">
        <v>8164</v>
      </c>
      <c r="AA114" s="16">
        <v>3779</v>
      </c>
      <c r="AB114" s="16">
        <v>6561</v>
      </c>
      <c r="AC114" s="16">
        <v>11438</v>
      </c>
      <c r="AD114" s="16">
        <v>23908</v>
      </c>
      <c r="AE114" s="16">
        <v>6810</v>
      </c>
      <c r="AF114" s="16">
        <v>1504</v>
      </c>
      <c r="AG114" s="16">
        <v>10139</v>
      </c>
      <c r="AH114" s="16">
        <v>4533</v>
      </c>
      <c r="AI114" s="16">
        <v>16697</v>
      </c>
      <c r="AJ114" s="16">
        <v>19356</v>
      </c>
      <c r="AK114" s="16">
        <v>12581</v>
      </c>
      <c r="AL114" s="16">
        <v>7465</v>
      </c>
      <c r="AM114" s="18">
        <v>0</v>
      </c>
    </row>
    <row r="115" spans="1:39" ht="15.75" thickBot="1">
      <c r="A115" s="36">
        <f t="shared" si="45"/>
        <v>2009</v>
      </c>
      <c r="B115" s="36">
        <f t="shared" si="46"/>
        <v>5</v>
      </c>
      <c r="C115" s="39">
        <v>39934</v>
      </c>
      <c r="D115" s="40" t="s">
        <v>35</v>
      </c>
      <c r="E115" s="37"/>
      <c r="F115" s="19">
        <v>559647</v>
      </c>
      <c r="G115" s="20"/>
      <c r="H115" s="15">
        <v>191788</v>
      </c>
      <c r="I115" s="16">
        <v>176449</v>
      </c>
      <c r="J115" s="16">
        <v>166704</v>
      </c>
      <c r="K115" s="16">
        <v>9746</v>
      </c>
      <c r="L115" s="16">
        <v>14365</v>
      </c>
      <c r="M115" s="17">
        <v>367811</v>
      </c>
      <c r="N115" s="16">
        <v>233833</v>
      </c>
      <c r="O115" s="16">
        <v>121575</v>
      </c>
      <c r="P115" s="16">
        <v>11903</v>
      </c>
      <c r="Q115" s="16">
        <v>26484</v>
      </c>
      <c r="R115" s="16">
        <v>48262</v>
      </c>
      <c r="S115" s="16">
        <v>15962</v>
      </c>
      <c r="T115" s="16">
        <v>9647</v>
      </c>
      <c r="U115" s="16">
        <v>2254</v>
      </c>
      <c r="V115" s="16">
        <v>18727</v>
      </c>
      <c r="W115" s="16">
        <v>14477</v>
      </c>
      <c r="X115" s="16">
        <v>4446</v>
      </c>
      <c r="Y115" s="16">
        <v>12465</v>
      </c>
      <c r="Z115" s="16">
        <v>12176</v>
      </c>
      <c r="AA115" s="16">
        <v>12500</v>
      </c>
      <c r="AB115" s="16">
        <v>5724</v>
      </c>
      <c r="AC115" s="16">
        <v>8104</v>
      </c>
      <c r="AD115" s="16">
        <v>25455</v>
      </c>
      <c r="AE115" s="16">
        <v>6817</v>
      </c>
      <c r="AF115" s="16">
        <v>2645</v>
      </c>
      <c r="AG115" s="16">
        <v>9601</v>
      </c>
      <c r="AH115" s="16">
        <v>5077</v>
      </c>
      <c r="AI115" s="16">
        <v>16696</v>
      </c>
      <c r="AJ115" s="16">
        <v>13046</v>
      </c>
      <c r="AK115" s="16">
        <v>6395</v>
      </c>
      <c r="AL115" s="16">
        <v>8166</v>
      </c>
      <c r="AM115" s="18">
        <v>0</v>
      </c>
    </row>
    <row r="116" spans="1:39" ht="15.75" thickBot="1">
      <c r="A116" s="36">
        <f t="shared" si="45"/>
        <v>2009</v>
      </c>
      <c r="B116" s="36">
        <f t="shared" si="46"/>
        <v>6</v>
      </c>
      <c r="C116" s="39">
        <v>39965</v>
      </c>
      <c r="D116" s="40" t="s">
        <v>35</v>
      </c>
      <c r="E116" s="37"/>
      <c r="F116" s="19">
        <v>517657</v>
      </c>
      <c r="G116" s="20"/>
      <c r="H116" s="15">
        <v>153139</v>
      </c>
      <c r="I116" s="16">
        <v>133966</v>
      </c>
      <c r="J116" s="16">
        <v>124694</v>
      </c>
      <c r="K116" s="16">
        <v>9271</v>
      </c>
      <c r="L116" s="16">
        <v>18215</v>
      </c>
      <c r="M116" s="17">
        <v>364504</v>
      </c>
      <c r="N116" s="16">
        <v>200442</v>
      </c>
      <c r="O116" s="16">
        <v>104205</v>
      </c>
      <c r="P116" s="16">
        <v>11111</v>
      </c>
      <c r="Q116" s="16">
        <v>25607</v>
      </c>
      <c r="R116" s="16">
        <v>36238</v>
      </c>
      <c r="S116" s="16">
        <v>14318</v>
      </c>
      <c r="T116" s="16">
        <v>8964</v>
      </c>
      <c r="U116" s="16">
        <v>2185</v>
      </c>
      <c r="V116" s="16">
        <v>14557</v>
      </c>
      <c r="W116" s="16">
        <v>10921</v>
      </c>
      <c r="X116" s="16">
        <v>3327</v>
      </c>
      <c r="Y116" s="16">
        <v>11267</v>
      </c>
      <c r="Z116" s="16">
        <v>11043</v>
      </c>
      <c r="AA116" s="16">
        <v>6931</v>
      </c>
      <c r="AB116" s="16">
        <v>34815</v>
      </c>
      <c r="AC116" s="16">
        <v>16999</v>
      </c>
      <c r="AD116" s="16">
        <v>23881</v>
      </c>
      <c r="AE116" s="16">
        <v>6214</v>
      </c>
      <c r="AF116" s="16">
        <v>1663</v>
      </c>
      <c r="AG116" s="16">
        <v>9292</v>
      </c>
      <c r="AH116" s="16">
        <v>4352</v>
      </c>
      <c r="AI116" s="16">
        <v>16391</v>
      </c>
      <c r="AJ116" s="16">
        <v>10632</v>
      </c>
      <c r="AK116" s="16">
        <v>15179</v>
      </c>
      <c r="AL116" s="16">
        <v>7899</v>
      </c>
      <c r="AM116" s="18">
        <v>0</v>
      </c>
    </row>
    <row r="117" spans="1:39" ht="15.75" thickBot="1">
      <c r="A117" s="36">
        <f t="shared" si="45"/>
        <v>2009</v>
      </c>
      <c r="B117" s="36">
        <f t="shared" si="46"/>
        <v>7</v>
      </c>
      <c r="C117" s="39">
        <v>39995</v>
      </c>
      <c r="D117" s="40" t="s">
        <v>35</v>
      </c>
      <c r="E117" s="37"/>
      <c r="F117" s="19">
        <v>522278</v>
      </c>
      <c r="G117" s="20"/>
      <c r="H117" s="15">
        <v>179632</v>
      </c>
      <c r="I117" s="16">
        <v>159708</v>
      </c>
      <c r="J117" s="16">
        <v>143175</v>
      </c>
      <c r="K117" s="16">
        <v>16534</v>
      </c>
      <c r="L117" s="16">
        <v>18154</v>
      </c>
      <c r="M117" s="17">
        <v>342430</v>
      </c>
      <c r="N117" s="16">
        <v>202017</v>
      </c>
      <c r="O117" s="16">
        <v>96100</v>
      </c>
      <c r="P117" s="16">
        <v>18016</v>
      </c>
      <c r="Q117" s="16">
        <v>28793</v>
      </c>
      <c r="R117" s="16">
        <v>37030</v>
      </c>
      <c r="S117" s="16">
        <v>12947</v>
      </c>
      <c r="T117" s="16">
        <v>9131</v>
      </c>
      <c r="U117" s="16">
        <v>1731</v>
      </c>
      <c r="V117" s="16">
        <v>18496</v>
      </c>
      <c r="W117" s="16">
        <v>15641</v>
      </c>
      <c r="X117" s="16">
        <v>4011</v>
      </c>
      <c r="Y117" s="16">
        <v>14087</v>
      </c>
      <c r="Z117" s="16">
        <v>13857</v>
      </c>
      <c r="AA117" s="16">
        <v>8808</v>
      </c>
      <c r="AB117" s="16">
        <v>8614</v>
      </c>
      <c r="AC117" s="16">
        <v>11409</v>
      </c>
      <c r="AD117" s="16">
        <v>29847</v>
      </c>
      <c r="AE117" s="16">
        <v>8457</v>
      </c>
      <c r="AF117" s="16">
        <v>3516</v>
      </c>
      <c r="AG117" s="16">
        <v>11421</v>
      </c>
      <c r="AH117" s="16">
        <v>4922</v>
      </c>
      <c r="AI117" s="16">
        <v>15322</v>
      </c>
      <c r="AJ117" s="16">
        <v>11457</v>
      </c>
      <c r="AK117" s="16">
        <v>9723</v>
      </c>
      <c r="AL117" s="16">
        <v>6909</v>
      </c>
      <c r="AM117" s="18">
        <v>0</v>
      </c>
    </row>
    <row r="118" spans="1:39" ht="15.75" thickBot="1">
      <c r="A118" s="36">
        <f t="shared" si="45"/>
        <v>2009</v>
      </c>
      <c r="B118" s="36">
        <f t="shared" si="46"/>
        <v>8</v>
      </c>
      <c r="C118" s="39">
        <v>40026</v>
      </c>
      <c r="D118" s="40" t="s">
        <v>35</v>
      </c>
      <c r="E118" s="37"/>
      <c r="F118" s="19">
        <v>489775</v>
      </c>
      <c r="G118" s="20"/>
      <c r="H118" s="15">
        <v>133810</v>
      </c>
      <c r="I118" s="16">
        <v>116902</v>
      </c>
      <c r="J118" s="16">
        <v>102188</v>
      </c>
      <c r="K118" s="16">
        <v>14713</v>
      </c>
      <c r="L118" s="16">
        <v>15337</v>
      </c>
      <c r="M118" s="17">
        <v>355925</v>
      </c>
      <c r="N118" s="16">
        <v>221877</v>
      </c>
      <c r="O118" s="16">
        <v>99970</v>
      </c>
      <c r="P118" s="16">
        <v>16690</v>
      </c>
      <c r="Q118" s="16">
        <v>36431</v>
      </c>
      <c r="R118" s="16">
        <v>39695</v>
      </c>
      <c r="S118" s="16">
        <v>19482</v>
      </c>
      <c r="T118" s="16">
        <v>9610</v>
      </c>
      <c r="U118" s="16">
        <v>2150</v>
      </c>
      <c r="V118" s="16">
        <v>13587</v>
      </c>
      <c r="W118" s="16">
        <v>10702</v>
      </c>
      <c r="X118" s="16">
        <v>5958</v>
      </c>
      <c r="Y118" s="16">
        <v>12688</v>
      </c>
      <c r="Z118" s="16">
        <v>12348</v>
      </c>
      <c r="AA118" s="16">
        <v>11287</v>
      </c>
      <c r="AB118" s="16">
        <v>6376</v>
      </c>
      <c r="AC118" s="16">
        <v>55</v>
      </c>
      <c r="AD118" s="16">
        <v>30575</v>
      </c>
      <c r="AE118" s="16">
        <v>8303</v>
      </c>
      <c r="AF118" s="16">
        <v>4362</v>
      </c>
      <c r="AG118" s="16">
        <v>10094</v>
      </c>
      <c r="AH118" s="16">
        <v>5176</v>
      </c>
      <c r="AI118" s="16">
        <v>17288</v>
      </c>
      <c r="AJ118" s="16">
        <v>10623</v>
      </c>
      <c r="AK118" s="16">
        <v>14518</v>
      </c>
      <c r="AL118" s="16">
        <v>8943</v>
      </c>
      <c r="AM118" s="18">
        <v>0</v>
      </c>
    </row>
    <row r="119" spans="1:39" ht="15.75" thickBot="1">
      <c r="A119" s="36">
        <f t="shared" si="45"/>
        <v>2009</v>
      </c>
      <c r="B119" s="36">
        <f t="shared" si="46"/>
        <v>9</v>
      </c>
      <c r="C119" s="39">
        <v>40057</v>
      </c>
      <c r="D119" s="40" t="s">
        <v>35</v>
      </c>
      <c r="E119" s="37"/>
      <c r="F119" s="19">
        <v>442391</v>
      </c>
      <c r="G119" s="20"/>
      <c r="H119" s="15">
        <v>88423</v>
      </c>
      <c r="I119" s="16">
        <v>70730</v>
      </c>
      <c r="J119" s="16">
        <v>60450</v>
      </c>
      <c r="K119" s="16">
        <v>10280</v>
      </c>
      <c r="L119" s="16">
        <v>16148</v>
      </c>
      <c r="M119" s="17">
        <v>353850</v>
      </c>
      <c r="N119" s="16">
        <v>214460</v>
      </c>
      <c r="O119" s="16">
        <v>90595</v>
      </c>
      <c r="P119" s="16">
        <v>18018</v>
      </c>
      <c r="Q119" s="16">
        <v>33333</v>
      </c>
      <c r="R119" s="16">
        <v>51177</v>
      </c>
      <c r="S119" s="16">
        <v>9457</v>
      </c>
      <c r="T119" s="16">
        <v>11881</v>
      </c>
      <c r="U119" s="16">
        <v>2534</v>
      </c>
      <c r="V119" s="16">
        <v>11990</v>
      </c>
      <c r="W119" s="16">
        <v>9167</v>
      </c>
      <c r="X119" s="16">
        <v>4481</v>
      </c>
      <c r="Y119" s="16">
        <v>17522</v>
      </c>
      <c r="Z119" s="16">
        <v>17150</v>
      </c>
      <c r="AA119" s="16">
        <v>15853</v>
      </c>
      <c r="AB119" s="16">
        <v>6926</v>
      </c>
      <c r="AC119" s="16">
        <v>406</v>
      </c>
      <c r="AD119" s="16">
        <v>29318</v>
      </c>
      <c r="AE119" s="16">
        <v>9077</v>
      </c>
      <c r="AF119" s="16">
        <v>3333</v>
      </c>
      <c r="AG119" s="16">
        <v>9773</v>
      </c>
      <c r="AH119" s="16">
        <v>5289</v>
      </c>
      <c r="AI119" s="16">
        <v>18948</v>
      </c>
      <c r="AJ119" s="16">
        <v>9908</v>
      </c>
      <c r="AK119" s="16">
        <v>9926</v>
      </c>
      <c r="AL119" s="16">
        <v>11578</v>
      </c>
      <c r="AM119" s="18">
        <v>76</v>
      </c>
    </row>
    <row r="120" spans="1:39" ht="15.75" thickBot="1">
      <c r="A120" s="36">
        <f t="shared" si="45"/>
        <v>2009</v>
      </c>
      <c r="B120" s="36">
        <f t="shared" si="46"/>
        <v>10</v>
      </c>
      <c r="C120" s="39">
        <v>40087</v>
      </c>
      <c r="D120" s="40" t="s">
        <v>35</v>
      </c>
      <c r="E120" s="37"/>
      <c r="F120" s="19">
        <v>487132</v>
      </c>
      <c r="G120" s="20"/>
      <c r="H120" s="15">
        <v>74259</v>
      </c>
      <c r="I120" s="16">
        <v>54026</v>
      </c>
      <c r="J120" s="16">
        <v>32240</v>
      </c>
      <c r="K120" s="16">
        <v>21786</v>
      </c>
      <c r="L120" s="16">
        <v>19359</v>
      </c>
      <c r="M120" s="17">
        <v>412483</v>
      </c>
      <c r="N120" s="16">
        <v>255207</v>
      </c>
      <c r="O120" s="16">
        <v>117981</v>
      </c>
      <c r="P120" s="16">
        <v>17749</v>
      </c>
      <c r="Q120" s="16">
        <v>35464</v>
      </c>
      <c r="R120" s="16">
        <v>42649</v>
      </c>
      <c r="S120" s="16">
        <v>27018</v>
      </c>
      <c r="T120" s="16">
        <v>14345</v>
      </c>
      <c r="U120" s="16">
        <v>2589</v>
      </c>
      <c r="V120" s="16">
        <v>14460</v>
      </c>
      <c r="W120" s="16">
        <v>12135</v>
      </c>
      <c r="X120" s="16">
        <v>3578</v>
      </c>
      <c r="Y120" s="16">
        <v>20132</v>
      </c>
      <c r="Z120" s="16">
        <v>19809</v>
      </c>
      <c r="AA120" s="16">
        <v>16070</v>
      </c>
      <c r="AB120" s="16">
        <v>7428</v>
      </c>
      <c r="AC120" s="16">
        <v>1574</v>
      </c>
      <c r="AD120" s="16">
        <v>33775</v>
      </c>
      <c r="AE120" s="16">
        <v>8854</v>
      </c>
      <c r="AF120" s="16">
        <v>4381</v>
      </c>
      <c r="AG120" s="16">
        <v>11825</v>
      </c>
      <c r="AH120" s="16">
        <v>5343</v>
      </c>
      <c r="AI120" s="16">
        <v>21306</v>
      </c>
      <c r="AJ120" s="16">
        <v>14321</v>
      </c>
      <c r="AK120" s="16">
        <v>13145</v>
      </c>
      <c r="AL120" s="16">
        <v>8898</v>
      </c>
      <c r="AM120" s="18">
        <v>334</v>
      </c>
    </row>
    <row r="121" spans="1:39" ht="15.75" thickBot="1">
      <c r="A121" s="36">
        <f t="shared" si="45"/>
        <v>2009</v>
      </c>
      <c r="B121" s="36">
        <f t="shared" si="46"/>
        <v>11</v>
      </c>
      <c r="C121" s="39">
        <v>40118</v>
      </c>
      <c r="D121" s="40" t="s">
        <v>35</v>
      </c>
      <c r="E121" s="37"/>
      <c r="F121" s="19">
        <v>429200</v>
      </c>
      <c r="G121" s="20"/>
      <c r="H121" s="15">
        <v>39472</v>
      </c>
      <c r="I121" s="16">
        <v>30499</v>
      </c>
      <c r="J121" s="16">
        <v>15163</v>
      </c>
      <c r="K121" s="16">
        <v>15337</v>
      </c>
      <c r="L121" s="16">
        <v>8230</v>
      </c>
      <c r="M121" s="17">
        <v>389043</v>
      </c>
      <c r="N121" s="16">
        <v>231766</v>
      </c>
      <c r="O121" s="16">
        <v>124113</v>
      </c>
      <c r="P121" s="16">
        <v>15455</v>
      </c>
      <c r="Q121" s="16">
        <v>42635</v>
      </c>
      <c r="R121" s="16">
        <v>26935</v>
      </c>
      <c r="S121" s="16">
        <v>10850</v>
      </c>
      <c r="T121" s="16">
        <v>11780</v>
      </c>
      <c r="U121" s="16">
        <v>2502</v>
      </c>
      <c r="V121" s="16">
        <v>16392</v>
      </c>
      <c r="W121" s="16">
        <v>14616</v>
      </c>
      <c r="X121" s="16">
        <v>2397</v>
      </c>
      <c r="Y121" s="16">
        <v>20752</v>
      </c>
      <c r="Z121" s="16">
        <v>20489</v>
      </c>
      <c r="AA121" s="16">
        <v>13582</v>
      </c>
      <c r="AB121" s="16">
        <v>8449</v>
      </c>
      <c r="AC121" s="16">
        <v>551</v>
      </c>
      <c r="AD121" s="16">
        <v>30893</v>
      </c>
      <c r="AE121" s="16">
        <v>8521</v>
      </c>
      <c r="AF121" s="16">
        <v>4239</v>
      </c>
      <c r="AG121" s="16">
        <v>9223</v>
      </c>
      <c r="AH121" s="16">
        <v>5192</v>
      </c>
      <c r="AI121" s="16">
        <v>23078</v>
      </c>
      <c r="AJ121" s="16">
        <v>12142</v>
      </c>
      <c r="AK121" s="16">
        <v>15373</v>
      </c>
      <c r="AL121" s="16">
        <v>11165</v>
      </c>
      <c r="AM121" s="18">
        <v>661</v>
      </c>
    </row>
    <row r="122" spans="1:39" ht="15.75" thickBot="1">
      <c r="A122" s="36">
        <f t="shared" si="45"/>
        <v>2009</v>
      </c>
      <c r="B122" s="36">
        <f t="shared" si="46"/>
        <v>12</v>
      </c>
      <c r="C122" s="39">
        <v>40148</v>
      </c>
      <c r="D122" s="40" t="s">
        <v>35</v>
      </c>
      <c r="E122" s="37"/>
      <c r="F122" s="19">
        <v>466833</v>
      </c>
      <c r="G122" s="20"/>
      <c r="H122" s="15">
        <v>62314</v>
      </c>
      <c r="I122" s="16">
        <v>39142</v>
      </c>
      <c r="J122" s="16">
        <v>31423</v>
      </c>
      <c r="K122" s="16">
        <v>7719</v>
      </c>
      <c r="L122" s="16">
        <v>22371</v>
      </c>
      <c r="M122" s="17">
        <v>402274</v>
      </c>
      <c r="N122" s="16">
        <v>238361</v>
      </c>
      <c r="O122" s="16">
        <v>120009</v>
      </c>
      <c r="P122" s="16">
        <v>16189</v>
      </c>
      <c r="Q122" s="16">
        <v>39821</v>
      </c>
      <c r="R122" s="16">
        <v>35744</v>
      </c>
      <c r="S122" s="16">
        <v>13878</v>
      </c>
      <c r="T122" s="16">
        <v>12720</v>
      </c>
      <c r="U122" s="16">
        <v>2560</v>
      </c>
      <c r="V122" s="16">
        <v>18388</v>
      </c>
      <c r="W122" s="16">
        <v>16136</v>
      </c>
      <c r="X122" s="16">
        <v>2482</v>
      </c>
      <c r="Y122" s="16">
        <v>18606</v>
      </c>
      <c r="Z122" s="16">
        <v>18387</v>
      </c>
      <c r="AA122" s="16">
        <v>16176</v>
      </c>
      <c r="AB122" s="16">
        <v>8715</v>
      </c>
      <c r="AC122" s="16">
        <v>6862</v>
      </c>
      <c r="AD122" s="16">
        <v>28310</v>
      </c>
      <c r="AE122" s="16">
        <v>7939</v>
      </c>
      <c r="AF122" s="16">
        <v>3136</v>
      </c>
      <c r="AG122" s="16">
        <v>8695</v>
      </c>
      <c r="AH122" s="16">
        <v>5927</v>
      </c>
      <c r="AI122" s="16">
        <v>21695</v>
      </c>
      <c r="AJ122" s="16">
        <v>11147</v>
      </c>
      <c r="AK122" s="16">
        <v>18438</v>
      </c>
      <c r="AL122" s="16">
        <v>10534</v>
      </c>
      <c r="AM122" s="18">
        <v>2106</v>
      </c>
    </row>
    <row r="123" spans="1:39" ht="15.75" thickBot="1">
      <c r="A123" s="36">
        <f t="shared" si="45"/>
        <v>2010</v>
      </c>
      <c r="B123" s="36">
        <f t="shared" si="46"/>
        <v>1</v>
      </c>
      <c r="C123" s="39">
        <v>40179</v>
      </c>
      <c r="D123" s="40" t="s">
        <v>35</v>
      </c>
      <c r="E123" s="37"/>
      <c r="F123" s="15">
        <v>407084</v>
      </c>
      <c r="G123" s="20"/>
      <c r="H123" s="15">
        <v>59198</v>
      </c>
      <c r="I123" s="16">
        <v>39244</v>
      </c>
      <c r="J123" s="16">
        <v>26640</v>
      </c>
      <c r="K123" s="16">
        <v>12604</v>
      </c>
      <c r="L123" s="16">
        <v>19536</v>
      </c>
      <c r="M123" s="17">
        <v>346300</v>
      </c>
      <c r="N123" s="16">
        <v>217462</v>
      </c>
      <c r="O123" s="16">
        <v>111742</v>
      </c>
      <c r="P123" s="16">
        <v>13563</v>
      </c>
      <c r="Q123" s="16">
        <v>36970</v>
      </c>
      <c r="R123" s="16">
        <v>26467</v>
      </c>
      <c r="S123" s="16">
        <v>18545</v>
      </c>
      <c r="T123" s="16">
        <v>10174</v>
      </c>
      <c r="U123" s="16">
        <v>3085</v>
      </c>
      <c r="V123" s="16">
        <v>15747</v>
      </c>
      <c r="W123" s="16">
        <v>13160</v>
      </c>
      <c r="X123" s="16">
        <v>2249</v>
      </c>
      <c r="Y123" s="16">
        <v>14148</v>
      </c>
      <c r="Z123" s="16">
        <v>13849</v>
      </c>
      <c r="AA123" s="16">
        <v>8815</v>
      </c>
      <c r="AB123" s="16">
        <v>6771</v>
      </c>
      <c r="AC123" s="16">
        <v>8447</v>
      </c>
      <c r="AD123" s="16">
        <v>23584</v>
      </c>
      <c r="AE123" s="16">
        <v>6853</v>
      </c>
      <c r="AF123" s="16">
        <v>3173</v>
      </c>
      <c r="AG123" s="16">
        <v>5974</v>
      </c>
      <c r="AH123" s="16">
        <v>4874</v>
      </c>
      <c r="AI123" s="16">
        <v>20306</v>
      </c>
      <c r="AJ123" s="16">
        <v>11114</v>
      </c>
      <c r="AK123" s="16">
        <v>8941</v>
      </c>
      <c r="AL123" s="16">
        <v>5633</v>
      </c>
      <c r="AM123" s="18">
        <v>1535</v>
      </c>
    </row>
    <row r="124" spans="1:39" ht="15.75" thickBot="1">
      <c r="A124" s="36">
        <f t="shared" si="45"/>
        <v>2010</v>
      </c>
      <c r="B124" s="36">
        <f t="shared" si="46"/>
        <v>2</v>
      </c>
      <c r="C124" s="39">
        <v>40210</v>
      </c>
      <c r="D124" s="40" t="s">
        <v>35</v>
      </c>
      <c r="E124" s="37"/>
      <c r="F124" s="15">
        <v>404295</v>
      </c>
      <c r="G124" s="20"/>
      <c r="H124" s="15">
        <v>58527</v>
      </c>
      <c r="I124" s="16">
        <v>42488</v>
      </c>
      <c r="J124" s="16">
        <v>32507</v>
      </c>
      <c r="K124" s="16">
        <v>9981</v>
      </c>
      <c r="L124" s="16">
        <v>15603</v>
      </c>
      <c r="M124" s="17">
        <v>344561</v>
      </c>
      <c r="N124" s="16">
        <v>191178</v>
      </c>
      <c r="O124" s="16">
        <v>100665</v>
      </c>
      <c r="P124" s="16">
        <v>15517</v>
      </c>
      <c r="Q124" s="16">
        <v>24424</v>
      </c>
      <c r="R124" s="16">
        <v>31597</v>
      </c>
      <c r="S124" s="16">
        <v>9511</v>
      </c>
      <c r="T124" s="16">
        <v>9464</v>
      </c>
      <c r="U124" s="16">
        <v>2392</v>
      </c>
      <c r="V124" s="16">
        <v>16943</v>
      </c>
      <c r="W124" s="16">
        <v>13521</v>
      </c>
      <c r="X124" s="16">
        <v>3674</v>
      </c>
      <c r="Y124" s="16">
        <v>15859</v>
      </c>
      <c r="Z124" s="16">
        <v>15704</v>
      </c>
      <c r="AA124" s="16">
        <v>16657</v>
      </c>
      <c r="AB124" s="16">
        <v>6521</v>
      </c>
      <c r="AC124" s="16">
        <v>5618</v>
      </c>
      <c r="AD124" s="16">
        <v>25938</v>
      </c>
      <c r="AE124" s="16">
        <v>7185</v>
      </c>
      <c r="AF124" s="16">
        <v>4001</v>
      </c>
      <c r="AG124" s="16">
        <v>5453</v>
      </c>
      <c r="AH124" s="16">
        <v>6191</v>
      </c>
      <c r="AI124" s="16">
        <v>22929</v>
      </c>
      <c r="AJ124" s="16">
        <v>11269</v>
      </c>
      <c r="AK124" s="16">
        <v>10670</v>
      </c>
      <c r="AL124" s="16">
        <v>14915</v>
      </c>
      <c r="AM124" s="18">
        <v>1011</v>
      </c>
    </row>
    <row r="125" spans="1:39" ht="15.75" thickBot="1">
      <c r="A125" s="36">
        <f t="shared" si="45"/>
        <v>2010</v>
      </c>
      <c r="B125" s="36">
        <f t="shared" si="46"/>
        <v>3</v>
      </c>
      <c r="C125" s="39">
        <v>40238</v>
      </c>
      <c r="D125" s="40" t="s">
        <v>35</v>
      </c>
      <c r="E125" s="37"/>
      <c r="F125" s="15">
        <v>475952</v>
      </c>
      <c r="G125" s="20"/>
      <c r="H125" s="15">
        <v>79022</v>
      </c>
      <c r="I125" s="16">
        <v>54825</v>
      </c>
      <c r="J125" s="16">
        <v>42428</v>
      </c>
      <c r="K125" s="16">
        <v>12396</v>
      </c>
      <c r="L125" s="16">
        <v>23198</v>
      </c>
      <c r="M125" s="17">
        <v>396713</v>
      </c>
      <c r="N125" s="16">
        <v>215125</v>
      </c>
      <c r="O125" s="16">
        <v>117996</v>
      </c>
      <c r="P125" s="16">
        <v>18175</v>
      </c>
      <c r="Q125" s="16">
        <v>38657</v>
      </c>
      <c r="R125" s="16">
        <v>17155</v>
      </c>
      <c r="S125" s="16">
        <v>11971</v>
      </c>
      <c r="T125" s="16">
        <v>11171</v>
      </c>
      <c r="U125" s="16">
        <v>3340</v>
      </c>
      <c r="V125" s="16">
        <v>21860</v>
      </c>
      <c r="W125" s="16">
        <v>17311</v>
      </c>
      <c r="X125" s="16">
        <v>5356</v>
      </c>
      <c r="Y125" s="16">
        <v>15692</v>
      </c>
      <c r="Z125" s="16">
        <v>15489</v>
      </c>
      <c r="AA125" s="16">
        <v>15071</v>
      </c>
      <c r="AB125" s="16">
        <v>7854</v>
      </c>
      <c r="AC125" s="16">
        <v>16529</v>
      </c>
      <c r="AD125" s="16">
        <v>33388</v>
      </c>
      <c r="AE125" s="16">
        <v>9020</v>
      </c>
      <c r="AF125" s="16">
        <v>5213</v>
      </c>
      <c r="AG125" s="16">
        <v>9428</v>
      </c>
      <c r="AH125" s="16">
        <v>6319</v>
      </c>
      <c r="AI125" s="16">
        <v>21906</v>
      </c>
      <c r="AJ125" s="16">
        <v>15235</v>
      </c>
      <c r="AK125" s="16">
        <v>14420</v>
      </c>
      <c r="AL125" s="16">
        <v>10936</v>
      </c>
      <c r="AM125" s="18">
        <v>158</v>
      </c>
    </row>
    <row r="126" spans="1:39" ht="15.75" thickBot="1">
      <c r="A126" s="36">
        <f t="shared" si="45"/>
        <v>2010</v>
      </c>
      <c r="B126" s="36">
        <f t="shared" si="46"/>
        <v>4</v>
      </c>
      <c r="C126" s="39">
        <v>40269</v>
      </c>
      <c r="D126" s="40" t="s">
        <v>35</v>
      </c>
      <c r="E126" s="37"/>
      <c r="F126" s="15">
        <v>582469</v>
      </c>
      <c r="G126" s="20"/>
      <c r="H126" s="15">
        <v>132025</v>
      </c>
      <c r="I126" s="16">
        <v>106259</v>
      </c>
      <c r="J126" s="16">
        <v>93909</v>
      </c>
      <c r="K126" s="16">
        <v>12350</v>
      </c>
      <c r="L126" s="16">
        <v>24630</v>
      </c>
      <c r="M126" s="17">
        <v>450431</v>
      </c>
      <c r="N126" s="16">
        <v>267090</v>
      </c>
      <c r="O126" s="16">
        <v>154488</v>
      </c>
      <c r="P126" s="16">
        <v>13324</v>
      </c>
      <c r="Q126" s="16">
        <v>42232</v>
      </c>
      <c r="R126" s="16">
        <v>31016</v>
      </c>
      <c r="S126" s="16">
        <v>15599</v>
      </c>
      <c r="T126" s="16">
        <v>10430</v>
      </c>
      <c r="U126" s="16">
        <v>1544</v>
      </c>
      <c r="V126" s="16">
        <v>21075</v>
      </c>
      <c r="W126" s="16">
        <v>16434</v>
      </c>
      <c r="X126" s="16">
        <v>4894</v>
      </c>
      <c r="Y126" s="16">
        <v>19168</v>
      </c>
      <c r="Z126" s="16">
        <v>19068</v>
      </c>
      <c r="AA126" s="16">
        <v>21654</v>
      </c>
      <c r="AB126" s="16">
        <v>9952</v>
      </c>
      <c r="AC126" s="16">
        <v>9840</v>
      </c>
      <c r="AD126" s="16">
        <v>32007</v>
      </c>
      <c r="AE126" s="16">
        <v>11665</v>
      </c>
      <c r="AF126" s="16">
        <v>4247</v>
      </c>
      <c r="AG126" s="16">
        <v>7692</v>
      </c>
      <c r="AH126" s="16">
        <v>5387</v>
      </c>
      <c r="AI126" s="16">
        <v>25033</v>
      </c>
      <c r="AJ126" s="16">
        <v>12847</v>
      </c>
      <c r="AK126" s="16">
        <v>12453</v>
      </c>
      <c r="AL126" s="16">
        <v>12875</v>
      </c>
      <c r="AM126" s="18">
        <v>7</v>
      </c>
    </row>
    <row r="127" spans="1:39" ht="15.75" thickBot="1">
      <c r="A127" s="36">
        <f t="shared" si="45"/>
        <v>2010</v>
      </c>
      <c r="B127" s="36">
        <f t="shared" si="46"/>
        <v>5</v>
      </c>
      <c r="C127" s="39">
        <v>40299</v>
      </c>
      <c r="D127" s="40" t="s">
        <v>35</v>
      </c>
      <c r="E127" s="37"/>
      <c r="F127" s="15">
        <v>650109</v>
      </c>
      <c r="G127" s="20"/>
      <c r="H127" s="15">
        <v>203258</v>
      </c>
      <c r="I127" s="16">
        <v>180293</v>
      </c>
      <c r="J127" s="16">
        <v>161773</v>
      </c>
      <c r="K127" s="16">
        <v>18520</v>
      </c>
      <c r="L127" s="16">
        <v>22039</v>
      </c>
      <c r="M127" s="17">
        <v>446705</v>
      </c>
      <c r="N127" s="16">
        <v>257924</v>
      </c>
      <c r="O127" s="16">
        <v>143559</v>
      </c>
      <c r="P127" s="16">
        <v>16073</v>
      </c>
      <c r="Q127" s="16">
        <v>37857</v>
      </c>
      <c r="R127" s="16">
        <v>39020</v>
      </c>
      <c r="S127" s="16">
        <v>10006</v>
      </c>
      <c r="T127" s="16">
        <v>11408</v>
      </c>
      <c r="U127" s="16">
        <v>3168</v>
      </c>
      <c r="V127" s="16">
        <v>22629</v>
      </c>
      <c r="W127" s="16">
        <v>17472</v>
      </c>
      <c r="X127" s="16">
        <v>4332</v>
      </c>
      <c r="Y127" s="16">
        <v>20339</v>
      </c>
      <c r="Z127" s="16">
        <v>20030</v>
      </c>
      <c r="AA127" s="16">
        <v>18322</v>
      </c>
      <c r="AB127" s="16">
        <v>9277</v>
      </c>
      <c r="AC127" s="16">
        <v>7348</v>
      </c>
      <c r="AD127" s="16">
        <v>38618</v>
      </c>
      <c r="AE127" s="16">
        <v>9992</v>
      </c>
      <c r="AF127" s="16">
        <v>6541</v>
      </c>
      <c r="AG127" s="16">
        <v>11389</v>
      </c>
      <c r="AH127" s="16">
        <v>6793</v>
      </c>
      <c r="AI127" s="16">
        <v>21389</v>
      </c>
      <c r="AJ127" s="16">
        <v>14537</v>
      </c>
      <c r="AK127" s="16">
        <v>17257</v>
      </c>
      <c r="AL127" s="16">
        <v>11567</v>
      </c>
      <c r="AM127" s="18">
        <v>98</v>
      </c>
    </row>
    <row r="128" spans="1:39" ht="15.75" thickBot="1">
      <c r="A128" s="36">
        <f t="shared" si="45"/>
        <v>2010</v>
      </c>
      <c r="B128" s="36">
        <f t="shared" si="46"/>
        <v>6</v>
      </c>
      <c r="C128" s="39">
        <v>40330</v>
      </c>
      <c r="D128" s="40" t="s">
        <v>35</v>
      </c>
      <c r="E128" s="37"/>
      <c r="F128" s="15">
        <v>726328</v>
      </c>
      <c r="G128" s="20"/>
      <c r="H128" s="15">
        <v>276547</v>
      </c>
      <c r="I128" s="16">
        <v>252823</v>
      </c>
      <c r="J128" s="16">
        <v>237795</v>
      </c>
      <c r="K128" s="16">
        <v>15028</v>
      </c>
      <c r="L128" s="16">
        <v>22561</v>
      </c>
      <c r="M128" s="17">
        <v>421370</v>
      </c>
      <c r="N128" s="16">
        <v>238355</v>
      </c>
      <c r="O128" s="16">
        <v>123804</v>
      </c>
      <c r="P128" s="16">
        <v>13060</v>
      </c>
      <c r="Q128" s="16">
        <v>40336</v>
      </c>
      <c r="R128" s="16">
        <v>32591</v>
      </c>
      <c r="S128" s="16">
        <v>16749</v>
      </c>
      <c r="T128" s="16">
        <v>11815</v>
      </c>
      <c r="U128" s="16">
        <v>2973</v>
      </c>
      <c r="V128" s="16">
        <v>20487</v>
      </c>
      <c r="W128" s="16">
        <v>16563</v>
      </c>
      <c r="X128" s="16">
        <v>4738</v>
      </c>
      <c r="Y128" s="16">
        <v>17529</v>
      </c>
      <c r="Z128" s="16">
        <v>17306</v>
      </c>
      <c r="AA128" s="16">
        <v>14916</v>
      </c>
      <c r="AB128" s="16">
        <v>11180</v>
      </c>
      <c r="AC128" s="16">
        <v>9810</v>
      </c>
      <c r="AD128" s="16">
        <v>33002</v>
      </c>
      <c r="AE128" s="16">
        <v>8499</v>
      </c>
      <c r="AF128" s="16">
        <v>7661</v>
      </c>
      <c r="AG128" s="16">
        <v>8791</v>
      </c>
      <c r="AH128" s="16">
        <v>4374</v>
      </c>
      <c r="AI128" s="16">
        <v>23506</v>
      </c>
      <c r="AJ128" s="16">
        <v>13249</v>
      </c>
      <c r="AK128" s="16">
        <v>18710</v>
      </c>
      <c r="AL128" s="16">
        <v>12915</v>
      </c>
      <c r="AM128" s="18">
        <v>28362</v>
      </c>
    </row>
    <row r="129" spans="1:39" ht="15.75" thickBot="1">
      <c r="A129" s="36">
        <f t="shared" si="45"/>
        <v>2010</v>
      </c>
      <c r="B129" s="36">
        <f t="shared" si="46"/>
        <v>7</v>
      </c>
      <c r="C129" s="39">
        <v>40360</v>
      </c>
      <c r="D129" s="40" t="s">
        <v>35</v>
      </c>
      <c r="E129" s="37"/>
      <c r="F129" s="15">
        <v>588458</v>
      </c>
      <c r="G129" s="20"/>
      <c r="H129" s="15">
        <v>199197</v>
      </c>
      <c r="I129" s="16">
        <v>176023</v>
      </c>
      <c r="J129" s="16">
        <v>150027</v>
      </c>
      <c r="K129" s="16">
        <v>25996</v>
      </c>
      <c r="L129" s="16">
        <v>21961</v>
      </c>
      <c r="M129" s="17">
        <v>388010</v>
      </c>
      <c r="N129" s="16">
        <v>193473</v>
      </c>
      <c r="O129" s="16">
        <v>92878</v>
      </c>
      <c r="P129" s="16">
        <v>14730</v>
      </c>
      <c r="Q129" s="16">
        <v>30896</v>
      </c>
      <c r="R129" s="16">
        <v>41114</v>
      </c>
      <c r="S129" s="16">
        <v>3968</v>
      </c>
      <c r="T129" s="16">
        <v>9888</v>
      </c>
      <c r="U129" s="16">
        <v>1932</v>
      </c>
      <c r="V129" s="16">
        <v>19815</v>
      </c>
      <c r="W129" s="16">
        <v>16671</v>
      </c>
      <c r="X129" s="16">
        <v>4978</v>
      </c>
      <c r="Y129" s="16">
        <v>18232</v>
      </c>
      <c r="Z129" s="16">
        <v>17873</v>
      </c>
      <c r="AA129" s="16">
        <v>26529</v>
      </c>
      <c r="AB129" s="16">
        <v>9728</v>
      </c>
      <c r="AC129" s="16">
        <v>13622</v>
      </c>
      <c r="AD129" s="16">
        <v>32991</v>
      </c>
      <c r="AE129" s="16">
        <v>8726</v>
      </c>
      <c r="AF129" s="16">
        <v>8315</v>
      </c>
      <c r="AG129" s="16">
        <v>9829</v>
      </c>
      <c r="AH129" s="16">
        <v>3726</v>
      </c>
      <c r="AI129" s="16">
        <v>20963</v>
      </c>
      <c r="AJ129" s="16">
        <v>14676</v>
      </c>
      <c r="AK129" s="16">
        <v>16458</v>
      </c>
      <c r="AL129" s="16">
        <v>14612</v>
      </c>
      <c r="AM129" s="18">
        <v>1136</v>
      </c>
    </row>
    <row r="130" spans="1:39" ht="15.75" thickBot="1">
      <c r="A130" s="36">
        <f t="shared" si="45"/>
        <v>2010</v>
      </c>
      <c r="B130" s="36">
        <f t="shared" si="46"/>
        <v>8</v>
      </c>
      <c r="C130" s="39">
        <v>40391</v>
      </c>
      <c r="D130" s="40" t="s">
        <v>35</v>
      </c>
      <c r="E130" s="37"/>
      <c r="F130" s="15">
        <v>607774</v>
      </c>
      <c r="G130" s="20"/>
      <c r="H130" s="15">
        <v>210114</v>
      </c>
      <c r="I130" s="16">
        <v>187708</v>
      </c>
      <c r="J130" s="16">
        <v>184388</v>
      </c>
      <c r="K130" s="16">
        <v>3320</v>
      </c>
      <c r="L130" s="16">
        <v>21482</v>
      </c>
      <c r="M130" s="17">
        <v>370908</v>
      </c>
      <c r="N130" s="16">
        <v>176815</v>
      </c>
      <c r="O130" s="16">
        <v>81845</v>
      </c>
      <c r="P130" s="16">
        <v>10163</v>
      </c>
      <c r="Q130" s="16">
        <v>34999</v>
      </c>
      <c r="R130" s="16">
        <v>28699</v>
      </c>
      <c r="S130" s="16">
        <v>8276</v>
      </c>
      <c r="T130" s="16">
        <v>12832</v>
      </c>
      <c r="U130" s="16">
        <v>2671</v>
      </c>
      <c r="V130" s="16">
        <v>19902</v>
      </c>
      <c r="W130" s="16">
        <v>14834</v>
      </c>
      <c r="X130" s="16">
        <v>5952</v>
      </c>
      <c r="Y130" s="16">
        <v>14125</v>
      </c>
      <c r="Z130" s="16">
        <v>13739</v>
      </c>
      <c r="AA130" s="16">
        <v>22583</v>
      </c>
      <c r="AB130" s="16">
        <v>9696</v>
      </c>
      <c r="AC130" s="16">
        <v>18610</v>
      </c>
      <c r="AD130" s="16">
        <v>35548</v>
      </c>
      <c r="AE130" s="16">
        <v>9672</v>
      </c>
      <c r="AF130" s="16">
        <v>8403</v>
      </c>
      <c r="AG130" s="16">
        <v>10126</v>
      </c>
      <c r="AH130" s="16">
        <v>4755</v>
      </c>
      <c r="AI130" s="16">
        <v>23775</v>
      </c>
      <c r="AJ130" s="16">
        <v>11410</v>
      </c>
      <c r="AK130" s="16">
        <v>15520</v>
      </c>
      <c r="AL130" s="16">
        <v>14301</v>
      </c>
      <c r="AM130" s="18">
        <v>26724</v>
      </c>
    </row>
    <row r="131" spans="1:39" ht="15.75" thickBot="1">
      <c r="A131" s="36">
        <f t="shared" si="45"/>
        <v>2010</v>
      </c>
      <c r="B131" s="36">
        <f t="shared" si="46"/>
        <v>9</v>
      </c>
      <c r="C131" s="39">
        <v>40422</v>
      </c>
      <c r="D131" s="40" t="s">
        <v>35</v>
      </c>
      <c r="E131" s="37"/>
      <c r="F131" s="15">
        <v>566864</v>
      </c>
      <c r="G131" s="20"/>
      <c r="H131" s="15">
        <v>148100</v>
      </c>
      <c r="I131" s="16">
        <v>127751</v>
      </c>
      <c r="J131" s="16">
        <v>104521</v>
      </c>
      <c r="K131" s="16">
        <v>23230</v>
      </c>
      <c r="L131" s="16">
        <v>19329</v>
      </c>
      <c r="M131" s="17">
        <v>405620</v>
      </c>
      <c r="N131" s="16">
        <v>230863</v>
      </c>
      <c r="O131" s="16">
        <v>94195</v>
      </c>
      <c r="P131" s="16">
        <v>16883</v>
      </c>
      <c r="Q131" s="16">
        <v>60355</v>
      </c>
      <c r="R131" s="16">
        <v>34341</v>
      </c>
      <c r="S131" s="16">
        <v>6796</v>
      </c>
      <c r="T131" s="16">
        <v>18293</v>
      </c>
      <c r="U131" s="16">
        <v>1743</v>
      </c>
      <c r="V131" s="16">
        <v>17792</v>
      </c>
      <c r="W131" s="16">
        <v>14206</v>
      </c>
      <c r="X131" s="16">
        <v>4462</v>
      </c>
      <c r="Y131" s="16">
        <v>17612</v>
      </c>
      <c r="Z131" s="16">
        <v>17211</v>
      </c>
      <c r="AA131" s="16">
        <v>16620</v>
      </c>
      <c r="AB131" s="16">
        <v>10538</v>
      </c>
      <c r="AC131" s="16">
        <v>2146</v>
      </c>
      <c r="AD131" s="16">
        <v>36769</v>
      </c>
      <c r="AE131" s="16">
        <v>10762</v>
      </c>
      <c r="AF131" s="16">
        <v>7997</v>
      </c>
      <c r="AG131" s="16">
        <v>10172</v>
      </c>
      <c r="AH131" s="16">
        <v>5092</v>
      </c>
      <c r="AI131" s="16">
        <v>23131</v>
      </c>
      <c r="AJ131" s="16">
        <v>12363</v>
      </c>
      <c r="AK131" s="16">
        <v>16133</v>
      </c>
      <c r="AL131" s="16">
        <v>15450</v>
      </c>
      <c r="AM131" s="18">
        <v>13136</v>
      </c>
    </row>
    <row r="132" spans="1:39" ht="15.75" thickBot="1">
      <c r="A132" s="36">
        <f t="shared" ref="A132:A195" si="47">YEAR(C132)</f>
        <v>2010</v>
      </c>
      <c r="B132" s="36">
        <f t="shared" ref="B132:B195" si="48">MONTH(C132)</f>
        <v>10</v>
      </c>
      <c r="C132" s="39">
        <v>40452</v>
      </c>
      <c r="D132" s="40" t="s">
        <v>35</v>
      </c>
      <c r="E132" s="37"/>
      <c r="F132" s="15">
        <v>564467</v>
      </c>
      <c r="G132" s="20"/>
      <c r="H132" s="15">
        <v>116111</v>
      </c>
      <c r="I132" s="16">
        <v>96972</v>
      </c>
      <c r="J132" s="16">
        <v>76678</v>
      </c>
      <c r="K132" s="16">
        <v>20294</v>
      </c>
      <c r="L132" s="16">
        <v>17932</v>
      </c>
      <c r="M132" s="17">
        <v>444054</v>
      </c>
      <c r="N132" s="16">
        <v>235108</v>
      </c>
      <c r="O132" s="16">
        <v>98660</v>
      </c>
      <c r="P132" s="16">
        <v>19997</v>
      </c>
      <c r="Q132" s="16">
        <v>53882</v>
      </c>
      <c r="R132" s="16">
        <v>28756</v>
      </c>
      <c r="S132" s="16">
        <v>17839</v>
      </c>
      <c r="T132" s="16">
        <v>15973</v>
      </c>
      <c r="U132" s="16">
        <v>4094</v>
      </c>
      <c r="V132" s="16">
        <v>22676</v>
      </c>
      <c r="W132" s="16">
        <v>19383</v>
      </c>
      <c r="X132" s="16">
        <v>3808</v>
      </c>
      <c r="Y132" s="16">
        <v>18042</v>
      </c>
      <c r="Z132" s="16">
        <v>17835</v>
      </c>
      <c r="AA132" s="16">
        <v>28180</v>
      </c>
      <c r="AB132" s="16">
        <v>8439</v>
      </c>
      <c r="AC132" s="16">
        <v>17648</v>
      </c>
      <c r="AD132" s="16">
        <v>37691</v>
      </c>
      <c r="AE132" s="16">
        <v>10587</v>
      </c>
      <c r="AF132" s="16">
        <v>7511</v>
      </c>
      <c r="AG132" s="16">
        <v>9972</v>
      </c>
      <c r="AH132" s="16">
        <v>5446</v>
      </c>
      <c r="AI132" s="16">
        <v>26874</v>
      </c>
      <c r="AJ132" s="16">
        <v>11940</v>
      </c>
      <c r="AK132" s="16">
        <v>17226</v>
      </c>
      <c r="AL132" s="16">
        <v>12328</v>
      </c>
      <c r="AM132" s="18">
        <v>3957</v>
      </c>
    </row>
    <row r="133" spans="1:39" ht="15.75" thickBot="1">
      <c r="A133" s="36">
        <f t="shared" si="47"/>
        <v>2010</v>
      </c>
      <c r="B133" s="36">
        <f t="shared" si="48"/>
        <v>11</v>
      </c>
      <c r="C133" s="39">
        <v>40483</v>
      </c>
      <c r="D133" s="40" t="s">
        <v>35</v>
      </c>
      <c r="E133" s="37"/>
      <c r="F133" s="15">
        <v>544126</v>
      </c>
      <c r="G133" s="20"/>
      <c r="H133" s="15">
        <v>88287</v>
      </c>
      <c r="I133" s="16">
        <v>66483</v>
      </c>
      <c r="J133" s="16">
        <v>35794</v>
      </c>
      <c r="K133" s="16">
        <v>30689</v>
      </c>
      <c r="L133" s="16">
        <v>20734</v>
      </c>
      <c r="M133" s="17">
        <v>455803</v>
      </c>
      <c r="N133" s="16">
        <v>261455</v>
      </c>
      <c r="O133" s="16">
        <v>118035</v>
      </c>
      <c r="P133" s="16">
        <v>16759</v>
      </c>
      <c r="Q133" s="16">
        <v>68640</v>
      </c>
      <c r="R133" s="16">
        <v>31224</v>
      </c>
      <c r="S133" s="16">
        <v>12808</v>
      </c>
      <c r="T133" s="16">
        <v>13989</v>
      </c>
      <c r="U133" s="16">
        <v>2628</v>
      </c>
      <c r="V133" s="16">
        <v>22018</v>
      </c>
      <c r="W133" s="16">
        <v>18711</v>
      </c>
      <c r="X133" s="16">
        <v>2831</v>
      </c>
      <c r="Y133" s="16">
        <v>15680</v>
      </c>
      <c r="Z133" s="16">
        <v>15354</v>
      </c>
      <c r="AA133" s="16">
        <v>11594</v>
      </c>
      <c r="AB133" s="16">
        <v>8096</v>
      </c>
      <c r="AC133" s="16">
        <v>14972</v>
      </c>
      <c r="AD133" s="16">
        <v>38498</v>
      </c>
      <c r="AE133" s="16">
        <v>10516</v>
      </c>
      <c r="AF133" s="16">
        <v>10411</v>
      </c>
      <c r="AG133" s="16">
        <v>8954</v>
      </c>
      <c r="AH133" s="16">
        <v>5846</v>
      </c>
      <c r="AI133" s="16">
        <v>28494</v>
      </c>
      <c r="AJ133" s="16">
        <v>15362</v>
      </c>
      <c r="AK133" s="16">
        <v>19743</v>
      </c>
      <c r="AL133" s="16">
        <v>14431</v>
      </c>
      <c r="AM133" s="18">
        <v>0</v>
      </c>
    </row>
    <row r="134" spans="1:39" ht="15.75" thickBot="1">
      <c r="A134" s="36">
        <f t="shared" si="47"/>
        <v>2010</v>
      </c>
      <c r="B134" s="36">
        <f t="shared" si="48"/>
        <v>12</v>
      </c>
      <c r="C134" s="39">
        <v>40513</v>
      </c>
      <c r="D134" s="40" t="s">
        <v>35</v>
      </c>
      <c r="E134" s="37"/>
      <c r="F134" s="15">
        <v>606237</v>
      </c>
      <c r="G134" s="20"/>
      <c r="H134" s="15">
        <v>86977</v>
      </c>
      <c r="I134" s="16">
        <v>65122</v>
      </c>
      <c r="J134" s="16">
        <v>41735</v>
      </c>
      <c r="K134" s="16">
        <v>23387</v>
      </c>
      <c r="L134" s="16">
        <v>20550</v>
      </c>
      <c r="M134" s="17">
        <v>519191</v>
      </c>
      <c r="N134" s="16">
        <v>314534</v>
      </c>
      <c r="O134" s="16">
        <v>170908</v>
      </c>
      <c r="P134" s="16">
        <v>20655</v>
      </c>
      <c r="Q134" s="16">
        <v>51339</v>
      </c>
      <c r="R134" s="16">
        <v>38065</v>
      </c>
      <c r="S134" s="16">
        <v>19496</v>
      </c>
      <c r="T134" s="16">
        <v>14069</v>
      </c>
      <c r="U134" s="16">
        <v>2938</v>
      </c>
      <c r="V134" s="16">
        <v>22804</v>
      </c>
      <c r="W134" s="16">
        <v>18466</v>
      </c>
      <c r="X134" s="16">
        <v>3267</v>
      </c>
      <c r="Y134" s="16">
        <v>17633</v>
      </c>
      <c r="Z134" s="16">
        <v>17529</v>
      </c>
      <c r="AA134" s="16">
        <v>23561</v>
      </c>
      <c r="AB134" s="16">
        <v>9658</v>
      </c>
      <c r="AC134" s="16">
        <v>7368</v>
      </c>
      <c r="AD134" s="16">
        <v>34764</v>
      </c>
      <c r="AE134" s="16">
        <v>9065</v>
      </c>
      <c r="AF134" s="16">
        <v>8115</v>
      </c>
      <c r="AG134" s="16">
        <v>9050</v>
      </c>
      <c r="AH134" s="16">
        <v>4955</v>
      </c>
      <c r="AI134" s="16">
        <v>24262</v>
      </c>
      <c r="AJ134" s="16">
        <v>15190</v>
      </c>
      <c r="AK134" s="16">
        <v>24399</v>
      </c>
      <c r="AL134" s="16">
        <v>18813</v>
      </c>
      <c r="AM134" s="18">
        <v>0</v>
      </c>
    </row>
    <row r="135" spans="1:39" ht="15.75" thickBot="1">
      <c r="A135" s="36">
        <f t="shared" si="47"/>
        <v>2011</v>
      </c>
      <c r="B135" s="36">
        <f t="shared" si="48"/>
        <v>1</v>
      </c>
      <c r="C135" s="39">
        <v>40544</v>
      </c>
      <c r="D135" s="40" t="s">
        <v>35</v>
      </c>
      <c r="E135" s="37"/>
      <c r="F135" s="15">
        <v>536383</v>
      </c>
      <c r="G135" s="20"/>
      <c r="H135" s="15">
        <v>118712</v>
      </c>
      <c r="I135" s="16">
        <v>94209</v>
      </c>
      <c r="J135" s="16">
        <v>53874</v>
      </c>
      <c r="K135" s="16">
        <v>40335</v>
      </c>
      <c r="L135" s="16">
        <v>23503</v>
      </c>
      <c r="M135" s="17">
        <v>417617</v>
      </c>
      <c r="N135" s="16">
        <v>246565</v>
      </c>
      <c r="O135" s="16">
        <v>146091</v>
      </c>
      <c r="P135" s="16">
        <v>15943</v>
      </c>
      <c r="Q135" s="16">
        <v>37550</v>
      </c>
      <c r="R135" s="16">
        <v>28454</v>
      </c>
      <c r="S135" s="16">
        <v>7524</v>
      </c>
      <c r="T135" s="16">
        <v>11003</v>
      </c>
      <c r="U135" s="16">
        <v>2858</v>
      </c>
      <c r="V135" s="16">
        <v>19871</v>
      </c>
      <c r="W135" s="16">
        <v>16660</v>
      </c>
      <c r="X135" s="16">
        <v>3239</v>
      </c>
      <c r="Y135" s="16">
        <v>16672</v>
      </c>
      <c r="Z135" s="16">
        <v>16418</v>
      </c>
      <c r="AA135" s="16">
        <v>13426</v>
      </c>
      <c r="AB135" s="16">
        <v>9539</v>
      </c>
      <c r="AC135" s="16">
        <v>4593</v>
      </c>
      <c r="AD135" s="16">
        <v>29769</v>
      </c>
      <c r="AE135" s="16">
        <v>9030</v>
      </c>
      <c r="AF135" s="16">
        <v>4452</v>
      </c>
      <c r="AG135" s="16">
        <v>8325</v>
      </c>
      <c r="AH135" s="16">
        <v>4910</v>
      </c>
      <c r="AI135" s="16">
        <v>30512</v>
      </c>
      <c r="AJ135" s="16">
        <v>16420</v>
      </c>
      <c r="AK135" s="16">
        <v>13442</v>
      </c>
      <c r="AL135" s="16">
        <v>10709</v>
      </c>
      <c r="AM135" s="18">
        <v>0</v>
      </c>
    </row>
    <row r="136" spans="1:39" ht="15.75" thickBot="1">
      <c r="A136" s="36">
        <f t="shared" si="47"/>
        <v>2011</v>
      </c>
      <c r="B136" s="36">
        <f t="shared" si="48"/>
        <v>2</v>
      </c>
      <c r="C136" s="39">
        <v>40575</v>
      </c>
      <c r="D136" s="40" t="s">
        <v>35</v>
      </c>
      <c r="E136" s="37"/>
      <c r="F136" s="15">
        <v>556461</v>
      </c>
      <c r="G136" s="20"/>
      <c r="H136" s="15">
        <v>129095</v>
      </c>
      <c r="I136" s="16">
        <v>107220</v>
      </c>
      <c r="J136" s="16">
        <v>56357</v>
      </c>
      <c r="K136" s="16">
        <v>50863</v>
      </c>
      <c r="L136" s="16">
        <v>20157</v>
      </c>
      <c r="M136" s="17">
        <v>427316</v>
      </c>
      <c r="N136" s="16">
        <v>233099</v>
      </c>
      <c r="O136" s="16">
        <v>115214</v>
      </c>
      <c r="P136" s="16">
        <v>17170</v>
      </c>
      <c r="Q136" s="16">
        <v>45123</v>
      </c>
      <c r="R136" s="16">
        <v>31749</v>
      </c>
      <c r="S136" s="16">
        <v>9358</v>
      </c>
      <c r="T136" s="16">
        <v>14483</v>
      </c>
      <c r="U136" s="16">
        <v>1816</v>
      </c>
      <c r="V136" s="16">
        <v>22052</v>
      </c>
      <c r="W136" s="16">
        <v>17406</v>
      </c>
      <c r="X136" s="16">
        <v>4690</v>
      </c>
      <c r="Y136" s="16">
        <v>16033</v>
      </c>
      <c r="Z136" s="16">
        <v>15926</v>
      </c>
      <c r="AA136" s="16">
        <v>18497</v>
      </c>
      <c r="AB136" s="16">
        <v>9151</v>
      </c>
      <c r="AC136" s="16">
        <v>4098</v>
      </c>
      <c r="AD136" s="16">
        <v>35237</v>
      </c>
      <c r="AE136" s="16">
        <v>10191</v>
      </c>
      <c r="AF136" s="16">
        <v>6310</v>
      </c>
      <c r="AG136" s="16">
        <v>10563</v>
      </c>
      <c r="AH136" s="16">
        <v>4408</v>
      </c>
      <c r="AI136" s="16">
        <v>30005</v>
      </c>
      <c r="AJ136" s="16">
        <v>15381</v>
      </c>
      <c r="AK136" s="16">
        <v>22774</v>
      </c>
      <c r="AL136" s="16">
        <v>14485</v>
      </c>
      <c r="AM136" s="18">
        <v>0</v>
      </c>
    </row>
    <row r="137" spans="1:39" ht="15.75" thickBot="1">
      <c r="A137" s="36">
        <f t="shared" si="47"/>
        <v>2011</v>
      </c>
      <c r="B137" s="36">
        <f t="shared" si="48"/>
        <v>3</v>
      </c>
      <c r="C137" s="39">
        <v>40603</v>
      </c>
      <c r="D137" s="40" t="s">
        <v>35</v>
      </c>
      <c r="E137" s="37"/>
      <c r="F137" s="15">
        <v>563067</v>
      </c>
      <c r="G137" s="20"/>
      <c r="H137" s="15">
        <v>102737</v>
      </c>
      <c r="I137" s="16">
        <v>78636</v>
      </c>
      <c r="J137" s="16">
        <v>54800</v>
      </c>
      <c r="K137" s="16">
        <v>23836</v>
      </c>
      <c r="L137" s="16">
        <v>22400</v>
      </c>
      <c r="M137" s="17">
        <v>460220</v>
      </c>
      <c r="N137" s="16">
        <v>236638</v>
      </c>
      <c r="O137" s="16">
        <v>135667</v>
      </c>
      <c r="P137" s="16">
        <v>22291</v>
      </c>
      <c r="Q137" s="16">
        <v>40824</v>
      </c>
      <c r="R137" s="16">
        <v>13017</v>
      </c>
      <c r="S137" s="16">
        <v>10847</v>
      </c>
      <c r="T137" s="16">
        <v>13993</v>
      </c>
      <c r="U137" s="16">
        <v>5042</v>
      </c>
      <c r="V137" s="16">
        <v>28137</v>
      </c>
      <c r="W137" s="16">
        <v>21094</v>
      </c>
      <c r="X137" s="16">
        <v>5627</v>
      </c>
      <c r="Y137" s="16">
        <v>16810</v>
      </c>
      <c r="Z137" s="16">
        <v>16681</v>
      </c>
      <c r="AA137" s="16">
        <v>34626</v>
      </c>
      <c r="AB137" s="16">
        <v>9892</v>
      </c>
      <c r="AC137" s="16">
        <v>7274</v>
      </c>
      <c r="AD137" s="16">
        <v>35735</v>
      </c>
      <c r="AE137" s="16">
        <v>10773</v>
      </c>
      <c r="AF137" s="16">
        <v>5015</v>
      </c>
      <c r="AG137" s="16">
        <v>10551</v>
      </c>
      <c r="AH137" s="16">
        <v>5912</v>
      </c>
      <c r="AI137" s="16">
        <v>25924</v>
      </c>
      <c r="AJ137" s="16">
        <v>18036</v>
      </c>
      <c r="AK137" s="16">
        <v>19928</v>
      </c>
      <c r="AL137" s="16">
        <v>16550</v>
      </c>
      <c r="AM137" s="18">
        <v>0</v>
      </c>
    </row>
    <row r="138" spans="1:39" ht="15.75" thickBot="1">
      <c r="A138" s="36">
        <f t="shared" si="47"/>
        <v>2011</v>
      </c>
      <c r="B138" s="36">
        <f t="shared" si="48"/>
        <v>4</v>
      </c>
      <c r="C138" s="39">
        <v>40634</v>
      </c>
      <c r="D138" s="40" t="s">
        <v>35</v>
      </c>
      <c r="E138" s="37"/>
      <c r="F138" s="15">
        <v>667607</v>
      </c>
      <c r="G138" s="20"/>
      <c r="H138" s="15">
        <v>193063</v>
      </c>
      <c r="I138" s="16">
        <v>168827</v>
      </c>
      <c r="J138" s="16">
        <v>130770</v>
      </c>
      <c r="K138" s="16">
        <v>38057</v>
      </c>
      <c r="L138" s="16">
        <v>22042</v>
      </c>
      <c r="M138" s="17">
        <v>474523</v>
      </c>
      <c r="N138" s="16">
        <v>261380</v>
      </c>
      <c r="O138" s="16">
        <v>142486</v>
      </c>
      <c r="P138" s="16">
        <v>19283</v>
      </c>
      <c r="Q138" s="16">
        <v>63295</v>
      </c>
      <c r="R138" s="16">
        <v>18766</v>
      </c>
      <c r="S138" s="16">
        <v>5817</v>
      </c>
      <c r="T138" s="16">
        <v>11733</v>
      </c>
      <c r="U138" s="16">
        <v>3604</v>
      </c>
      <c r="V138" s="16">
        <v>27460</v>
      </c>
      <c r="W138" s="16">
        <v>19518</v>
      </c>
      <c r="X138" s="16">
        <v>7055</v>
      </c>
      <c r="Y138" s="16">
        <v>17268</v>
      </c>
      <c r="Z138" s="16">
        <v>17166</v>
      </c>
      <c r="AA138" s="16">
        <v>19463</v>
      </c>
      <c r="AB138" s="16">
        <v>9021</v>
      </c>
      <c r="AC138" s="16">
        <v>6217</v>
      </c>
      <c r="AD138" s="16">
        <v>35708</v>
      </c>
      <c r="AE138" s="16">
        <v>9649</v>
      </c>
      <c r="AF138" s="16">
        <v>5856</v>
      </c>
      <c r="AG138" s="16">
        <v>11860</v>
      </c>
      <c r="AH138" s="16">
        <v>4331</v>
      </c>
      <c r="AI138" s="16">
        <v>29151</v>
      </c>
      <c r="AJ138" s="16">
        <v>15158</v>
      </c>
      <c r="AK138" s="16">
        <v>24933</v>
      </c>
      <c r="AL138" s="16">
        <v>18105</v>
      </c>
      <c r="AM138" s="18">
        <v>0</v>
      </c>
    </row>
    <row r="139" spans="1:39" ht="15.75" thickBot="1">
      <c r="A139" s="36">
        <f t="shared" si="47"/>
        <v>2011</v>
      </c>
      <c r="B139" s="36">
        <f t="shared" si="48"/>
        <v>5</v>
      </c>
      <c r="C139" s="39">
        <v>40664</v>
      </c>
      <c r="D139" s="40" t="s">
        <v>35</v>
      </c>
      <c r="E139" s="37"/>
      <c r="F139" s="15">
        <v>773642</v>
      </c>
      <c r="G139" s="20"/>
      <c r="H139" s="15">
        <v>243031</v>
      </c>
      <c r="I139" s="16">
        <v>217737</v>
      </c>
      <c r="J139" s="16">
        <v>201247</v>
      </c>
      <c r="K139" s="16">
        <v>16490</v>
      </c>
      <c r="L139" s="16">
        <v>22934</v>
      </c>
      <c r="M139" s="17">
        <v>530466</v>
      </c>
      <c r="N139" s="16">
        <v>288729</v>
      </c>
      <c r="O139" s="16">
        <v>149056</v>
      </c>
      <c r="P139" s="16">
        <v>16151</v>
      </c>
      <c r="Q139" s="16">
        <v>42221</v>
      </c>
      <c r="R139" s="16">
        <v>51816</v>
      </c>
      <c r="S139" s="16">
        <v>15338</v>
      </c>
      <c r="T139" s="16">
        <v>14147</v>
      </c>
      <c r="U139" s="16">
        <v>3802</v>
      </c>
      <c r="V139" s="16">
        <v>31520</v>
      </c>
      <c r="W139" s="16">
        <v>23480</v>
      </c>
      <c r="X139" s="16">
        <v>5984</v>
      </c>
      <c r="Y139" s="16">
        <v>25371</v>
      </c>
      <c r="Z139" s="16">
        <v>25079</v>
      </c>
      <c r="AA139" s="16">
        <v>18111</v>
      </c>
      <c r="AB139" s="16">
        <v>10917</v>
      </c>
      <c r="AC139" s="16">
        <v>8019</v>
      </c>
      <c r="AD139" s="16">
        <v>37447</v>
      </c>
      <c r="AE139" s="16">
        <v>11894</v>
      </c>
      <c r="AF139" s="16">
        <v>4944</v>
      </c>
      <c r="AG139" s="16">
        <v>10540</v>
      </c>
      <c r="AH139" s="16">
        <v>6946</v>
      </c>
      <c r="AI139" s="16">
        <v>30615</v>
      </c>
      <c r="AJ139" s="16">
        <v>16825</v>
      </c>
      <c r="AK139" s="16">
        <v>33202</v>
      </c>
      <c r="AL139" s="16">
        <v>19924</v>
      </c>
      <c r="AM139" s="18">
        <v>0</v>
      </c>
    </row>
    <row r="140" spans="1:39" ht="15.75" thickBot="1">
      <c r="A140" s="36">
        <f t="shared" si="47"/>
        <v>2011</v>
      </c>
      <c r="B140" s="36">
        <f t="shared" si="48"/>
        <v>6</v>
      </c>
      <c r="C140" s="39">
        <v>40695</v>
      </c>
      <c r="D140" s="40" t="s">
        <v>35</v>
      </c>
      <c r="E140" s="37"/>
      <c r="F140" s="15">
        <v>698700</v>
      </c>
      <c r="G140" s="20"/>
      <c r="H140" s="15">
        <v>212093</v>
      </c>
      <c r="I140" s="16">
        <v>189577</v>
      </c>
      <c r="J140" s="16">
        <v>175035</v>
      </c>
      <c r="K140" s="16">
        <v>14543</v>
      </c>
      <c r="L140" s="16">
        <v>20407</v>
      </c>
      <c r="M140" s="17">
        <v>486566</v>
      </c>
      <c r="N140" s="16">
        <v>263671</v>
      </c>
      <c r="O140" s="16">
        <v>114839</v>
      </c>
      <c r="P140" s="16">
        <v>20464</v>
      </c>
      <c r="Q140" s="16">
        <v>52950</v>
      </c>
      <c r="R140" s="16">
        <v>39774</v>
      </c>
      <c r="S140" s="16">
        <v>22499</v>
      </c>
      <c r="T140" s="16">
        <v>13145</v>
      </c>
      <c r="U140" s="16">
        <v>4437</v>
      </c>
      <c r="V140" s="16">
        <v>28211</v>
      </c>
      <c r="W140" s="16">
        <v>21327</v>
      </c>
      <c r="X140" s="16">
        <v>4994</v>
      </c>
      <c r="Y140" s="16">
        <v>19779</v>
      </c>
      <c r="Z140" s="16">
        <v>19646</v>
      </c>
      <c r="AA140" s="16">
        <v>25064</v>
      </c>
      <c r="AB140" s="16">
        <v>10035</v>
      </c>
      <c r="AC140" s="16">
        <v>8133</v>
      </c>
      <c r="AD140" s="16">
        <v>37003</v>
      </c>
      <c r="AE140" s="16">
        <v>10518</v>
      </c>
      <c r="AF140" s="16">
        <v>5976</v>
      </c>
      <c r="AG140" s="16">
        <v>10217</v>
      </c>
      <c r="AH140" s="16">
        <v>6213</v>
      </c>
      <c r="AI140" s="16">
        <v>25508</v>
      </c>
      <c r="AJ140" s="16">
        <v>18912</v>
      </c>
      <c r="AK140" s="16">
        <v>24028</v>
      </c>
      <c r="AL140" s="16">
        <v>16791</v>
      </c>
      <c r="AM140" s="18">
        <v>0</v>
      </c>
    </row>
    <row r="141" spans="1:39" ht="15.75" thickBot="1">
      <c r="A141" s="36">
        <f t="shared" si="47"/>
        <v>2011</v>
      </c>
      <c r="B141" s="36">
        <f t="shared" si="48"/>
        <v>7</v>
      </c>
      <c r="C141" s="39">
        <v>40725</v>
      </c>
      <c r="D141" s="40" t="s">
        <v>35</v>
      </c>
      <c r="E141" s="37"/>
      <c r="F141" s="15">
        <v>696519</v>
      </c>
      <c r="G141" s="20"/>
      <c r="H141" s="15">
        <v>181079</v>
      </c>
      <c r="I141" s="16">
        <v>154153</v>
      </c>
      <c r="J141" s="16">
        <v>147827</v>
      </c>
      <c r="K141" s="16">
        <v>6326</v>
      </c>
      <c r="L141" s="16">
        <v>24809</v>
      </c>
      <c r="M141" s="17">
        <v>515337</v>
      </c>
      <c r="N141" s="16">
        <v>280736</v>
      </c>
      <c r="O141" s="16">
        <v>122205</v>
      </c>
      <c r="P141" s="16">
        <v>23744</v>
      </c>
      <c r="Q141" s="16">
        <v>62704</v>
      </c>
      <c r="R141" s="16">
        <v>41226</v>
      </c>
      <c r="S141" s="16">
        <v>16613</v>
      </c>
      <c r="T141" s="16">
        <v>14243</v>
      </c>
      <c r="U141" s="16">
        <v>2987</v>
      </c>
      <c r="V141" s="16">
        <v>24863</v>
      </c>
      <c r="W141" s="16">
        <v>18630</v>
      </c>
      <c r="X141" s="16">
        <v>5641</v>
      </c>
      <c r="Y141" s="16">
        <v>19070</v>
      </c>
      <c r="Z141" s="16">
        <v>19061</v>
      </c>
      <c r="AA141" s="16">
        <v>20602</v>
      </c>
      <c r="AB141" s="16">
        <v>12399</v>
      </c>
      <c r="AC141" s="16">
        <v>14582</v>
      </c>
      <c r="AD141" s="16">
        <v>41125</v>
      </c>
      <c r="AE141" s="16">
        <v>10506</v>
      </c>
      <c r="AF141" s="16">
        <v>8337</v>
      </c>
      <c r="AG141" s="16">
        <v>10824</v>
      </c>
      <c r="AH141" s="16">
        <v>8363</v>
      </c>
      <c r="AI141" s="16">
        <v>28054</v>
      </c>
      <c r="AJ141" s="16">
        <v>15613</v>
      </c>
      <c r="AK141" s="16">
        <v>30688</v>
      </c>
      <c r="AL141" s="16">
        <v>18976</v>
      </c>
      <c r="AM141" s="18">
        <v>54</v>
      </c>
    </row>
    <row r="142" spans="1:39" ht="15.75" thickBot="1">
      <c r="A142" s="36">
        <f t="shared" si="47"/>
        <v>2011</v>
      </c>
      <c r="B142" s="36">
        <f t="shared" si="48"/>
        <v>8</v>
      </c>
      <c r="C142" s="39">
        <v>40756</v>
      </c>
      <c r="D142" s="40" t="s">
        <v>35</v>
      </c>
      <c r="E142" s="37"/>
      <c r="F142" s="15">
        <v>736613</v>
      </c>
      <c r="G142" s="20"/>
      <c r="H142" s="15">
        <v>194332</v>
      </c>
      <c r="I142" s="16">
        <v>169250</v>
      </c>
      <c r="J142" s="16">
        <v>161659</v>
      </c>
      <c r="K142" s="16">
        <v>7591</v>
      </c>
      <c r="L142" s="16">
        <v>22267</v>
      </c>
      <c r="M142" s="17">
        <v>542151</v>
      </c>
      <c r="N142" s="16">
        <v>305028</v>
      </c>
      <c r="O142" s="16">
        <v>127973</v>
      </c>
      <c r="P142" s="16">
        <v>28705</v>
      </c>
      <c r="Q142" s="16">
        <v>49390</v>
      </c>
      <c r="R142" s="16">
        <v>50843</v>
      </c>
      <c r="S142" s="16">
        <v>30309</v>
      </c>
      <c r="T142" s="16">
        <v>17809</v>
      </c>
      <c r="U142" s="16">
        <v>3289</v>
      </c>
      <c r="V142" s="16">
        <v>24285</v>
      </c>
      <c r="W142" s="16">
        <v>19738</v>
      </c>
      <c r="X142" s="16">
        <v>6008</v>
      </c>
      <c r="Y142" s="16">
        <v>21368</v>
      </c>
      <c r="Z142" s="16">
        <v>21069</v>
      </c>
      <c r="AA142" s="16">
        <v>25710</v>
      </c>
      <c r="AB142" s="16">
        <v>10006</v>
      </c>
      <c r="AC142" s="16">
        <v>173</v>
      </c>
      <c r="AD142" s="16">
        <v>45459</v>
      </c>
      <c r="AE142" s="16">
        <v>11133</v>
      </c>
      <c r="AF142" s="16">
        <v>10327</v>
      </c>
      <c r="AG142" s="16">
        <v>12155</v>
      </c>
      <c r="AH142" s="16">
        <v>7096</v>
      </c>
      <c r="AI142" s="16">
        <v>31480</v>
      </c>
      <c r="AJ142" s="16">
        <v>19900</v>
      </c>
      <c r="AK142" s="16">
        <v>31497</v>
      </c>
      <c r="AL142" s="16">
        <v>17949</v>
      </c>
      <c r="AM142" s="18">
        <v>108</v>
      </c>
    </row>
    <row r="143" spans="1:39" ht="15.75" thickBot="1">
      <c r="A143" s="36">
        <f t="shared" si="47"/>
        <v>2011</v>
      </c>
      <c r="B143" s="36">
        <f t="shared" si="48"/>
        <v>9</v>
      </c>
      <c r="C143" s="39">
        <v>40787</v>
      </c>
      <c r="D143" s="40" t="s">
        <v>35</v>
      </c>
      <c r="E143" s="37"/>
      <c r="F143" s="15">
        <v>744674</v>
      </c>
      <c r="G143" s="20"/>
      <c r="H143" s="15">
        <v>130371</v>
      </c>
      <c r="I143" s="16">
        <v>104538</v>
      </c>
      <c r="J143" s="16">
        <v>95615</v>
      </c>
      <c r="K143" s="16">
        <v>8923</v>
      </c>
      <c r="L143" s="16">
        <v>24184</v>
      </c>
      <c r="M143" s="17">
        <v>614144</v>
      </c>
      <c r="N143" s="16">
        <v>363572</v>
      </c>
      <c r="O143" s="16">
        <v>161536</v>
      </c>
      <c r="P143" s="16">
        <v>19471</v>
      </c>
      <c r="Q143" s="16">
        <v>76172</v>
      </c>
      <c r="R143" s="16">
        <v>64102</v>
      </c>
      <c r="S143" s="16">
        <v>25499</v>
      </c>
      <c r="T143" s="16">
        <v>16792</v>
      </c>
      <c r="U143" s="16">
        <v>4882</v>
      </c>
      <c r="V143" s="16">
        <v>28674</v>
      </c>
      <c r="W143" s="16">
        <v>23188</v>
      </c>
      <c r="X143" s="16">
        <v>6429</v>
      </c>
      <c r="Y143" s="16">
        <v>20843</v>
      </c>
      <c r="Z143" s="16">
        <v>20667</v>
      </c>
      <c r="AA143" s="16">
        <v>26893</v>
      </c>
      <c r="AB143" s="16">
        <v>9237</v>
      </c>
      <c r="AC143" s="16">
        <v>480</v>
      </c>
      <c r="AD143" s="16">
        <v>48819</v>
      </c>
      <c r="AE143" s="16">
        <v>10535</v>
      </c>
      <c r="AF143" s="16">
        <v>17155</v>
      </c>
      <c r="AG143" s="16">
        <v>12034</v>
      </c>
      <c r="AH143" s="16">
        <v>6041</v>
      </c>
      <c r="AI143" s="16">
        <v>32102</v>
      </c>
      <c r="AJ143" s="16">
        <v>20515</v>
      </c>
      <c r="AK143" s="16">
        <v>30329</v>
      </c>
      <c r="AL143" s="16">
        <v>21369</v>
      </c>
      <c r="AM143" s="18">
        <v>95</v>
      </c>
    </row>
    <row r="144" spans="1:39" ht="15.75" thickBot="1">
      <c r="A144" s="36">
        <f t="shared" si="47"/>
        <v>2011</v>
      </c>
      <c r="B144" s="36">
        <f t="shared" si="48"/>
        <v>10</v>
      </c>
      <c r="C144" s="39">
        <v>40817</v>
      </c>
      <c r="D144" s="40" t="s">
        <v>35</v>
      </c>
      <c r="E144" s="37"/>
      <c r="F144" s="15">
        <v>618936</v>
      </c>
      <c r="G144" s="20"/>
      <c r="H144" s="15">
        <v>44158</v>
      </c>
      <c r="I144" s="16">
        <v>31406</v>
      </c>
      <c r="J144" s="16">
        <v>28163</v>
      </c>
      <c r="K144" s="16">
        <v>3243</v>
      </c>
      <c r="L144" s="16">
        <v>11446</v>
      </c>
      <c r="M144" s="17">
        <v>574727</v>
      </c>
      <c r="N144" s="16">
        <v>336707</v>
      </c>
      <c r="O144" s="16">
        <v>139242</v>
      </c>
      <c r="P144" s="16">
        <v>20633</v>
      </c>
      <c r="Q144" s="16">
        <v>93864</v>
      </c>
      <c r="R144" s="16">
        <v>42086</v>
      </c>
      <c r="S144" s="16">
        <v>24612</v>
      </c>
      <c r="T144" s="16">
        <v>16269</v>
      </c>
      <c r="U144" s="16">
        <v>2999</v>
      </c>
      <c r="V144" s="16">
        <v>25764</v>
      </c>
      <c r="W144" s="16">
        <v>21054</v>
      </c>
      <c r="X144" s="16">
        <v>4743</v>
      </c>
      <c r="Y144" s="16">
        <v>22862</v>
      </c>
      <c r="Z144" s="16">
        <v>22843</v>
      </c>
      <c r="AA144" s="16">
        <v>19325</v>
      </c>
      <c r="AB144" s="16">
        <v>9881</v>
      </c>
      <c r="AC144" s="16">
        <v>1396</v>
      </c>
      <c r="AD144" s="16">
        <v>49930</v>
      </c>
      <c r="AE144" s="16">
        <v>12946</v>
      </c>
      <c r="AF144" s="16">
        <v>10190</v>
      </c>
      <c r="AG144" s="16">
        <v>13175</v>
      </c>
      <c r="AH144" s="16">
        <v>9386</v>
      </c>
      <c r="AI144" s="16">
        <v>38517</v>
      </c>
      <c r="AJ144" s="16">
        <v>14734</v>
      </c>
      <c r="AK144" s="16">
        <v>27376</v>
      </c>
      <c r="AL144" s="16">
        <v>20494</v>
      </c>
      <c r="AM144" s="18">
        <v>7</v>
      </c>
    </row>
    <row r="145" spans="1:39" ht="15.75" thickBot="1">
      <c r="A145" s="36">
        <f t="shared" si="47"/>
        <v>2011</v>
      </c>
      <c r="B145" s="36">
        <f t="shared" si="48"/>
        <v>11</v>
      </c>
      <c r="C145" s="39">
        <v>40848</v>
      </c>
      <c r="D145" s="40" t="s">
        <v>35</v>
      </c>
      <c r="E145" s="37"/>
      <c r="F145" s="15">
        <v>627501</v>
      </c>
      <c r="G145" s="20"/>
      <c r="H145" s="15">
        <v>85723</v>
      </c>
      <c r="I145" s="16">
        <v>66454</v>
      </c>
      <c r="J145" s="16">
        <v>50023</v>
      </c>
      <c r="K145" s="16">
        <v>16431</v>
      </c>
      <c r="L145" s="16">
        <v>17540</v>
      </c>
      <c r="M145" s="17">
        <v>541638</v>
      </c>
      <c r="N145" s="16">
        <v>316826</v>
      </c>
      <c r="O145" s="16">
        <v>154219</v>
      </c>
      <c r="P145" s="16">
        <v>17254</v>
      </c>
      <c r="Q145" s="16">
        <v>69479</v>
      </c>
      <c r="R145" s="16">
        <v>38688</v>
      </c>
      <c r="S145" s="16">
        <v>20212</v>
      </c>
      <c r="T145" s="16">
        <v>16973</v>
      </c>
      <c r="U145" s="16">
        <v>1822</v>
      </c>
      <c r="V145" s="16">
        <v>26582</v>
      </c>
      <c r="W145" s="16">
        <v>21002</v>
      </c>
      <c r="X145" s="16">
        <v>2770</v>
      </c>
      <c r="Y145" s="16">
        <v>16080</v>
      </c>
      <c r="Z145" s="16">
        <v>15984</v>
      </c>
      <c r="AA145" s="16">
        <v>29646</v>
      </c>
      <c r="AB145" s="16">
        <v>10877</v>
      </c>
      <c r="AC145" s="16">
        <v>0</v>
      </c>
      <c r="AD145" s="16">
        <v>47002</v>
      </c>
      <c r="AE145" s="16">
        <v>10704</v>
      </c>
      <c r="AF145" s="16">
        <v>14383</v>
      </c>
      <c r="AG145" s="16">
        <v>11644</v>
      </c>
      <c r="AH145" s="16">
        <v>6605</v>
      </c>
      <c r="AI145" s="16">
        <v>34618</v>
      </c>
      <c r="AJ145" s="16">
        <v>12703</v>
      </c>
      <c r="AK145" s="16">
        <v>22036</v>
      </c>
      <c r="AL145" s="16">
        <v>20676</v>
      </c>
      <c r="AM145" s="18">
        <v>0</v>
      </c>
    </row>
    <row r="146" spans="1:39" ht="15.75" thickBot="1">
      <c r="A146" s="36">
        <f t="shared" si="47"/>
        <v>2011</v>
      </c>
      <c r="B146" s="36">
        <f t="shared" si="48"/>
        <v>12</v>
      </c>
      <c r="C146" s="39">
        <v>40878</v>
      </c>
      <c r="D146" s="40" t="s">
        <v>35</v>
      </c>
      <c r="E146" s="37"/>
      <c r="F146" s="15">
        <v>691648</v>
      </c>
      <c r="G146" s="20"/>
      <c r="H146" s="15">
        <v>135401</v>
      </c>
      <c r="I146" s="16">
        <v>109476</v>
      </c>
      <c r="J146" s="16">
        <v>80661</v>
      </c>
      <c r="K146" s="16">
        <v>28815</v>
      </c>
      <c r="L146" s="16">
        <v>24318</v>
      </c>
      <c r="M146" s="17">
        <v>556065</v>
      </c>
      <c r="N146" s="16">
        <v>333656</v>
      </c>
      <c r="O146" s="16">
        <v>168924</v>
      </c>
      <c r="P146" s="16">
        <v>14039</v>
      </c>
      <c r="Q146" s="16">
        <v>58379</v>
      </c>
      <c r="R146" s="16">
        <v>48694</v>
      </c>
      <c r="S146" s="16">
        <v>24398</v>
      </c>
      <c r="T146" s="16">
        <v>19221</v>
      </c>
      <c r="U146" s="16">
        <v>2104</v>
      </c>
      <c r="V146" s="16">
        <v>29985</v>
      </c>
      <c r="W146" s="16">
        <v>24386</v>
      </c>
      <c r="X146" s="16">
        <v>3931</v>
      </c>
      <c r="Y146" s="16">
        <v>18865</v>
      </c>
      <c r="Z146" s="16">
        <v>18842</v>
      </c>
      <c r="AA146" s="16">
        <v>14269</v>
      </c>
      <c r="AB146" s="16">
        <v>9045</v>
      </c>
      <c r="AC146" s="16">
        <v>2942</v>
      </c>
      <c r="AD146" s="16">
        <v>44184</v>
      </c>
      <c r="AE146" s="16">
        <v>9516</v>
      </c>
      <c r="AF146" s="16">
        <v>12600</v>
      </c>
      <c r="AG146" s="16">
        <v>10731</v>
      </c>
      <c r="AH146" s="16">
        <v>7638</v>
      </c>
      <c r="AI146" s="16">
        <v>28600</v>
      </c>
      <c r="AJ146" s="16">
        <v>16261</v>
      </c>
      <c r="AK146" s="16">
        <v>29039</v>
      </c>
      <c r="AL146" s="16">
        <v>23185</v>
      </c>
      <c r="AM146" s="18">
        <v>0</v>
      </c>
    </row>
    <row r="147" spans="1:39" ht="15.75" thickBot="1">
      <c r="A147" s="36">
        <f t="shared" si="47"/>
        <v>2012</v>
      </c>
      <c r="B147" s="36">
        <f t="shared" si="48"/>
        <v>1</v>
      </c>
      <c r="C147" s="39">
        <v>40909</v>
      </c>
      <c r="D147" s="40" t="s">
        <v>35</v>
      </c>
      <c r="E147" s="37"/>
      <c r="F147" s="15">
        <v>603814</v>
      </c>
      <c r="G147" s="20"/>
      <c r="H147" s="15">
        <v>108236</v>
      </c>
      <c r="I147" s="16">
        <v>82173</v>
      </c>
      <c r="J147" s="16">
        <v>73423</v>
      </c>
      <c r="K147" s="16">
        <v>8749</v>
      </c>
      <c r="L147" s="16">
        <v>24562</v>
      </c>
      <c r="M147" s="17">
        <v>495492</v>
      </c>
      <c r="N147" s="16">
        <v>288554</v>
      </c>
      <c r="O147" s="16">
        <v>142364</v>
      </c>
      <c r="P147" s="16">
        <v>9868</v>
      </c>
      <c r="Q147" s="16">
        <v>61840</v>
      </c>
      <c r="R147" s="16">
        <v>35618</v>
      </c>
      <c r="S147" s="16">
        <v>23945</v>
      </c>
      <c r="T147" s="16">
        <v>14918</v>
      </c>
      <c r="U147" s="16">
        <v>3486</v>
      </c>
      <c r="V147" s="16">
        <v>26306</v>
      </c>
      <c r="W147" s="16">
        <v>20613</v>
      </c>
      <c r="X147" s="16">
        <v>5214</v>
      </c>
      <c r="Y147" s="16">
        <v>18627</v>
      </c>
      <c r="Z147" s="16">
        <v>18502</v>
      </c>
      <c r="AA147" s="16">
        <v>17796</v>
      </c>
      <c r="AB147" s="16">
        <v>9220</v>
      </c>
      <c r="AC147" s="16">
        <v>966</v>
      </c>
      <c r="AD147" s="16">
        <v>41606</v>
      </c>
      <c r="AE147" s="16">
        <v>10339</v>
      </c>
      <c r="AF147" s="16">
        <v>6800</v>
      </c>
      <c r="AG147" s="16">
        <v>12300</v>
      </c>
      <c r="AH147" s="16">
        <v>8735</v>
      </c>
      <c r="AI147" s="16">
        <v>35537</v>
      </c>
      <c r="AJ147" s="16">
        <v>18900</v>
      </c>
      <c r="AK147" s="16">
        <v>10776</v>
      </c>
      <c r="AL147" s="16">
        <v>18504</v>
      </c>
      <c r="AM147" s="18">
        <v>0</v>
      </c>
    </row>
    <row r="148" spans="1:39" ht="15.75" thickBot="1">
      <c r="A148" s="36">
        <f t="shared" si="47"/>
        <v>2012</v>
      </c>
      <c r="B148" s="36">
        <f t="shared" si="48"/>
        <v>2</v>
      </c>
      <c r="C148" s="39">
        <v>40940</v>
      </c>
      <c r="D148" s="40" t="s">
        <v>35</v>
      </c>
      <c r="E148" s="37"/>
      <c r="F148" s="15">
        <v>582169</v>
      </c>
      <c r="G148" s="20"/>
      <c r="H148" s="15">
        <v>141385</v>
      </c>
      <c r="I148" s="16">
        <v>117566</v>
      </c>
      <c r="J148" s="16">
        <v>107108</v>
      </c>
      <c r="K148" s="16">
        <v>10459</v>
      </c>
      <c r="L148" s="16">
        <v>22612</v>
      </c>
      <c r="M148" s="17">
        <v>440729</v>
      </c>
      <c r="N148" s="16">
        <v>266959</v>
      </c>
      <c r="O148" s="16">
        <v>134583</v>
      </c>
      <c r="P148" s="16">
        <v>12966</v>
      </c>
      <c r="Q148" s="16">
        <v>53680</v>
      </c>
      <c r="R148" s="16">
        <v>41976</v>
      </c>
      <c r="S148" s="16">
        <v>11559</v>
      </c>
      <c r="T148" s="16">
        <v>12196</v>
      </c>
      <c r="U148" s="16">
        <v>1425</v>
      </c>
      <c r="V148" s="16">
        <v>20460</v>
      </c>
      <c r="W148" s="16">
        <v>17332</v>
      </c>
      <c r="X148" s="16">
        <v>3130</v>
      </c>
      <c r="Y148" s="16">
        <v>18401</v>
      </c>
      <c r="Z148" s="16">
        <v>18372</v>
      </c>
      <c r="AA148" s="16">
        <v>21076</v>
      </c>
      <c r="AB148" s="16">
        <v>7312</v>
      </c>
      <c r="AC148" s="16">
        <v>2879</v>
      </c>
      <c r="AD148" s="16">
        <v>33264</v>
      </c>
      <c r="AE148" s="16">
        <v>9576</v>
      </c>
      <c r="AF148" s="16">
        <v>5483</v>
      </c>
      <c r="AG148" s="16">
        <v>9197</v>
      </c>
      <c r="AH148" s="16">
        <v>6039</v>
      </c>
      <c r="AI148" s="16">
        <v>27088</v>
      </c>
      <c r="AJ148" s="16">
        <v>17846</v>
      </c>
      <c r="AK148" s="16">
        <v>5483</v>
      </c>
      <c r="AL148" s="16">
        <v>15407</v>
      </c>
      <c r="AM148" s="18">
        <v>0</v>
      </c>
    </row>
    <row r="149" spans="1:39" ht="15.75" thickBot="1">
      <c r="A149" s="36">
        <f t="shared" si="47"/>
        <v>2012</v>
      </c>
      <c r="B149" s="36">
        <f t="shared" si="48"/>
        <v>3</v>
      </c>
      <c r="C149" s="39">
        <v>40969</v>
      </c>
      <c r="D149" s="40" t="s">
        <v>35</v>
      </c>
      <c r="E149" s="37"/>
      <c r="F149" s="15">
        <v>699734</v>
      </c>
      <c r="G149" s="20"/>
      <c r="H149" s="15">
        <v>131773</v>
      </c>
      <c r="I149" s="16">
        <v>104802</v>
      </c>
      <c r="J149" s="16">
        <v>93801</v>
      </c>
      <c r="K149" s="16">
        <v>11001</v>
      </c>
      <c r="L149" s="16">
        <v>24758</v>
      </c>
      <c r="M149" s="17">
        <v>567894</v>
      </c>
      <c r="N149" s="16">
        <v>325627</v>
      </c>
      <c r="O149" s="16">
        <v>159941</v>
      </c>
      <c r="P149" s="16">
        <v>16563</v>
      </c>
      <c r="Q149" s="16">
        <v>65390</v>
      </c>
      <c r="R149" s="16">
        <v>45564</v>
      </c>
      <c r="S149" s="16">
        <v>23777</v>
      </c>
      <c r="T149" s="16">
        <v>14393</v>
      </c>
      <c r="U149" s="16">
        <v>4312</v>
      </c>
      <c r="V149" s="16">
        <v>25867</v>
      </c>
      <c r="W149" s="16">
        <v>20834</v>
      </c>
      <c r="X149" s="16">
        <v>5876</v>
      </c>
      <c r="Y149" s="16">
        <v>23631</v>
      </c>
      <c r="Z149" s="16">
        <v>23625</v>
      </c>
      <c r="AA149" s="16">
        <v>12956</v>
      </c>
      <c r="AB149" s="16">
        <v>11353</v>
      </c>
      <c r="AC149" s="16">
        <v>28278</v>
      </c>
      <c r="AD149" s="16">
        <v>44110</v>
      </c>
      <c r="AE149" s="16">
        <v>11615</v>
      </c>
      <c r="AF149" s="16">
        <v>6338</v>
      </c>
      <c r="AG149" s="16">
        <v>14610</v>
      </c>
      <c r="AH149" s="16">
        <v>7769</v>
      </c>
      <c r="AI149" s="16">
        <v>33298</v>
      </c>
      <c r="AJ149" s="16">
        <v>18613</v>
      </c>
      <c r="AK149" s="16">
        <v>10653</v>
      </c>
      <c r="AL149" s="16">
        <v>23320</v>
      </c>
      <c r="AM149" s="18">
        <v>0</v>
      </c>
    </row>
    <row r="150" spans="1:39" ht="15.75" thickBot="1">
      <c r="A150" s="36">
        <f t="shared" si="47"/>
        <v>2012</v>
      </c>
      <c r="B150" s="36">
        <f t="shared" si="48"/>
        <v>4</v>
      </c>
      <c r="C150" s="39">
        <v>41000</v>
      </c>
      <c r="D150" s="40" t="s">
        <v>35</v>
      </c>
      <c r="E150" s="37"/>
      <c r="F150" s="15">
        <v>719870</v>
      </c>
      <c r="G150" s="20"/>
      <c r="H150" s="15">
        <v>225301</v>
      </c>
      <c r="I150" s="16">
        <v>198651</v>
      </c>
      <c r="J150" s="16">
        <v>169185</v>
      </c>
      <c r="K150" s="16">
        <v>29467</v>
      </c>
      <c r="L150" s="16">
        <v>24563</v>
      </c>
      <c r="M150" s="17">
        <v>494357</v>
      </c>
      <c r="N150" s="16">
        <v>292091</v>
      </c>
      <c r="O150" s="16">
        <v>145757</v>
      </c>
      <c r="P150" s="16">
        <v>12884</v>
      </c>
      <c r="Q150" s="16">
        <v>66107</v>
      </c>
      <c r="R150" s="16">
        <v>41980</v>
      </c>
      <c r="S150" s="16">
        <v>12974</v>
      </c>
      <c r="T150" s="16">
        <v>12389</v>
      </c>
      <c r="U150" s="16">
        <v>1652</v>
      </c>
      <c r="V150" s="16">
        <v>23147</v>
      </c>
      <c r="W150" s="16">
        <v>18791</v>
      </c>
      <c r="X150" s="16">
        <v>4541</v>
      </c>
      <c r="Y150" s="16">
        <v>21507</v>
      </c>
      <c r="Z150" s="16">
        <v>21497</v>
      </c>
      <c r="AA150" s="16">
        <v>25875</v>
      </c>
      <c r="AB150" s="16">
        <v>7845</v>
      </c>
      <c r="AC150" s="16">
        <v>5421</v>
      </c>
      <c r="AD150" s="16">
        <v>36697</v>
      </c>
      <c r="AE150" s="16">
        <v>9745</v>
      </c>
      <c r="AF150" s="16">
        <v>6150</v>
      </c>
      <c r="AG150" s="16">
        <v>8787</v>
      </c>
      <c r="AH150" s="16">
        <v>7888</v>
      </c>
      <c r="AI150" s="16">
        <v>31614</v>
      </c>
      <c r="AJ150" s="16">
        <v>15877</v>
      </c>
      <c r="AK150" s="16">
        <v>9477</v>
      </c>
      <c r="AL150" s="16">
        <v>18612</v>
      </c>
      <c r="AM150" s="18">
        <v>0</v>
      </c>
    </row>
    <row r="151" spans="1:39" ht="15.75" thickBot="1">
      <c r="A151" s="36">
        <f t="shared" si="47"/>
        <v>2012</v>
      </c>
      <c r="B151" s="36">
        <f t="shared" si="48"/>
        <v>5</v>
      </c>
      <c r="C151" s="39">
        <v>41030</v>
      </c>
      <c r="D151" s="40" t="s">
        <v>35</v>
      </c>
      <c r="E151" s="37"/>
      <c r="F151" s="15">
        <v>825413</v>
      </c>
      <c r="G151" s="20"/>
      <c r="H151" s="15">
        <v>317690</v>
      </c>
      <c r="I151" s="16">
        <v>282249</v>
      </c>
      <c r="J151" s="16">
        <v>275204</v>
      </c>
      <c r="K151" s="16">
        <v>7045</v>
      </c>
      <c r="L151" s="16">
        <v>33142</v>
      </c>
      <c r="M151" s="17">
        <v>507713</v>
      </c>
      <c r="N151" s="16">
        <v>282219</v>
      </c>
      <c r="O151" s="16">
        <v>150195</v>
      </c>
      <c r="P151" s="16">
        <v>12691</v>
      </c>
      <c r="Q151" s="16">
        <v>49576</v>
      </c>
      <c r="R151" s="16">
        <v>45317</v>
      </c>
      <c r="S151" s="16">
        <v>10467</v>
      </c>
      <c r="T151" s="16">
        <v>13974</v>
      </c>
      <c r="U151" s="16">
        <v>3414</v>
      </c>
      <c r="V151" s="16">
        <v>21069</v>
      </c>
      <c r="W151" s="16">
        <v>15990</v>
      </c>
      <c r="X151" s="16">
        <v>7030</v>
      </c>
      <c r="Y151" s="16">
        <v>21320</v>
      </c>
      <c r="Z151" s="16">
        <v>21299</v>
      </c>
      <c r="AA151" s="16">
        <v>15373</v>
      </c>
      <c r="AB151" s="16">
        <v>10438</v>
      </c>
      <c r="AC151" s="16">
        <v>11824</v>
      </c>
      <c r="AD151" s="16">
        <v>39119</v>
      </c>
      <c r="AE151" s="16">
        <v>9919</v>
      </c>
      <c r="AF151" s="16">
        <v>4821</v>
      </c>
      <c r="AG151" s="16">
        <v>13676</v>
      </c>
      <c r="AH151" s="16">
        <v>6257</v>
      </c>
      <c r="AI151" s="16">
        <v>32010</v>
      </c>
      <c r="AJ151" s="16">
        <v>25350</v>
      </c>
      <c r="AK151" s="16">
        <v>12875</v>
      </c>
      <c r="AL151" s="16">
        <v>25673</v>
      </c>
      <c r="AM151" s="18">
        <v>0</v>
      </c>
    </row>
    <row r="152" spans="1:39" ht="15.75" thickBot="1">
      <c r="A152" s="36">
        <f t="shared" si="47"/>
        <v>2012</v>
      </c>
      <c r="B152" s="36">
        <f t="shared" si="48"/>
        <v>6</v>
      </c>
      <c r="C152" s="39">
        <v>41061</v>
      </c>
      <c r="D152" s="40" t="s">
        <v>35</v>
      </c>
      <c r="E152" s="37"/>
      <c r="F152" s="19">
        <v>758882</v>
      </c>
      <c r="G152" s="21"/>
      <c r="H152" s="19">
        <v>269519</v>
      </c>
      <c r="I152" s="22">
        <v>241923</v>
      </c>
      <c r="J152" s="22">
        <v>230083</v>
      </c>
      <c r="K152" s="22">
        <v>11840</v>
      </c>
      <c r="L152" s="22">
        <v>25713</v>
      </c>
      <c r="M152" s="23">
        <v>489309</v>
      </c>
      <c r="N152" s="22">
        <v>274095</v>
      </c>
      <c r="O152" s="22">
        <v>148790</v>
      </c>
      <c r="P152" s="22">
        <v>15504</v>
      </c>
      <c r="Q152" s="22">
        <v>48533</v>
      </c>
      <c r="R152" s="22">
        <v>29428</v>
      </c>
      <c r="S152" s="22">
        <v>19555</v>
      </c>
      <c r="T152" s="22">
        <v>12285</v>
      </c>
      <c r="U152" s="22">
        <v>1539</v>
      </c>
      <c r="V152" s="22">
        <v>25711</v>
      </c>
      <c r="W152" s="22">
        <v>19828</v>
      </c>
      <c r="X152" s="22">
        <v>5028</v>
      </c>
      <c r="Y152" s="22">
        <v>22964</v>
      </c>
      <c r="Z152" s="22">
        <v>22901</v>
      </c>
      <c r="AA152" s="22">
        <v>17442</v>
      </c>
      <c r="AB152" s="22">
        <v>10641</v>
      </c>
      <c r="AC152" s="22">
        <v>4383</v>
      </c>
      <c r="AD152" s="22">
        <v>42987</v>
      </c>
      <c r="AE152" s="22">
        <v>10217</v>
      </c>
      <c r="AF152" s="22">
        <v>10088</v>
      </c>
      <c r="AG152" s="22">
        <v>12044</v>
      </c>
      <c r="AH152" s="22">
        <v>6188</v>
      </c>
      <c r="AI152" s="22">
        <v>27688</v>
      </c>
      <c r="AJ152" s="22">
        <v>18967</v>
      </c>
      <c r="AK152" s="22">
        <v>13951</v>
      </c>
      <c r="AL152" s="22">
        <v>23912</v>
      </c>
      <c r="AM152" s="18">
        <v>0</v>
      </c>
    </row>
    <row r="153" spans="1:39" ht="15.75" thickBot="1">
      <c r="A153" s="36">
        <f t="shared" si="47"/>
        <v>2012</v>
      </c>
      <c r="B153" s="36">
        <f t="shared" si="48"/>
        <v>7</v>
      </c>
      <c r="C153" s="39">
        <v>41091</v>
      </c>
      <c r="D153" s="40" t="s">
        <v>35</v>
      </c>
      <c r="E153" s="37"/>
      <c r="F153" s="19">
        <v>906038</v>
      </c>
      <c r="G153" s="21"/>
      <c r="H153" s="19">
        <v>386666</v>
      </c>
      <c r="I153" s="22">
        <v>361611</v>
      </c>
      <c r="J153" s="22">
        <v>333547</v>
      </c>
      <c r="K153" s="22">
        <v>28064</v>
      </c>
      <c r="L153" s="22">
        <v>22574</v>
      </c>
      <c r="M153" s="23">
        <v>519326</v>
      </c>
      <c r="N153" s="22">
        <v>312760</v>
      </c>
      <c r="O153" s="22">
        <v>152684</v>
      </c>
      <c r="P153" s="22">
        <v>19776</v>
      </c>
      <c r="Q153" s="22">
        <v>58611</v>
      </c>
      <c r="R153" s="22">
        <v>48712</v>
      </c>
      <c r="S153" s="22">
        <v>19366</v>
      </c>
      <c r="T153" s="22">
        <v>13610</v>
      </c>
      <c r="U153" s="22">
        <v>3680</v>
      </c>
      <c r="V153" s="22">
        <v>21176</v>
      </c>
      <c r="W153" s="22">
        <v>15936</v>
      </c>
      <c r="X153" s="22">
        <v>3882</v>
      </c>
      <c r="Y153" s="22">
        <v>23069</v>
      </c>
      <c r="Z153" s="22">
        <v>22991</v>
      </c>
      <c r="AA153" s="22">
        <v>10197</v>
      </c>
      <c r="AB153" s="22">
        <v>11136</v>
      </c>
      <c r="AC153" s="22">
        <v>10129</v>
      </c>
      <c r="AD153" s="22">
        <v>41449</v>
      </c>
      <c r="AE153" s="22">
        <v>10221</v>
      </c>
      <c r="AF153" s="22">
        <v>11277</v>
      </c>
      <c r="AG153" s="22">
        <v>11141</v>
      </c>
      <c r="AH153" s="22">
        <v>5009</v>
      </c>
      <c r="AI153" s="22">
        <v>27138</v>
      </c>
      <c r="AJ153" s="22">
        <v>17853</v>
      </c>
      <c r="AK153" s="22">
        <v>11896</v>
      </c>
      <c r="AL153" s="22">
        <v>24962</v>
      </c>
      <c r="AM153" s="18">
        <v>0</v>
      </c>
    </row>
    <row r="154" spans="1:39" ht="15.75" thickBot="1">
      <c r="A154" s="36">
        <f t="shared" si="47"/>
        <v>2012</v>
      </c>
      <c r="B154" s="36">
        <f t="shared" si="48"/>
        <v>8</v>
      </c>
      <c r="C154" s="39">
        <v>41122</v>
      </c>
      <c r="D154" s="40" t="s">
        <v>35</v>
      </c>
      <c r="E154" s="37"/>
      <c r="F154" s="19">
        <v>814876</v>
      </c>
      <c r="G154" s="21"/>
      <c r="H154" s="19">
        <v>355818</v>
      </c>
      <c r="I154" s="22">
        <v>339287</v>
      </c>
      <c r="J154" s="22">
        <v>326915</v>
      </c>
      <c r="K154" s="22">
        <v>12372</v>
      </c>
      <c r="L154" s="22">
        <v>14554</v>
      </c>
      <c r="M154" s="23">
        <v>459027</v>
      </c>
      <c r="N154" s="22">
        <v>259650</v>
      </c>
      <c r="O154" s="22">
        <v>120292</v>
      </c>
      <c r="P154" s="22">
        <v>21167</v>
      </c>
      <c r="Q154" s="22">
        <v>59459</v>
      </c>
      <c r="R154" s="22">
        <v>42931</v>
      </c>
      <c r="S154" s="22">
        <v>5680</v>
      </c>
      <c r="T154" s="22">
        <v>10121</v>
      </c>
      <c r="U154" s="22">
        <v>2316</v>
      </c>
      <c r="V154" s="22">
        <v>18322</v>
      </c>
      <c r="W154" s="22">
        <v>13803</v>
      </c>
      <c r="X154" s="22">
        <v>4577</v>
      </c>
      <c r="Y154" s="22">
        <v>16245</v>
      </c>
      <c r="Z154" s="22">
        <v>16158</v>
      </c>
      <c r="AA154" s="22">
        <v>14206</v>
      </c>
      <c r="AB154" s="22">
        <v>9223</v>
      </c>
      <c r="AC154" s="22">
        <v>6951</v>
      </c>
      <c r="AD154" s="22">
        <v>43264</v>
      </c>
      <c r="AE154" s="22">
        <v>8969</v>
      </c>
      <c r="AF154" s="22">
        <v>12908</v>
      </c>
      <c r="AG154" s="22">
        <v>12116</v>
      </c>
      <c r="AH154" s="22">
        <v>5331</v>
      </c>
      <c r="AI154" s="22">
        <v>26916</v>
      </c>
      <c r="AJ154" s="22">
        <v>22661</v>
      </c>
      <c r="AK154" s="22">
        <v>10406</v>
      </c>
      <c r="AL154" s="22">
        <v>24291</v>
      </c>
      <c r="AM154" s="18">
        <v>0</v>
      </c>
    </row>
    <row r="155" spans="1:39" ht="15.75" thickBot="1">
      <c r="A155" s="36">
        <f t="shared" si="47"/>
        <v>2012</v>
      </c>
      <c r="B155" s="36">
        <f t="shared" si="48"/>
        <v>9</v>
      </c>
      <c r="C155" s="39">
        <v>41153</v>
      </c>
      <c r="D155" s="40" t="s">
        <v>35</v>
      </c>
      <c r="E155" s="37"/>
      <c r="F155" s="19">
        <v>808376</v>
      </c>
      <c r="G155" s="21"/>
      <c r="H155" s="19">
        <v>238526</v>
      </c>
      <c r="I155" s="22">
        <v>216735</v>
      </c>
      <c r="J155" s="22">
        <v>213231</v>
      </c>
      <c r="K155" s="22">
        <v>3504</v>
      </c>
      <c r="L155" s="22">
        <v>20173</v>
      </c>
      <c r="M155" s="23">
        <v>569738</v>
      </c>
      <c r="N155" s="22">
        <v>354246</v>
      </c>
      <c r="O155" s="22">
        <v>156882</v>
      </c>
      <c r="P155" s="22">
        <v>20122</v>
      </c>
      <c r="Q155" s="22">
        <v>86034</v>
      </c>
      <c r="R155" s="22">
        <v>57827</v>
      </c>
      <c r="S155" s="22">
        <v>22596</v>
      </c>
      <c r="T155" s="22">
        <v>10786</v>
      </c>
      <c r="U155" s="22">
        <v>2870</v>
      </c>
      <c r="V155" s="22">
        <v>20027</v>
      </c>
      <c r="W155" s="22">
        <v>15589</v>
      </c>
      <c r="X155" s="22">
        <v>4364</v>
      </c>
      <c r="Y155" s="22">
        <v>23733</v>
      </c>
      <c r="Z155" s="22">
        <v>23632</v>
      </c>
      <c r="AA155" s="22">
        <v>21038</v>
      </c>
      <c r="AB155" s="22">
        <v>9725</v>
      </c>
      <c r="AC155" s="22">
        <v>14</v>
      </c>
      <c r="AD155" s="22">
        <v>52446</v>
      </c>
      <c r="AE155" s="22">
        <v>10573</v>
      </c>
      <c r="AF155" s="22">
        <v>21162</v>
      </c>
      <c r="AG155" s="22">
        <v>11256</v>
      </c>
      <c r="AH155" s="22">
        <v>5843</v>
      </c>
      <c r="AI155" s="22">
        <v>31249</v>
      </c>
      <c r="AJ155" s="22">
        <v>16385</v>
      </c>
      <c r="AK155" s="22">
        <v>8172</v>
      </c>
      <c r="AL155" s="22">
        <v>25469</v>
      </c>
      <c r="AM155" s="18">
        <v>0</v>
      </c>
    </row>
    <row r="156" spans="1:39" ht="15.75" thickBot="1">
      <c r="A156" s="36">
        <f t="shared" si="47"/>
        <v>2012</v>
      </c>
      <c r="B156" s="36">
        <f t="shared" si="48"/>
        <v>10</v>
      </c>
      <c r="C156" s="39">
        <v>41183</v>
      </c>
      <c r="D156" s="40" t="s">
        <v>35</v>
      </c>
      <c r="E156" s="37"/>
      <c r="F156" s="19">
        <v>681391</v>
      </c>
      <c r="G156" s="21"/>
      <c r="H156" s="19">
        <v>131122</v>
      </c>
      <c r="I156" s="22">
        <v>117978</v>
      </c>
      <c r="J156" s="22">
        <v>104733</v>
      </c>
      <c r="K156" s="22">
        <v>13246</v>
      </c>
      <c r="L156" s="22">
        <v>11625</v>
      </c>
      <c r="M156" s="23">
        <v>548164</v>
      </c>
      <c r="N156" s="22">
        <v>314981</v>
      </c>
      <c r="O156" s="22">
        <v>137366</v>
      </c>
      <c r="P156" s="22">
        <v>20441</v>
      </c>
      <c r="Q156" s="22">
        <v>85424</v>
      </c>
      <c r="R156" s="22">
        <v>38025</v>
      </c>
      <c r="S156" s="22">
        <v>21062</v>
      </c>
      <c r="T156" s="22">
        <v>12662</v>
      </c>
      <c r="U156" s="22">
        <v>3441</v>
      </c>
      <c r="V156" s="22">
        <v>22168</v>
      </c>
      <c r="W156" s="22">
        <v>18512</v>
      </c>
      <c r="X156" s="22">
        <v>2727</v>
      </c>
      <c r="Y156" s="22">
        <v>19312</v>
      </c>
      <c r="Z156" s="22">
        <v>19227</v>
      </c>
      <c r="AA156" s="22">
        <v>13089</v>
      </c>
      <c r="AB156" s="22">
        <v>9481</v>
      </c>
      <c r="AC156" s="22">
        <v>11968</v>
      </c>
      <c r="AD156" s="22">
        <v>55034</v>
      </c>
      <c r="AE156" s="22">
        <v>13237</v>
      </c>
      <c r="AF156" s="22">
        <v>18023</v>
      </c>
      <c r="AG156" s="22">
        <v>13033</v>
      </c>
      <c r="AH156" s="22">
        <v>6153</v>
      </c>
      <c r="AI156" s="22">
        <v>39453</v>
      </c>
      <c r="AJ156" s="22">
        <v>16072</v>
      </c>
      <c r="AK156" s="22">
        <v>15294</v>
      </c>
      <c r="AL156" s="22">
        <v>25146</v>
      </c>
      <c r="AM156" s="24">
        <v>2076</v>
      </c>
    </row>
    <row r="157" spans="1:39" ht="15.75" thickBot="1">
      <c r="A157" s="36">
        <f t="shared" si="47"/>
        <v>2012</v>
      </c>
      <c r="B157" s="36">
        <f t="shared" si="48"/>
        <v>11</v>
      </c>
      <c r="C157" s="39">
        <v>41214</v>
      </c>
      <c r="D157" s="40" t="s">
        <v>35</v>
      </c>
      <c r="E157" s="37"/>
      <c r="F157" s="19">
        <v>664714</v>
      </c>
      <c r="G157" s="21"/>
      <c r="H157" s="19">
        <v>101455</v>
      </c>
      <c r="I157" s="22">
        <v>79385</v>
      </c>
      <c r="J157" s="22">
        <v>69173</v>
      </c>
      <c r="K157" s="22">
        <v>10211</v>
      </c>
      <c r="L157" s="22">
        <v>20385</v>
      </c>
      <c r="M157" s="23">
        <v>559475</v>
      </c>
      <c r="N157" s="22">
        <v>333189</v>
      </c>
      <c r="O157" s="22">
        <v>152441</v>
      </c>
      <c r="P157" s="22">
        <v>14025</v>
      </c>
      <c r="Q157" s="22">
        <v>80511</v>
      </c>
      <c r="R157" s="22">
        <v>55374</v>
      </c>
      <c r="S157" s="22">
        <v>18526</v>
      </c>
      <c r="T157" s="22">
        <v>12313</v>
      </c>
      <c r="U157" s="22">
        <v>3167</v>
      </c>
      <c r="V157" s="22">
        <v>21459</v>
      </c>
      <c r="W157" s="22">
        <v>18539</v>
      </c>
      <c r="X157" s="22">
        <v>2027</v>
      </c>
      <c r="Y157" s="22">
        <v>18042</v>
      </c>
      <c r="Z157" s="22">
        <v>18032</v>
      </c>
      <c r="AA157" s="22">
        <v>15905</v>
      </c>
      <c r="AB157" s="22">
        <v>11418</v>
      </c>
      <c r="AC157" s="22">
        <v>4</v>
      </c>
      <c r="AD157" s="22">
        <v>59965</v>
      </c>
      <c r="AE157" s="22">
        <v>10165</v>
      </c>
      <c r="AF157" s="22">
        <v>27983</v>
      </c>
      <c r="AG157" s="22">
        <v>12688</v>
      </c>
      <c r="AH157" s="22">
        <v>4819</v>
      </c>
      <c r="AI157" s="22">
        <v>36841</v>
      </c>
      <c r="AJ157" s="22">
        <v>19360</v>
      </c>
      <c r="AK157" s="22">
        <v>15034</v>
      </c>
      <c r="AL157" s="22">
        <v>23065</v>
      </c>
      <c r="AM157" s="24">
        <v>3714</v>
      </c>
    </row>
    <row r="158" spans="1:39" ht="15.75" thickBot="1">
      <c r="A158" s="36">
        <f t="shared" si="47"/>
        <v>2012</v>
      </c>
      <c r="B158" s="36">
        <f t="shared" si="48"/>
        <v>12</v>
      </c>
      <c r="C158" s="39">
        <v>41244</v>
      </c>
      <c r="D158" s="40" t="s">
        <v>35</v>
      </c>
      <c r="E158" s="37"/>
      <c r="F158" s="19">
        <v>685553</v>
      </c>
      <c r="G158" s="21"/>
      <c r="H158" s="19">
        <v>110113</v>
      </c>
      <c r="I158" s="22">
        <v>81094</v>
      </c>
      <c r="J158" s="22">
        <v>63336</v>
      </c>
      <c r="K158" s="22">
        <v>17758</v>
      </c>
      <c r="L158" s="22">
        <v>26916</v>
      </c>
      <c r="M158" s="23">
        <v>575302</v>
      </c>
      <c r="N158" s="22">
        <v>358693</v>
      </c>
      <c r="O158" s="22">
        <v>202850</v>
      </c>
      <c r="P158" s="22">
        <v>13347</v>
      </c>
      <c r="Q158" s="22">
        <v>72751</v>
      </c>
      <c r="R158" s="22">
        <v>38802</v>
      </c>
      <c r="S158" s="22">
        <v>18576</v>
      </c>
      <c r="T158" s="22">
        <v>12366</v>
      </c>
      <c r="U158" s="22">
        <v>4974</v>
      </c>
      <c r="V158" s="22">
        <v>26513</v>
      </c>
      <c r="W158" s="22">
        <v>23748</v>
      </c>
      <c r="X158" s="22">
        <v>2513</v>
      </c>
      <c r="Y158" s="22">
        <v>18313</v>
      </c>
      <c r="Z158" s="22">
        <v>18170</v>
      </c>
      <c r="AA158" s="22">
        <v>17133</v>
      </c>
      <c r="AB158" s="22">
        <v>9078</v>
      </c>
      <c r="AC158" s="22">
        <v>10528</v>
      </c>
      <c r="AD158" s="22">
        <v>44160</v>
      </c>
      <c r="AE158" s="22">
        <v>10679</v>
      </c>
      <c r="AF158" s="22">
        <v>15348</v>
      </c>
      <c r="AG158" s="22">
        <v>9238</v>
      </c>
      <c r="AH158" s="22">
        <v>5026</v>
      </c>
      <c r="AI158" s="22">
        <v>29617</v>
      </c>
      <c r="AJ158" s="22">
        <v>18198</v>
      </c>
      <c r="AK158" s="22">
        <v>15809</v>
      </c>
      <c r="AL158" s="22">
        <v>19775</v>
      </c>
      <c r="AM158" s="24">
        <v>32</v>
      </c>
    </row>
    <row r="159" spans="1:39" ht="15.75" thickBot="1">
      <c r="A159" s="36">
        <f t="shared" si="47"/>
        <v>2013</v>
      </c>
      <c r="B159" s="36">
        <f t="shared" si="48"/>
        <v>1</v>
      </c>
      <c r="C159" s="39">
        <v>41275</v>
      </c>
      <c r="D159" s="40" t="s">
        <v>35</v>
      </c>
      <c r="E159" s="37"/>
      <c r="F159" s="19">
        <v>550389</v>
      </c>
      <c r="G159" s="21"/>
      <c r="H159" s="19">
        <v>102820</v>
      </c>
      <c r="I159" s="22">
        <v>81006</v>
      </c>
      <c r="J159" s="22">
        <v>59023</v>
      </c>
      <c r="K159" s="22">
        <v>21984</v>
      </c>
      <c r="L159" s="22">
        <v>20618</v>
      </c>
      <c r="M159" s="23">
        <v>447518</v>
      </c>
      <c r="N159" s="22">
        <v>257476</v>
      </c>
      <c r="O159" s="22">
        <v>123678</v>
      </c>
      <c r="P159" s="22">
        <v>8470</v>
      </c>
      <c r="Q159" s="22">
        <v>59222</v>
      </c>
      <c r="R159" s="22">
        <v>26656</v>
      </c>
      <c r="S159" s="22">
        <v>29093</v>
      </c>
      <c r="T159" s="22">
        <v>10356</v>
      </c>
      <c r="U159" s="22">
        <v>1639</v>
      </c>
      <c r="V159" s="22">
        <v>16332</v>
      </c>
      <c r="W159" s="22">
        <v>12193</v>
      </c>
      <c r="X159" s="22">
        <v>3136</v>
      </c>
      <c r="Y159" s="22">
        <v>15844</v>
      </c>
      <c r="Z159" s="22">
        <v>15814</v>
      </c>
      <c r="AA159" s="22">
        <v>18878</v>
      </c>
      <c r="AB159" s="22">
        <v>6456</v>
      </c>
      <c r="AC159" s="22">
        <v>5</v>
      </c>
      <c r="AD159" s="22">
        <v>42049</v>
      </c>
      <c r="AE159" s="22">
        <v>10271</v>
      </c>
      <c r="AF159" s="22">
        <v>13595</v>
      </c>
      <c r="AG159" s="22">
        <v>9546</v>
      </c>
      <c r="AH159" s="22">
        <v>5740</v>
      </c>
      <c r="AI159" s="22">
        <v>33933</v>
      </c>
      <c r="AJ159" s="22">
        <v>20757</v>
      </c>
      <c r="AK159" s="22">
        <v>14623</v>
      </c>
      <c r="AL159" s="22">
        <v>16389</v>
      </c>
      <c r="AM159" s="24">
        <v>15</v>
      </c>
    </row>
    <row r="160" spans="1:39" ht="15.75" thickBot="1">
      <c r="A160" s="36">
        <f t="shared" si="47"/>
        <v>2013</v>
      </c>
      <c r="B160" s="36">
        <f t="shared" si="48"/>
        <v>2</v>
      </c>
      <c r="C160" s="39">
        <v>41306</v>
      </c>
      <c r="D160" s="40" t="s">
        <v>35</v>
      </c>
      <c r="E160" s="37"/>
      <c r="F160" s="19">
        <v>531720</v>
      </c>
      <c r="G160" s="21"/>
      <c r="H160" s="19">
        <v>64962</v>
      </c>
      <c r="I160" s="22">
        <v>39418</v>
      </c>
      <c r="J160" s="22">
        <v>28558</v>
      </c>
      <c r="K160" s="22">
        <v>10861</v>
      </c>
      <c r="L160" s="22">
        <v>24007</v>
      </c>
      <c r="M160" s="23">
        <v>466429</v>
      </c>
      <c r="N160" s="22">
        <v>279298</v>
      </c>
      <c r="O160" s="22">
        <v>156969</v>
      </c>
      <c r="P160" s="22">
        <v>10924</v>
      </c>
      <c r="Q160" s="22">
        <v>53672</v>
      </c>
      <c r="R160" s="22">
        <v>32255</v>
      </c>
      <c r="S160" s="22">
        <v>15161</v>
      </c>
      <c r="T160" s="22">
        <v>10318</v>
      </c>
      <c r="U160" s="22">
        <v>2783</v>
      </c>
      <c r="V160" s="22">
        <v>23451</v>
      </c>
      <c r="W160" s="22">
        <v>19551</v>
      </c>
      <c r="X160" s="22">
        <v>2358</v>
      </c>
      <c r="Y160" s="22">
        <v>19272</v>
      </c>
      <c r="Z160" s="22">
        <v>19248</v>
      </c>
      <c r="AA160" s="22">
        <v>15959</v>
      </c>
      <c r="AB160" s="22">
        <v>8222</v>
      </c>
      <c r="AC160" s="22">
        <v>13</v>
      </c>
      <c r="AD160" s="22">
        <v>35843</v>
      </c>
      <c r="AE160" s="22">
        <v>11121</v>
      </c>
      <c r="AF160" s="22">
        <v>5007</v>
      </c>
      <c r="AG160" s="22">
        <v>10214</v>
      </c>
      <c r="AH160" s="22">
        <v>5250</v>
      </c>
      <c r="AI160" s="22">
        <v>31778</v>
      </c>
      <c r="AJ160" s="22">
        <v>18303</v>
      </c>
      <c r="AK160" s="22">
        <v>12233</v>
      </c>
      <c r="AL160" s="22">
        <v>16913</v>
      </c>
      <c r="AM160" s="24">
        <v>145</v>
      </c>
    </row>
    <row r="161" spans="1:39" ht="15.75" thickBot="1">
      <c r="A161" s="36">
        <f t="shared" si="47"/>
        <v>2013</v>
      </c>
      <c r="B161" s="36">
        <f t="shared" si="48"/>
        <v>3</v>
      </c>
      <c r="C161" s="39">
        <v>41334</v>
      </c>
      <c r="D161" s="40" t="s">
        <v>35</v>
      </c>
      <c r="E161" s="37"/>
      <c r="F161" s="19">
        <v>611703</v>
      </c>
      <c r="G161" s="21"/>
      <c r="H161" s="19">
        <v>82173</v>
      </c>
      <c r="I161" s="22">
        <v>58340</v>
      </c>
      <c r="J161" s="22">
        <v>42002</v>
      </c>
      <c r="K161" s="22">
        <v>16338</v>
      </c>
      <c r="L161" s="22">
        <v>21770</v>
      </c>
      <c r="M161" s="23">
        <v>529364</v>
      </c>
      <c r="N161" s="22">
        <v>314376</v>
      </c>
      <c r="O161" s="22">
        <v>185858</v>
      </c>
      <c r="P161" s="22">
        <v>12756</v>
      </c>
      <c r="Q161" s="22">
        <v>56049</v>
      </c>
      <c r="R161" s="22">
        <v>28243</v>
      </c>
      <c r="S161" s="22">
        <v>18623</v>
      </c>
      <c r="T161" s="22">
        <v>12847</v>
      </c>
      <c r="U161" s="22">
        <v>5227</v>
      </c>
      <c r="V161" s="22">
        <v>21797</v>
      </c>
      <c r="W161" s="22">
        <v>17039</v>
      </c>
      <c r="X161" s="22">
        <v>2933</v>
      </c>
      <c r="Y161" s="22">
        <v>23329</v>
      </c>
      <c r="Z161" s="22">
        <v>23315</v>
      </c>
      <c r="AA161" s="22">
        <v>25689</v>
      </c>
      <c r="AB161" s="22">
        <v>8068</v>
      </c>
      <c r="AC161" s="22">
        <v>0</v>
      </c>
      <c r="AD161" s="22">
        <v>37986</v>
      </c>
      <c r="AE161" s="22">
        <v>10700</v>
      </c>
      <c r="AF161" s="22">
        <v>6038</v>
      </c>
      <c r="AG161" s="22">
        <v>11966</v>
      </c>
      <c r="AH161" s="22">
        <v>5715</v>
      </c>
      <c r="AI161" s="22">
        <v>34015</v>
      </c>
      <c r="AJ161" s="22">
        <v>14162</v>
      </c>
      <c r="AK161" s="22">
        <v>21332</v>
      </c>
      <c r="AL161" s="22">
        <v>20450</v>
      </c>
      <c r="AM161" s="24">
        <v>14</v>
      </c>
    </row>
    <row r="162" spans="1:39" ht="15.75" thickBot="1">
      <c r="A162" s="36">
        <f t="shared" si="47"/>
        <v>2013</v>
      </c>
      <c r="B162" s="36">
        <f t="shared" si="48"/>
        <v>4</v>
      </c>
      <c r="C162" s="39">
        <v>41365</v>
      </c>
      <c r="D162" s="40" t="s">
        <v>35</v>
      </c>
      <c r="E162" s="37"/>
      <c r="F162" s="19">
        <v>712926</v>
      </c>
      <c r="G162" s="21"/>
      <c r="H162" s="19">
        <v>217306</v>
      </c>
      <c r="I162" s="22">
        <v>187845</v>
      </c>
      <c r="J162" s="22">
        <v>176087</v>
      </c>
      <c r="K162" s="22">
        <v>11759</v>
      </c>
      <c r="L162" s="22">
        <v>27182</v>
      </c>
      <c r="M162" s="23">
        <v>495408</v>
      </c>
      <c r="N162" s="22">
        <v>285823</v>
      </c>
      <c r="O162" s="22">
        <v>148678</v>
      </c>
      <c r="P162" s="22">
        <v>11539</v>
      </c>
      <c r="Q162" s="22">
        <v>59131</v>
      </c>
      <c r="R162" s="22">
        <v>40888</v>
      </c>
      <c r="S162" s="22">
        <v>12670</v>
      </c>
      <c r="T162" s="22">
        <v>12916</v>
      </c>
      <c r="U162" s="22">
        <v>3568</v>
      </c>
      <c r="V162" s="22">
        <v>20621</v>
      </c>
      <c r="W162" s="22">
        <v>16339</v>
      </c>
      <c r="X162" s="22">
        <v>2977</v>
      </c>
      <c r="Y162" s="22">
        <v>25409</v>
      </c>
      <c r="Z162" s="22">
        <v>25393</v>
      </c>
      <c r="AA162" s="22">
        <v>10992</v>
      </c>
      <c r="AB162" s="22">
        <v>9785</v>
      </c>
      <c r="AC162" s="22">
        <v>13</v>
      </c>
      <c r="AD162" s="22">
        <v>43436</v>
      </c>
      <c r="AE162" s="22">
        <v>10955</v>
      </c>
      <c r="AF162" s="22">
        <v>7118</v>
      </c>
      <c r="AG162" s="22">
        <v>15203</v>
      </c>
      <c r="AH162" s="22">
        <v>7163</v>
      </c>
      <c r="AI162" s="22">
        <v>34808</v>
      </c>
      <c r="AJ162" s="22">
        <v>18854</v>
      </c>
      <c r="AK162" s="22">
        <v>17037</v>
      </c>
      <c r="AL162" s="22">
        <v>22085</v>
      </c>
      <c r="AM162" s="24">
        <v>27</v>
      </c>
    </row>
    <row r="163" spans="1:39" ht="15.75" thickBot="1">
      <c r="A163" s="36">
        <f t="shared" si="47"/>
        <v>2013</v>
      </c>
      <c r="B163" s="36">
        <f t="shared" si="48"/>
        <v>5</v>
      </c>
      <c r="C163" s="39">
        <v>41395</v>
      </c>
      <c r="D163" s="40" t="s">
        <v>35</v>
      </c>
      <c r="E163" s="37"/>
      <c r="F163" s="19">
        <v>986899</v>
      </c>
      <c r="G163" s="21"/>
      <c r="H163" s="19">
        <v>461447</v>
      </c>
      <c r="I163" s="22">
        <v>429325</v>
      </c>
      <c r="J163" s="22">
        <v>418552</v>
      </c>
      <c r="K163" s="22">
        <v>10773</v>
      </c>
      <c r="L163" s="22">
        <v>29694</v>
      </c>
      <c r="M163" s="23">
        <v>525372</v>
      </c>
      <c r="N163" s="22">
        <v>286623</v>
      </c>
      <c r="O163" s="22">
        <v>151373</v>
      </c>
      <c r="P163" s="22">
        <v>10520</v>
      </c>
      <c r="Q163" s="22">
        <v>54831</v>
      </c>
      <c r="R163" s="22">
        <v>43324</v>
      </c>
      <c r="S163" s="22">
        <v>15394</v>
      </c>
      <c r="T163" s="22">
        <v>11181</v>
      </c>
      <c r="U163" s="22">
        <v>2600</v>
      </c>
      <c r="V163" s="22">
        <v>23488</v>
      </c>
      <c r="W163" s="22">
        <v>18593</v>
      </c>
      <c r="X163" s="22">
        <v>2459</v>
      </c>
      <c r="Y163" s="22">
        <v>21098</v>
      </c>
      <c r="Z163" s="22">
        <v>21086</v>
      </c>
      <c r="AA163" s="22">
        <v>23964</v>
      </c>
      <c r="AB163" s="22">
        <v>8769</v>
      </c>
      <c r="AC163" s="22">
        <v>11594</v>
      </c>
      <c r="AD163" s="22">
        <v>43816</v>
      </c>
      <c r="AE163" s="22">
        <v>11087</v>
      </c>
      <c r="AF163" s="22">
        <v>10778</v>
      </c>
      <c r="AG163" s="22">
        <v>12227</v>
      </c>
      <c r="AH163" s="22">
        <v>5524</v>
      </c>
      <c r="AI163" s="22">
        <v>30090</v>
      </c>
      <c r="AJ163" s="22">
        <v>21492</v>
      </c>
      <c r="AK163" s="22">
        <v>23746</v>
      </c>
      <c r="AL163" s="22">
        <v>25633</v>
      </c>
      <c r="AM163" s="24">
        <v>0</v>
      </c>
    </row>
    <row r="164" spans="1:39" ht="15.75" thickBot="1">
      <c r="A164" s="36">
        <f t="shared" si="47"/>
        <v>2013</v>
      </c>
      <c r="B164" s="36">
        <f t="shared" si="48"/>
        <v>6</v>
      </c>
      <c r="C164" s="39">
        <v>41426</v>
      </c>
      <c r="D164" s="40" t="s">
        <v>35</v>
      </c>
      <c r="E164" s="37"/>
      <c r="F164" s="19">
        <v>1001693</v>
      </c>
      <c r="G164" s="21"/>
      <c r="H164" s="19">
        <v>488579</v>
      </c>
      <c r="I164" s="22">
        <v>458502</v>
      </c>
      <c r="J164" s="22">
        <v>449146</v>
      </c>
      <c r="K164" s="22">
        <v>9356</v>
      </c>
      <c r="L164" s="22">
        <v>27142</v>
      </c>
      <c r="M164" s="23">
        <v>512963</v>
      </c>
      <c r="N164" s="22">
        <v>300332</v>
      </c>
      <c r="O164" s="22">
        <v>155824</v>
      </c>
      <c r="P164" s="22">
        <v>10186</v>
      </c>
      <c r="Q164" s="22">
        <v>59602</v>
      </c>
      <c r="R164" s="22">
        <v>47433</v>
      </c>
      <c r="S164" s="22">
        <v>14741</v>
      </c>
      <c r="T164" s="22">
        <v>12546</v>
      </c>
      <c r="U164" s="22">
        <v>1701</v>
      </c>
      <c r="V164" s="22">
        <v>21346</v>
      </c>
      <c r="W164" s="22">
        <v>17142</v>
      </c>
      <c r="X164" s="22">
        <v>2846</v>
      </c>
      <c r="Y164" s="22">
        <v>25339</v>
      </c>
      <c r="Z164" s="22">
        <v>25221</v>
      </c>
      <c r="AA164" s="22">
        <v>17804</v>
      </c>
      <c r="AB164" s="22">
        <v>10180</v>
      </c>
      <c r="AC164" s="22">
        <v>48</v>
      </c>
      <c r="AD164" s="22">
        <v>40460</v>
      </c>
      <c r="AE164" s="22">
        <v>11337</v>
      </c>
      <c r="AF164" s="22">
        <v>7589</v>
      </c>
      <c r="AG164" s="22">
        <v>11476</v>
      </c>
      <c r="AH164" s="22">
        <v>6260</v>
      </c>
      <c r="AI164" s="22">
        <v>29162</v>
      </c>
      <c r="AJ164" s="22">
        <v>18771</v>
      </c>
      <c r="AK164" s="22">
        <v>21452</v>
      </c>
      <c r="AL164" s="22">
        <v>23523</v>
      </c>
      <c r="AM164" s="24">
        <v>0</v>
      </c>
    </row>
    <row r="165" spans="1:39" ht="15.75" thickBot="1">
      <c r="A165" s="36">
        <f t="shared" si="47"/>
        <v>2013</v>
      </c>
      <c r="B165" s="36">
        <f t="shared" si="48"/>
        <v>7</v>
      </c>
      <c r="C165" s="39">
        <v>41456</v>
      </c>
      <c r="D165" s="40" t="s">
        <v>35</v>
      </c>
      <c r="E165" s="37"/>
      <c r="F165" s="19">
        <v>884442</v>
      </c>
      <c r="G165" s="21"/>
      <c r="H165" s="19">
        <v>440118</v>
      </c>
      <c r="I165" s="22">
        <v>412519</v>
      </c>
      <c r="J165" s="22">
        <v>404693</v>
      </c>
      <c r="K165" s="22">
        <v>7826</v>
      </c>
      <c r="L165" s="22">
        <v>26015</v>
      </c>
      <c r="M165" s="23">
        <v>442150</v>
      </c>
      <c r="N165" s="22">
        <v>244351</v>
      </c>
      <c r="O165" s="22">
        <v>122971</v>
      </c>
      <c r="P165" s="22">
        <v>9390</v>
      </c>
      <c r="Q165" s="22">
        <v>59777</v>
      </c>
      <c r="R165" s="22">
        <v>27396</v>
      </c>
      <c r="S165" s="22">
        <v>12021</v>
      </c>
      <c r="T165" s="22">
        <v>12796</v>
      </c>
      <c r="U165" s="22">
        <v>2103</v>
      </c>
      <c r="V165" s="22">
        <v>20125</v>
      </c>
      <c r="W165" s="22">
        <v>16410</v>
      </c>
      <c r="X165" s="22">
        <v>2691</v>
      </c>
      <c r="Y165" s="22">
        <v>18500</v>
      </c>
      <c r="Z165" s="22">
        <v>18407</v>
      </c>
      <c r="AA165" s="22">
        <v>16171</v>
      </c>
      <c r="AB165" s="22">
        <v>11164</v>
      </c>
      <c r="AC165" s="22">
        <v>3</v>
      </c>
      <c r="AD165" s="22">
        <v>32948</v>
      </c>
      <c r="AE165" s="22">
        <v>9832</v>
      </c>
      <c r="AF165" s="22">
        <v>5686</v>
      </c>
      <c r="AG165" s="22">
        <v>9512</v>
      </c>
      <c r="AH165" s="22">
        <v>5985</v>
      </c>
      <c r="AI165" s="22">
        <v>30617</v>
      </c>
      <c r="AJ165" s="22">
        <v>16823</v>
      </c>
      <c r="AK165" s="22">
        <v>25836</v>
      </c>
      <c r="AL165" s="22">
        <v>20817</v>
      </c>
      <c r="AM165" s="24">
        <v>2125</v>
      </c>
    </row>
    <row r="166" spans="1:39" ht="15.75" thickBot="1">
      <c r="A166" s="36">
        <f t="shared" si="47"/>
        <v>2013</v>
      </c>
      <c r="B166" s="36">
        <f t="shared" si="48"/>
        <v>8</v>
      </c>
      <c r="C166" s="39">
        <v>41487</v>
      </c>
      <c r="D166" s="40" t="s">
        <v>35</v>
      </c>
      <c r="E166" s="37"/>
      <c r="F166" s="19">
        <v>934174</v>
      </c>
      <c r="G166" s="21"/>
      <c r="H166" s="19">
        <v>397183</v>
      </c>
      <c r="I166" s="22">
        <v>364638</v>
      </c>
      <c r="J166" s="22">
        <v>357237</v>
      </c>
      <c r="K166" s="22">
        <v>7400</v>
      </c>
      <c r="L166" s="22">
        <v>30267</v>
      </c>
      <c r="M166" s="23">
        <v>536970</v>
      </c>
      <c r="N166" s="22">
        <v>314608</v>
      </c>
      <c r="O166" s="22">
        <v>121326</v>
      </c>
      <c r="P166" s="22">
        <v>10566</v>
      </c>
      <c r="Q166" s="22">
        <v>96646</v>
      </c>
      <c r="R166" s="22">
        <v>62580</v>
      </c>
      <c r="S166" s="22">
        <v>8300</v>
      </c>
      <c r="T166" s="22">
        <v>15189</v>
      </c>
      <c r="U166" s="22">
        <v>4371</v>
      </c>
      <c r="V166" s="22">
        <v>19700</v>
      </c>
      <c r="W166" s="22">
        <v>16304</v>
      </c>
      <c r="X166" s="22">
        <v>2964</v>
      </c>
      <c r="Y166" s="22">
        <v>20852</v>
      </c>
      <c r="Z166" s="22">
        <v>20508</v>
      </c>
      <c r="AA166" s="22">
        <v>24278</v>
      </c>
      <c r="AB166" s="22">
        <v>9922</v>
      </c>
      <c r="AC166" s="22">
        <v>0</v>
      </c>
      <c r="AD166" s="22">
        <v>40074</v>
      </c>
      <c r="AE166" s="22">
        <v>11579</v>
      </c>
      <c r="AF166" s="22">
        <v>10231</v>
      </c>
      <c r="AG166" s="22">
        <v>11107</v>
      </c>
      <c r="AH166" s="22">
        <v>4129</v>
      </c>
      <c r="AI166" s="22">
        <v>29249</v>
      </c>
      <c r="AJ166" s="22">
        <v>17124</v>
      </c>
      <c r="AK166" s="22">
        <v>30372</v>
      </c>
      <c r="AL166" s="22">
        <v>23456</v>
      </c>
      <c r="AM166" s="24">
        <v>0</v>
      </c>
    </row>
    <row r="167" spans="1:39" ht="15.75" thickBot="1">
      <c r="A167" s="36">
        <f t="shared" si="47"/>
        <v>2013</v>
      </c>
      <c r="B167" s="36">
        <f t="shared" si="48"/>
        <v>9</v>
      </c>
      <c r="C167" s="39">
        <v>41518</v>
      </c>
      <c r="D167" s="40" t="s">
        <v>35</v>
      </c>
      <c r="E167" s="37"/>
      <c r="F167" s="19">
        <v>802526</v>
      </c>
      <c r="G167" s="21"/>
      <c r="H167" s="19">
        <v>255347</v>
      </c>
      <c r="I167" s="22">
        <v>235311</v>
      </c>
      <c r="J167" s="22">
        <v>217556</v>
      </c>
      <c r="K167" s="22">
        <v>17755</v>
      </c>
      <c r="L167" s="22">
        <v>17634</v>
      </c>
      <c r="M167" s="23">
        <v>546765</v>
      </c>
      <c r="N167" s="22">
        <v>314951</v>
      </c>
      <c r="O167" s="22">
        <v>117342</v>
      </c>
      <c r="P167" s="22">
        <v>16725</v>
      </c>
      <c r="Q167" s="22">
        <v>116243</v>
      </c>
      <c r="R167" s="22">
        <v>28846</v>
      </c>
      <c r="S167" s="22">
        <v>20215</v>
      </c>
      <c r="T167" s="22">
        <v>15580</v>
      </c>
      <c r="U167" s="22">
        <v>1606</v>
      </c>
      <c r="V167" s="22">
        <v>18676</v>
      </c>
      <c r="W167" s="22">
        <v>15610</v>
      </c>
      <c r="X167" s="22">
        <v>2363</v>
      </c>
      <c r="Y167" s="22">
        <v>24423</v>
      </c>
      <c r="Z167" s="22">
        <v>24249</v>
      </c>
      <c r="AA167" s="22">
        <v>22618</v>
      </c>
      <c r="AB167" s="22">
        <v>11184</v>
      </c>
      <c r="AC167" s="22">
        <v>0</v>
      </c>
      <c r="AD167" s="22">
        <v>54562</v>
      </c>
      <c r="AE167" s="22">
        <v>13314</v>
      </c>
      <c r="AF167" s="22">
        <v>19970</v>
      </c>
      <c r="AG167" s="22">
        <v>12402</v>
      </c>
      <c r="AH167" s="22">
        <v>5951</v>
      </c>
      <c r="AI167" s="22">
        <v>31191</v>
      </c>
      <c r="AJ167" s="22">
        <v>16761</v>
      </c>
      <c r="AK167" s="22">
        <v>27125</v>
      </c>
      <c r="AL167" s="22">
        <v>21303</v>
      </c>
      <c r="AM167" s="24">
        <v>345</v>
      </c>
    </row>
    <row r="168" spans="1:39" ht="15.75" thickBot="1">
      <c r="A168" s="36">
        <f t="shared" si="47"/>
        <v>2013</v>
      </c>
      <c r="B168" s="36">
        <f t="shared" si="48"/>
        <v>10</v>
      </c>
      <c r="C168" s="39">
        <v>41548</v>
      </c>
      <c r="D168" s="40" t="s">
        <v>35</v>
      </c>
      <c r="E168" s="37"/>
      <c r="F168" s="19">
        <v>673387</v>
      </c>
      <c r="G168" s="21"/>
      <c r="H168" s="19">
        <v>146204</v>
      </c>
      <c r="I168" s="22">
        <v>115028</v>
      </c>
      <c r="J168" s="22">
        <v>107963</v>
      </c>
      <c r="K168" s="22">
        <v>7065</v>
      </c>
      <c r="L168" s="22">
        <v>29818</v>
      </c>
      <c r="M168" s="23">
        <v>525772</v>
      </c>
      <c r="N168" s="22">
        <v>298678</v>
      </c>
      <c r="O168" s="22">
        <v>96820</v>
      </c>
      <c r="P168" s="22">
        <v>14495</v>
      </c>
      <c r="Q168" s="22">
        <v>93148</v>
      </c>
      <c r="R168" s="22">
        <v>47207</v>
      </c>
      <c r="S168" s="22">
        <v>31721</v>
      </c>
      <c r="T168" s="22">
        <v>15287</v>
      </c>
      <c r="U168" s="22">
        <v>2416</v>
      </c>
      <c r="V168" s="22">
        <v>19866</v>
      </c>
      <c r="W168" s="22">
        <v>16394</v>
      </c>
      <c r="X168" s="22">
        <v>2400</v>
      </c>
      <c r="Y168" s="22">
        <v>18510</v>
      </c>
      <c r="Z168" s="22">
        <v>18261</v>
      </c>
      <c r="AA168" s="22">
        <v>17001</v>
      </c>
      <c r="AB168" s="22">
        <v>8071</v>
      </c>
      <c r="AC168" s="22">
        <v>0</v>
      </c>
      <c r="AD168" s="22">
        <v>55411</v>
      </c>
      <c r="AE168" s="22">
        <v>12086</v>
      </c>
      <c r="AF168" s="22">
        <v>20080</v>
      </c>
      <c r="AG168" s="22">
        <v>14338</v>
      </c>
      <c r="AH168" s="22">
        <v>6782</v>
      </c>
      <c r="AI168" s="22">
        <v>31736</v>
      </c>
      <c r="AJ168" s="22">
        <v>17393</v>
      </c>
      <c r="AK168" s="22">
        <v>30818</v>
      </c>
      <c r="AL168" s="22">
        <v>23471</v>
      </c>
      <c r="AM168" s="24">
        <v>0</v>
      </c>
    </row>
    <row r="169" spans="1:39" ht="15.75" thickBot="1">
      <c r="A169" s="36">
        <f t="shared" si="47"/>
        <v>2013</v>
      </c>
      <c r="B169" s="36">
        <f t="shared" si="48"/>
        <v>11</v>
      </c>
      <c r="C169" s="39">
        <v>41579</v>
      </c>
      <c r="D169" s="40" t="s">
        <v>35</v>
      </c>
      <c r="E169" s="37"/>
      <c r="F169" s="19">
        <v>653300</v>
      </c>
      <c r="G169" s="21"/>
      <c r="H169" s="19">
        <v>82009</v>
      </c>
      <c r="I169" s="22">
        <v>53667</v>
      </c>
      <c r="J169" s="22">
        <v>43579</v>
      </c>
      <c r="K169" s="22">
        <v>10088</v>
      </c>
      <c r="L169" s="22">
        <v>25837</v>
      </c>
      <c r="M169" s="23">
        <v>569270</v>
      </c>
      <c r="N169" s="22">
        <v>327871</v>
      </c>
      <c r="O169" s="22">
        <v>156583</v>
      </c>
      <c r="P169" s="22">
        <v>14568</v>
      </c>
      <c r="Q169" s="22">
        <v>87691</v>
      </c>
      <c r="R169" s="22">
        <v>45285</v>
      </c>
      <c r="S169" s="22">
        <v>9649</v>
      </c>
      <c r="T169" s="22">
        <v>14095</v>
      </c>
      <c r="U169" s="22">
        <v>3583</v>
      </c>
      <c r="V169" s="22">
        <v>22333</v>
      </c>
      <c r="W169" s="22">
        <v>19021</v>
      </c>
      <c r="X169" s="22">
        <v>2255</v>
      </c>
      <c r="Y169" s="22">
        <v>27705</v>
      </c>
      <c r="Z169" s="22">
        <v>27325</v>
      </c>
      <c r="AA169" s="22">
        <v>17365</v>
      </c>
      <c r="AB169" s="22">
        <v>8151</v>
      </c>
      <c r="AC169" s="22">
        <v>10465</v>
      </c>
      <c r="AD169" s="22">
        <v>50915</v>
      </c>
      <c r="AE169" s="22">
        <v>10518</v>
      </c>
      <c r="AF169" s="22">
        <v>17131</v>
      </c>
      <c r="AG169" s="22">
        <v>13217</v>
      </c>
      <c r="AH169" s="22">
        <v>6691</v>
      </c>
      <c r="AI169" s="22">
        <v>26931</v>
      </c>
      <c r="AJ169" s="22">
        <v>12586</v>
      </c>
      <c r="AK169" s="22">
        <v>35750</v>
      </c>
      <c r="AL169" s="22">
        <v>23359</v>
      </c>
      <c r="AM169" s="24">
        <v>1917</v>
      </c>
    </row>
    <row r="170" spans="1:39" ht="15.75" thickBot="1">
      <c r="A170" s="36">
        <f t="shared" si="47"/>
        <v>2013</v>
      </c>
      <c r="B170" s="36">
        <f t="shared" si="48"/>
        <v>12</v>
      </c>
      <c r="C170" s="39">
        <v>41609</v>
      </c>
      <c r="D170" s="40" t="s">
        <v>35</v>
      </c>
      <c r="E170" s="37"/>
      <c r="F170" s="19">
        <v>733101</v>
      </c>
      <c r="G170" s="21"/>
      <c r="H170" s="19">
        <v>145724</v>
      </c>
      <c r="I170" s="22">
        <v>113144</v>
      </c>
      <c r="J170" s="22">
        <v>98748</v>
      </c>
      <c r="K170" s="22">
        <v>14396</v>
      </c>
      <c r="L170" s="22">
        <v>30412</v>
      </c>
      <c r="M170" s="23">
        <v>570953</v>
      </c>
      <c r="N170" s="22">
        <v>355685</v>
      </c>
      <c r="O170" s="22">
        <v>154387</v>
      </c>
      <c r="P170" s="22">
        <v>12617</v>
      </c>
      <c r="Q170" s="22">
        <v>97897</v>
      </c>
      <c r="R170" s="22">
        <v>52634</v>
      </c>
      <c r="S170" s="22">
        <v>25440</v>
      </c>
      <c r="T170" s="22">
        <v>12710</v>
      </c>
      <c r="U170" s="22">
        <v>2357</v>
      </c>
      <c r="V170" s="22">
        <v>27801</v>
      </c>
      <c r="W170" s="22">
        <v>24254</v>
      </c>
      <c r="X170" s="22">
        <v>1744</v>
      </c>
      <c r="Y170" s="22">
        <v>28820</v>
      </c>
      <c r="Z170" s="22">
        <v>28732</v>
      </c>
      <c r="AA170" s="22">
        <v>18314</v>
      </c>
      <c r="AB170" s="22">
        <v>4904</v>
      </c>
      <c r="AC170" s="22">
        <v>1515</v>
      </c>
      <c r="AD170" s="22">
        <v>43623</v>
      </c>
      <c r="AE170" s="22">
        <v>8763</v>
      </c>
      <c r="AF170" s="22">
        <v>11846</v>
      </c>
      <c r="AG170" s="22">
        <v>14023</v>
      </c>
      <c r="AH170" s="22">
        <v>6211</v>
      </c>
      <c r="AI170" s="22">
        <v>25460</v>
      </c>
      <c r="AJ170" s="22">
        <v>10605</v>
      </c>
      <c r="AK170" s="22">
        <v>31631</v>
      </c>
      <c r="AL170" s="22">
        <v>18494</v>
      </c>
      <c r="AM170" s="24">
        <v>16266</v>
      </c>
    </row>
    <row r="171" spans="1:39" ht="15.75" thickBot="1">
      <c r="A171" s="36">
        <f t="shared" si="47"/>
        <v>2014</v>
      </c>
      <c r="B171" s="36">
        <f t="shared" si="48"/>
        <v>1</v>
      </c>
      <c r="C171" s="39">
        <v>41640</v>
      </c>
      <c r="D171" s="40" t="s">
        <v>35</v>
      </c>
      <c r="E171" s="37"/>
      <c r="F171" s="19">
        <v>593976</v>
      </c>
      <c r="G171" s="21"/>
      <c r="H171" s="19">
        <v>78721</v>
      </c>
      <c r="I171" s="22">
        <v>48043</v>
      </c>
      <c r="J171" s="22">
        <v>37561</v>
      </c>
      <c r="K171" s="22">
        <v>10482</v>
      </c>
      <c r="L171" s="22">
        <v>29119</v>
      </c>
      <c r="M171" s="23">
        <v>484032</v>
      </c>
      <c r="N171" s="22">
        <v>298879</v>
      </c>
      <c r="O171" s="22">
        <v>123154</v>
      </c>
      <c r="P171" s="22">
        <v>10029</v>
      </c>
      <c r="Q171" s="22">
        <v>89476</v>
      </c>
      <c r="R171" s="22">
        <v>47197</v>
      </c>
      <c r="S171" s="22">
        <v>17239</v>
      </c>
      <c r="T171" s="22">
        <v>11783</v>
      </c>
      <c r="U171" s="22">
        <v>2076</v>
      </c>
      <c r="V171" s="22">
        <v>16456</v>
      </c>
      <c r="W171" s="22">
        <v>13121</v>
      </c>
      <c r="X171" s="22">
        <v>1196</v>
      </c>
      <c r="Y171" s="22">
        <v>20130</v>
      </c>
      <c r="Z171" s="22">
        <v>20126</v>
      </c>
      <c r="AA171" s="22">
        <v>17617</v>
      </c>
      <c r="AB171" s="22">
        <v>7052</v>
      </c>
      <c r="AC171" s="22">
        <v>1926</v>
      </c>
      <c r="AD171" s="22">
        <v>40115</v>
      </c>
      <c r="AE171" s="22">
        <v>10447</v>
      </c>
      <c r="AF171" s="22">
        <v>11499</v>
      </c>
      <c r="AG171" s="22">
        <v>7968</v>
      </c>
      <c r="AH171" s="22">
        <v>6824</v>
      </c>
      <c r="AI171" s="22">
        <v>31263</v>
      </c>
      <c r="AJ171" s="22">
        <v>13515</v>
      </c>
      <c r="AK171" s="22">
        <v>16778</v>
      </c>
      <c r="AL171" s="22">
        <v>17030</v>
      </c>
      <c r="AM171" s="24">
        <v>31122</v>
      </c>
    </row>
    <row r="172" spans="1:39" ht="15.75" thickBot="1">
      <c r="A172" s="36">
        <f t="shared" si="47"/>
        <v>2014</v>
      </c>
      <c r="B172" s="36">
        <f t="shared" si="48"/>
        <v>2</v>
      </c>
      <c r="C172" s="39">
        <v>41671</v>
      </c>
      <c r="D172" s="40" t="s">
        <v>35</v>
      </c>
      <c r="E172" s="37"/>
      <c r="F172" s="19">
        <v>482047</v>
      </c>
      <c r="G172" s="21"/>
      <c r="H172" s="19">
        <v>52224</v>
      </c>
      <c r="I172" s="22">
        <v>29943</v>
      </c>
      <c r="J172" s="22">
        <v>19114</v>
      </c>
      <c r="K172" s="22">
        <v>10829</v>
      </c>
      <c r="L172" s="22">
        <v>20924</v>
      </c>
      <c r="M172" s="23">
        <v>427748</v>
      </c>
      <c r="N172" s="22">
        <v>243642</v>
      </c>
      <c r="O172" s="22">
        <v>113483</v>
      </c>
      <c r="P172" s="22">
        <v>9832</v>
      </c>
      <c r="Q172" s="22">
        <v>63986</v>
      </c>
      <c r="R172" s="22">
        <v>28533</v>
      </c>
      <c r="S172" s="22">
        <v>16278</v>
      </c>
      <c r="T172" s="22">
        <v>11530</v>
      </c>
      <c r="U172" s="22">
        <v>3416</v>
      </c>
      <c r="V172" s="22">
        <v>21120</v>
      </c>
      <c r="W172" s="22">
        <v>16173</v>
      </c>
      <c r="X172" s="22">
        <v>2038</v>
      </c>
      <c r="Y172" s="22">
        <v>20799</v>
      </c>
      <c r="Z172" s="22">
        <v>20783</v>
      </c>
      <c r="AA172" s="22">
        <v>16445</v>
      </c>
      <c r="AB172" s="22">
        <v>6398</v>
      </c>
      <c r="AC172" s="22">
        <v>1909</v>
      </c>
      <c r="AD172" s="22">
        <v>34157</v>
      </c>
      <c r="AE172" s="22">
        <v>10373</v>
      </c>
      <c r="AF172" s="22">
        <v>2465</v>
      </c>
      <c r="AG172" s="22">
        <v>11167</v>
      </c>
      <c r="AH172" s="22">
        <v>6239</v>
      </c>
      <c r="AI172" s="22">
        <v>32916</v>
      </c>
      <c r="AJ172" s="22">
        <v>13409</v>
      </c>
      <c r="AK172" s="22">
        <v>13443</v>
      </c>
      <c r="AL172" s="22">
        <v>18055</v>
      </c>
      <c r="AM172" s="24">
        <v>1726</v>
      </c>
    </row>
    <row r="173" spans="1:39" ht="15.75" thickBot="1">
      <c r="A173" s="36">
        <f t="shared" si="47"/>
        <v>2014</v>
      </c>
      <c r="B173" s="36">
        <f t="shared" si="48"/>
        <v>3</v>
      </c>
      <c r="C173" s="39">
        <v>41699</v>
      </c>
      <c r="D173" s="40" t="s">
        <v>35</v>
      </c>
      <c r="E173" s="37"/>
      <c r="F173" s="19">
        <v>706092</v>
      </c>
      <c r="G173" s="21"/>
      <c r="H173" s="19">
        <v>123507</v>
      </c>
      <c r="I173" s="22">
        <v>85413</v>
      </c>
      <c r="J173" s="22">
        <v>67355</v>
      </c>
      <c r="K173" s="22">
        <v>18057</v>
      </c>
      <c r="L173" s="22">
        <v>35531</v>
      </c>
      <c r="M173" s="23">
        <v>582486</v>
      </c>
      <c r="N173" s="22">
        <v>309186</v>
      </c>
      <c r="O173" s="22">
        <v>179124</v>
      </c>
      <c r="P173" s="22">
        <v>14616</v>
      </c>
      <c r="Q173" s="22">
        <v>73672</v>
      </c>
      <c r="R173" s="22">
        <v>20711</v>
      </c>
      <c r="S173" s="22">
        <v>8134</v>
      </c>
      <c r="T173" s="22">
        <v>12928</v>
      </c>
      <c r="U173" s="22">
        <v>3925</v>
      </c>
      <c r="V173" s="22">
        <v>23315</v>
      </c>
      <c r="W173" s="22">
        <v>19376</v>
      </c>
      <c r="X173" s="22">
        <v>2031</v>
      </c>
      <c r="Y173" s="22">
        <v>29701</v>
      </c>
      <c r="Z173" s="22">
        <v>29645</v>
      </c>
      <c r="AA173" s="22">
        <v>26235</v>
      </c>
      <c r="AB173" s="22">
        <v>8945</v>
      </c>
      <c r="AC173" s="22">
        <v>40351</v>
      </c>
      <c r="AD173" s="22">
        <v>42649</v>
      </c>
      <c r="AE173" s="22">
        <v>10982</v>
      </c>
      <c r="AF173" s="22">
        <v>3706</v>
      </c>
      <c r="AG173" s="22">
        <v>14335</v>
      </c>
      <c r="AH173" s="22">
        <v>9637</v>
      </c>
      <c r="AI173" s="22">
        <v>31937</v>
      </c>
      <c r="AJ173" s="22">
        <v>13034</v>
      </c>
      <c r="AK173" s="22">
        <v>30142</v>
      </c>
      <c r="AL173" s="22">
        <v>21035</v>
      </c>
      <c r="AM173" s="24">
        <v>0</v>
      </c>
    </row>
    <row r="174" spans="1:39" ht="15.75" thickBot="1">
      <c r="A174" s="36">
        <f t="shared" si="47"/>
        <v>2014</v>
      </c>
      <c r="B174" s="36">
        <f t="shared" si="48"/>
        <v>4</v>
      </c>
      <c r="C174" s="39">
        <v>41730</v>
      </c>
      <c r="D174" s="40" t="s">
        <v>35</v>
      </c>
      <c r="E174" s="37"/>
      <c r="F174" s="19">
        <v>739127</v>
      </c>
      <c r="G174" s="21"/>
      <c r="H174" s="19">
        <v>247822</v>
      </c>
      <c r="I174" s="22">
        <v>208991</v>
      </c>
      <c r="J174" s="22">
        <v>183569</v>
      </c>
      <c r="K174" s="22">
        <v>25422</v>
      </c>
      <c r="L174" s="22">
        <v>37006</v>
      </c>
      <c r="M174" s="23">
        <v>490869</v>
      </c>
      <c r="N174" s="22">
        <v>292952</v>
      </c>
      <c r="O174" s="22">
        <v>155582</v>
      </c>
      <c r="P174" s="22">
        <v>10783</v>
      </c>
      <c r="Q174" s="22">
        <v>67996</v>
      </c>
      <c r="R174" s="22">
        <v>34074</v>
      </c>
      <c r="S174" s="22">
        <v>11242</v>
      </c>
      <c r="T174" s="22">
        <v>13275</v>
      </c>
      <c r="U174" s="22">
        <v>3718</v>
      </c>
      <c r="V174" s="22">
        <v>23612</v>
      </c>
      <c r="W174" s="22">
        <v>19209</v>
      </c>
      <c r="X174" s="22">
        <v>2309</v>
      </c>
      <c r="Y174" s="22">
        <v>25310</v>
      </c>
      <c r="Z174" s="22">
        <v>25255</v>
      </c>
      <c r="AA174" s="22">
        <v>23058</v>
      </c>
      <c r="AB174" s="22">
        <v>8053</v>
      </c>
      <c r="AC174" s="22">
        <v>49</v>
      </c>
      <c r="AD174" s="22">
        <v>33371</v>
      </c>
      <c r="AE174" s="22">
        <v>10288</v>
      </c>
      <c r="AF174" s="22">
        <v>3610</v>
      </c>
      <c r="AG174" s="22">
        <v>10219</v>
      </c>
      <c r="AH174" s="22">
        <v>6209</v>
      </c>
      <c r="AI174" s="22">
        <v>30022</v>
      </c>
      <c r="AJ174" s="22">
        <v>11960</v>
      </c>
      <c r="AK174" s="22">
        <v>18838</v>
      </c>
      <c r="AL174" s="22">
        <v>17618</v>
      </c>
      <c r="AM174" s="24">
        <v>390</v>
      </c>
    </row>
    <row r="175" spans="1:39" ht="15.75" thickBot="1">
      <c r="A175" s="36">
        <f t="shared" si="47"/>
        <v>2014</v>
      </c>
      <c r="B175" s="36">
        <f t="shared" si="48"/>
        <v>5</v>
      </c>
      <c r="C175" s="39">
        <v>41760</v>
      </c>
      <c r="D175" s="40" t="s">
        <v>35</v>
      </c>
      <c r="E175" s="37"/>
      <c r="F175" s="19">
        <v>1093747</v>
      </c>
      <c r="G175" s="21"/>
      <c r="H175" s="19">
        <v>518465</v>
      </c>
      <c r="I175" s="22">
        <v>483813</v>
      </c>
      <c r="J175" s="22">
        <v>456519</v>
      </c>
      <c r="K175" s="22">
        <v>27295</v>
      </c>
      <c r="L175" s="22">
        <v>33181</v>
      </c>
      <c r="M175" s="23">
        <v>574992</v>
      </c>
      <c r="N175" s="22">
        <v>358342</v>
      </c>
      <c r="O175" s="22">
        <v>191246</v>
      </c>
      <c r="P175" s="22">
        <v>12503</v>
      </c>
      <c r="Q175" s="22">
        <v>84507</v>
      </c>
      <c r="R175" s="22">
        <v>45098</v>
      </c>
      <c r="S175" s="22">
        <v>6523</v>
      </c>
      <c r="T175" s="22">
        <v>18465</v>
      </c>
      <c r="U175" s="22">
        <v>3759</v>
      </c>
      <c r="V175" s="22">
        <v>20999</v>
      </c>
      <c r="W175" s="22">
        <v>17990</v>
      </c>
      <c r="X175" s="22">
        <v>2702</v>
      </c>
      <c r="Y175" s="22">
        <v>31790</v>
      </c>
      <c r="Z175" s="22">
        <v>31702</v>
      </c>
      <c r="AA175" s="22">
        <v>20754</v>
      </c>
      <c r="AB175" s="22">
        <v>8067</v>
      </c>
      <c r="AC175" s="22">
        <v>1402</v>
      </c>
      <c r="AD175" s="22">
        <v>41570</v>
      </c>
      <c r="AE175" s="22">
        <v>11943</v>
      </c>
      <c r="AF175" s="22">
        <v>3843</v>
      </c>
      <c r="AG175" s="22">
        <v>15448</v>
      </c>
      <c r="AH175" s="22">
        <v>6745</v>
      </c>
      <c r="AI175" s="22">
        <v>26987</v>
      </c>
      <c r="AJ175" s="22">
        <v>17624</v>
      </c>
      <c r="AK175" s="22">
        <v>14940</v>
      </c>
      <c r="AL175" s="22">
        <v>26055</v>
      </c>
      <c r="AM175" s="24">
        <v>224</v>
      </c>
    </row>
    <row r="176" spans="1:39" ht="15.75" thickBot="1">
      <c r="A176" s="36">
        <f t="shared" si="47"/>
        <v>2014</v>
      </c>
      <c r="B176" s="36">
        <f t="shared" si="48"/>
        <v>6</v>
      </c>
      <c r="C176" s="39">
        <v>41791</v>
      </c>
      <c r="D176" s="40" t="s">
        <v>35</v>
      </c>
      <c r="E176" s="37"/>
      <c r="F176" s="19">
        <v>1086148</v>
      </c>
      <c r="G176" s="21"/>
      <c r="H176" s="19">
        <v>536792</v>
      </c>
      <c r="I176" s="22">
        <v>502061</v>
      </c>
      <c r="J176" s="22">
        <v>469635</v>
      </c>
      <c r="K176" s="22">
        <v>32427</v>
      </c>
      <c r="L176" s="22">
        <v>33385</v>
      </c>
      <c r="M176" s="23">
        <v>549296</v>
      </c>
      <c r="N176" s="22">
        <v>339322</v>
      </c>
      <c r="O176" s="22">
        <v>178757</v>
      </c>
      <c r="P176" s="22">
        <v>14223</v>
      </c>
      <c r="Q176" s="22">
        <v>58976</v>
      </c>
      <c r="R176" s="22">
        <v>47391</v>
      </c>
      <c r="S176" s="22">
        <v>24769</v>
      </c>
      <c r="T176" s="22">
        <v>15206</v>
      </c>
      <c r="U176" s="22">
        <v>2473</v>
      </c>
      <c r="V176" s="22">
        <v>22565</v>
      </c>
      <c r="W176" s="22">
        <v>18102</v>
      </c>
      <c r="X176" s="22">
        <v>1552</v>
      </c>
      <c r="Y176" s="22">
        <v>27251</v>
      </c>
      <c r="Z176" s="22">
        <v>27030</v>
      </c>
      <c r="AA176" s="22">
        <v>24213</v>
      </c>
      <c r="AB176" s="22">
        <v>7192</v>
      </c>
      <c r="AC176" s="22">
        <v>3888</v>
      </c>
      <c r="AD176" s="22">
        <v>38190</v>
      </c>
      <c r="AE176" s="22">
        <v>9566</v>
      </c>
      <c r="AF176" s="22">
        <v>5235</v>
      </c>
      <c r="AG176" s="22">
        <v>13834</v>
      </c>
      <c r="AH176" s="22">
        <v>6323</v>
      </c>
      <c r="AI176" s="22">
        <v>26482</v>
      </c>
      <c r="AJ176" s="22">
        <v>14112</v>
      </c>
      <c r="AK176" s="22">
        <v>22455</v>
      </c>
      <c r="AL176" s="22">
        <v>19601</v>
      </c>
      <c r="AM176" s="24">
        <v>0</v>
      </c>
    </row>
    <row r="177" spans="1:39" ht="15.75" thickBot="1">
      <c r="A177" s="36">
        <f t="shared" si="47"/>
        <v>2014</v>
      </c>
      <c r="B177" s="36">
        <f t="shared" si="48"/>
        <v>7</v>
      </c>
      <c r="C177" s="39">
        <v>41821</v>
      </c>
      <c r="D177" s="40" t="s">
        <v>35</v>
      </c>
      <c r="E177" s="37"/>
      <c r="F177" s="19">
        <v>1051093</v>
      </c>
      <c r="G177" s="21"/>
      <c r="H177" s="19">
        <v>541330</v>
      </c>
      <c r="I177" s="22">
        <v>498002</v>
      </c>
      <c r="J177" s="22">
        <v>472491</v>
      </c>
      <c r="K177" s="22">
        <v>25511</v>
      </c>
      <c r="L177" s="22">
        <v>41626</v>
      </c>
      <c r="M177" s="23">
        <v>508521</v>
      </c>
      <c r="N177" s="22">
        <v>308287</v>
      </c>
      <c r="O177" s="22">
        <v>162986</v>
      </c>
      <c r="P177" s="22">
        <v>17305</v>
      </c>
      <c r="Q177" s="22">
        <v>49609</v>
      </c>
      <c r="R177" s="22">
        <v>39968</v>
      </c>
      <c r="S177" s="22">
        <v>21784</v>
      </c>
      <c r="T177" s="22">
        <v>16635</v>
      </c>
      <c r="U177" s="22">
        <v>3810</v>
      </c>
      <c r="V177" s="22">
        <v>19025</v>
      </c>
      <c r="W177" s="22">
        <v>14702</v>
      </c>
      <c r="X177" s="22">
        <v>1817</v>
      </c>
      <c r="Y177" s="22">
        <v>24035</v>
      </c>
      <c r="Z177" s="22">
        <v>23930</v>
      </c>
      <c r="AA177" s="22">
        <v>12121</v>
      </c>
      <c r="AB177" s="22">
        <v>10529</v>
      </c>
      <c r="AC177" s="22">
        <v>3937</v>
      </c>
      <c r="AD177" s="22">
        <v>38319</v>
      </c>
      <c r="AE177" s="22">
        <v>9316</v>
      </c>
      <c r="AF177" s="22">
        <v>8365</v>
      </c>
      <c r="AG177" s="22">
        <v>12401</v>
      </c>
      <c r="AH177" s="22">
        <v>5787</v>
      </c>
      <c r="AI177" s="22">
        <v>25145</v>
      </c>
      <c r="AJ177" s="22">
        <v>14842</v>
      </c>
      <c r="AK177" s="22">
        <v>25164</v>
      </c>
      <c r="AL177" s="22">
        <v>21490</v>
      </c>
      <c r="AM177" s="24">
        <v>1081</v>
      </c>
    </row>
    <row r="178" spans="1:39" ht="15.75" thickBot="1">
      <c r="A178" s="36">
        <f t="shared" si="47"/>
        <v>2014</v>
      </c>
      <c r="B178" s="36">
        <f t="shared" si="48"/>
        <v>8</v>
      </c>
      <c r="C178" s="39">
        <v>41852</v>
      </c>
      <c r="D178" s="40" t="s">
        <v>35</v>
      </c>
      <c r="E178" s="37"/>
      <c r="F178" s="19">
        <v>819449</v>
      </c>
      <c r="G178" s="21"/>
      <c r="H178" s="19">
        <v>319547</v>
      </c>
      <c r="I178" s="22">
        <v>274250</v>
      </c>
      <c r="J178" s="22">
        <v>253479</v>
      </c>
      <c r="K178" s="22">
        <v>20771</v>
      </c>
      <c r="L178" s="22">
        <v>43604</v>
      </c>
      <c r="M178" s="23">
        <v>498979</v>
      </c>
      <c r="N178" s="22">
        <v>274341</v>
      </c>
      <c r="O178" s="22">
        <v>119294</v>
      </c>
      <c r="P178" s="22">
        <v>14024</v>
      </c>
      <c r="Q178" s="22">
        <v>44739</v>
      </c>
      <c r="R178" s="22">
        <v>61474</v>
      </c>
      <c r="S178" s="22">
        <v>17727</v>
      </c>
      <c r="T178" s="22">
        <v>17082</v>
      </c>
      <c r="U178" s="22">
        <v>3902</v>
      </c>
      <c r="V178" s="22">
        <v>20369</v>
      </c>
      <c r="W178" s="22">
        <v>15176</v>
      </c>
      <c r="X178" s="22">
        <v>2124</v>
      </c>
      <c r="Y178" s="22">
        <v>29817</v>
      </c>
      <c r="Z178" s="22">
        <v>29182</v>
      </c>
      <c r="AA178" s="22">
        <v>16180</v>
      </c>
      <c r="AB178" s="22">
        <v>9486</v>
      </c>
      <c r="AC178" s="22">
        <v>2035</v>
      </c>
      <c r="AD178" s="22">
        <v>46931</v>
      </c>
      <c r="AE178" s="22">
        <v>10672</v>
      </c>
      <c r="AF178" s="22">
        <v>12009</v>
      </c>
      <c r="AG178" s="22">
        <v>13893</v>
      </c>
      <c r="AH178" s="22">
        <v>7019</v>
      </c>
      <c r="AI178" s="22">
        <v>29992</v>
      </c>
      <c r="AJ178" s="22">
        <v>18030</v>
      </c>
      <c r="AK178" s="22">
        <v>23345</v>
      </c>
      <c r="AL178" s="22">
        <v>22427</v>
      </c>
      <c r="AM178" s="24">
        <v>503</v>
      </c>
    </row>
    <row r="179" spans="1:39" ht="15.75" thickBot="1">
      <c r="A179" s="36">
        <f t="shared" si="47"/>
        <v>2014</v>
      </c>
      <c r="B179" s="36">
        <f t="shared" si="48"/>
        <v>9</v>
      </c>
      <c r="C179" s="39">
        <v>41883</v>
      </c>
      <c r="D179" s="40" t="s">
        <v>35</v>
      </c>
      <c r="E179" s="37"/>
      <c r="F179" s="19">
        <v>721658</v>
      </c>
      <c r="G179" s="21"/>
      <c r="H179" s="19">
        <v>157561</v>
      </c>
      <c r="I179" s="22">
        <v>115312</v>
      </c>
      <c r="J179" s="22">
        <v>94353</v>
      </c>
      <c r="K179" s="22">
        <v>20960</v>
      </c>
      <c r="L179" s="22">
        <v>40753</v>
      </c>
      <c r="M179" s="23">
        <v>562780</v>
      </c>
      <c r="N179" s="22">
        <v>341332</v>
      </c>
      <c r="O179" s="22">
        <v>161033</v>
      </c>
      <c r="P179" s="22">
        <v>13669</v>
      </c>
      <c r="Q179" s="22">
        <v>78809</v>
      </c>
      <c r="R179" s="22">
        <v>52583</v>
      </c>
      <c r="S179" s="22">
        <v>19279</v>
      </c>
      <c r="T179" s="22">
        <v>15959</v>
      </c>
      <c r="U179" s="22">
        <v>3426</v>
      </c>
      <c r="V179" s="22">
        <v>18649</v>
      </c>
      <c r="W179" s="22">
        <v>14118</v>
      </c>
      <c r="X179" s="22">
        <v>2519</v>
      </c>
      <c r="Y179" s="22">
        <v>28276</v>
      </c>
      <c r="Z179" s="22">
        <v>27834</v>
      </c>
      <c r="AA179" s="22">
        <v>18613</v>
      </c>
      <c r="AB179" s="22">
        <v>7414</v>
      </c>
      <c r="AC179" s="22">
        <v>44</v>
      </c>
      <c r="AD179" s="22">
        <v>47665</v>
      </c>
      <c r="AE179" s="22">
        <v>12359</v>
      </c>
      <c r="AF179" s="22">
        <v>11520</v>
      </c>
      <c r="AG179" s="22">
        <v>13097</v>
      </c>
      <c r="AH179" s="22">
        <v>7031</v>
      </c>
      <c r="AI179" s="22">
        <v>32529</v>
      </c>
      <c r="AJ179" s="22">
        <v>17344</v>
      </c>
      <c r="AK179" s="22">
        <v>25167</v>
      </c>
      <c r="AL179" s="22">
        <v>19802</v>
      </c>
      <c r="AM179" s="24">
        <v>1301</v>
      </c>
    </row>
    <row r="180" spans="1:39" ht="15.75" thickBot="1">
      <c r="A180" s="36">
        <f t="shared" si="47"/>
        <v>2014</v>
      </c>
      <c r="B180" s="36">
        <f t="shared" si="48"/>
        <v>10</v>
      </c>
      <c r="C180" s="39">
        <v>41913</v>
      </c>
      <c r="D180" s="40" t="s">
        <v>35</v>
      </c>
      <c r="E180" s="37"/>
      <c r="F180" s="19">
        <v>638917</v>
      </c>
      <c r="G180" s="21"/>
      <c r="H180" s="19">
        <v>127415</v>
      </c>
      <c r="I180" s="22">
        <v>80789</v>
      </c>
      <c r="J180" s="22">
        <v>44770</v>
      </c>
      <c r="K180" s="22">
        <v>36019</v>
      </c>
      <c r="L180" s="22">
        <v>44692</v>
      </c>
      <c r="M180" s="23">
        <v>509129</v>
      </c>
      <c r="N180" s="22">
        <v>270938</v>
      </c>
      <c r="O180" s="22">
        <v>122725</v>
      </c>
      <c r="P180" s="22">
        <v>14225</v>
      </c>
      <c r="Q180" s="22">
        <v>75542</v>
      </c>
      <c r="R180" s="22">
        <v>28601</v>
      </c>
      <c r="S180" s="22">
        <v>13132</v>
      </c>
      <c r="T180" s="22">
        <v>16713</v>
      </c>
      <c r="U180" s="22">
        <v>4256</v>
      </c>
      <c r="V180" s="22">
        <v>17414</v>
      </c>
      <c r="W180" s="22">
        <v>14481</v>
      </c>
      <c r="X180" s="22">
        <v>1384</v>
      </c>
      <c r="Y180" s="22">
        <v>25121</v>
      </c>
      <c r="Z180" s="22">
        <v>24993</v>
      </c>
      <c r="AA180" s="22">
        <v>16595</v>
      </c>
      <c r="AB180" s="22">
        <v>10379</v>
      </c>
      <c r="AC180" s="22">
        <v>4509</v>
      </c>
      <c r="AD180" s="22">
        <v>54554</v>
      </c>
      <c r="AE180" s="22">
        <v>12419</v>
      </c>
      <c r="AF180" s="22">
        <v>16195</v>
      </c>
      <c r="AG180" s="22">
        <v>16689</v>
      </c>
      <c r="AH180" s="22">
        <v>6524</v>
      </c>
      <c r="AI180" s="22">
        <v>32876</v>
      </c>
      <c r="AJ180" s="22">
        <v>14124</v>
      </c>
      <c r="AK180" s="22">
        <v>32611</v>
      </c>
      <c r="AL180" s="22">
        <v>24369</v>
      </c>
      <c r="AM180" s="24">
        <v>2319</v>
      </c>
    </row>
    <row r="181" spans="1:39" ht="15.75" thickBot="1">
      <c r="A181" s="36">
        <f t="shared" si="47"/>
        <v>2014</v>
      </c>
      <c r="B181" s="36">
        <f t="shared" si="48"/>
        <v>11</v>
      </c>
      <c r="C181" s="39">
        <v>41944</v>
      </c>
      <c r="D181" s="40" t="s">
        <v>35</v>
      </c>
      <c r="E181" s="37"/>
      <c r="F181" s="19">
        <v>608793</v>
      </c>
      <c r="G181" s="21"/>
      <c r="H181" s="19">
        <v>60203</v>
      </c>
      <c r="I181" s="22">
        <v>20886</v>
      </c>
      <c r="J181" s="22">
        <v>16272</v>
      </c>
      <c r="K181" s="22">
        <v>4615</v>
      </c>
      <c r="L181" s="22">
        <v>38040</v>
      </c>
      <c r="M181" s="23">
        <v>546700</v>
      </c>
      <c r="N181" s="22">
        <v>331808</v>
      </c>
      <c r="O181" s="22">
        <v>175825</v>
      </c>
      <c r="P181" s="22">
        <v>12932</v>
      </c>
      <c r="Q181" s="22">
        <v>75466</v>
      </c>
      <c r="R181" s="22">
        <v>37469</v>
      </c>
      <c r="S181" s="22">
        <v>15109</v>
      </c>
      <c r="T181" s="22">
        <v>15007</v>
      </c>
      <c r="U181" s="22">
        <v>2571</v>
      </c>
      <c r="V181" s="22">
        <v>18034</v>
      </c>
      <c r="W181" s="22">
        <v>14607</v>
      </c>
      <c r="X181" s="22">
        <v>943</v>
      </c>
      <c r="Y181" s="22">
        <v>25161</v>
      </c>
      <c r="Z181" s="22">
        <v>25121</v>
      </c>
      <c r="AA181" s="22">
        <v>21029</v>
      </c>
      <c r="AB181" s="22">
        <v>9474</v>
      </c>
      <c r="AC181" s="22">
        <v>1</v>
      </c>
      <c r="AD181" s="22">
        <v>46994</v>
      </c>
      <c r="AE181" s="22">
        <v>11886</v>
      </c>
      <c r="AF181" s="22">
        <v>10347</v>
      </c>
      <c r="AG181" s="22">
        <v>14758</v>
      </c>
      <c r="AH181" s="22">
        <v>6340</v>
      </c>
      <c r="AI181" s="22">
        <v>31801</v>
      </c>
      <c r="AJ181" s="22">
        <v>14980</v>
      </c>
      <c r="AK181" s="22">
        <v>23122</v>
      </c>
      <c r="AL181" s="22">
        <v>20782</v>
      </c>
      <c r="AM181" s="24">
        <v>1796</v>
      </c>
    </row>
    <row r="182" spans="1:39" ht="15.75" thickBot="1">
      <c r="A182" s="36">
        <f t="shared" si="47"/>
        <v>2014</v>
      </c>
      <c r="B182" s="36">
        <f t="shared" si="48"/>
        <v>12</v>
      </c>
      <c r="C182" s="39">
        <v>41974</v>
      </c>
      <c r="D182" s="40" t="s">
        <v>35</v>
      </c>
      <c r="E182" s="37"/>
      <c r="F182" s="19">
        <v>623099</v>
      </c>
      <c r="G182" s="21"/>
      <c r="H182" s="19">
        <v>72034</v>
      </c>
      <c r="I182" s="22">
        <v>28811</v>
      </c>
      <c r="J182" s="22">
        <v>10295</v>
      </c>
      <c r="K182" s="22">
        <v>18516</v>
      </c>
      <c r="L182" s="22">
        <v>41348</v>
      </c>
      <c r="M182" s="23">
        <v>549849</v>
      </c>
      <c r="N182" s="22">
        <v>329430</v>
      </c>
      <c r="O182" s="22">
        <v>177372</v>
      </c>
      <c r="P182" s="22">
        <v>10314</v>
      </c>
      <c r="Q182" s="22">
        <v>51668</v>
      </c>
      <c r="R182" s="22">
        <v>55208</v>
      </c>
      <c r="S182" s="22">
        <v>22955</v>
      </c>
      <c r="T182" s="22">
        <v>11915</v>
      </c>
      <c r="U182" s="22">
        <v>2525</v>
      </c>
      <c r="V182" s="22">
        <v>26618</v>
      </c>
      <c r="W182" s="22">
        <v>24479</v>
      </c>
      <c r="X182" s="22">
        <v>1017</v>
      </c>
      <c r="Y182" s="22">
        <v>29835</v>
      </c>
      <c r="Z182" s="22">
        <v>29814</v>
      </c>
      <c r="AA182" s="22">
        <v>16629</v>
      </c>
      <c r="AB182" s="22">
        <v>7742</v>
      </c>
      <c r="AC182" s="22">
        <v>4</v>
      </c>
      <c r="AD182" s="22">
        <v>42633</v>
      </c>
      <c r="AE182" s="22">
        <v>9669</v>
      </c>
      <c r="AF182" s="22">
        <v>10386</v>
      </c>
      <c r="AG182" s="22">
        <v>12401</v>
      </c>
      <c r="AH182" s="22">
        <v>5490</v>
      </c>
      <c r="AI182" s="22">
        <v>23927</v>
      </c>
      <c r="AJ182" s="22">
        <v>11924</v>
      </c>
      <c r="AK182" s="22">
        <v>39889</v>
      </c>
      <c r="AL182" s="22">
        <v>17677</v>
      </c>
      <c r="AM182" s="24">
        <v>1182</v>
      </c>
    </row>
    <row r="183" spans="1:39" ht="15.75" thickBot="1">
      <c r="A183" s="36">
        <f t="shared" si="47"/>
        <v>2015</v>
      </c>
      <c r="B183" s="36">
        <f t="shared" si="48"/>
        <v>1</v>
      </c>
      <c r="C183" s="39">
        <v>42005</v>
      </c>
      <c r="D183" s="40" t="s">
        <v>35</v>
      </c>
      <c r="E183" s="37"/>
      <c r="F183" s="19">
        <v>517962</v>
      </c>
      <c r="G183" s="21"/>
      <c r="H183" s="19">
        <v>95935</v>
      </c>
      <c r="I183" s="22">
        <v>47681</v>
      </c>
      <c r="J183" s="22">
        <v>35411</v>
      </c>
      <c r="K183" s="22">
        <v>12270</v>
      </c>
      <c r="L183" s="22">
        <v>47893</v>
      </c>
      <c r="M183" s="23">
        <v>420544</v>
      </c>
      <c r="N183" s="22">
        <v>237054</v>
      </c>
      <c r="O183" s="22">
        <v>134877</v>
      </c>
      <c r="P183" s="22">
        <v>7799</v>
      </c>
      <c r="Q183" s="22">
        <v>44472</v>
      </c>
      <c r="R183" s="22">
        <v>20790</v>
      </c>
      <c r="S183" s="22">
        <v>15964</v>
      </c>
      <c r="T183" s="22">
        <v>13153</v>
      </c>
      <c r="U183" s="22">
        <v>464</v>
      </c>
      <c r="V183" s="22">
        <v>13200</v>
      </c>
      <c r="W183" s="22">
        <v>10930</v>
      </c>
      <c r="X183" s="22">
        <v>1941</v>
      </c>
      <c r="Y183" s="22">
        <v>22679</v>
      </c>
      <c r="Z183" s="22">
        <v>22671</v>
      </c>
      <c r="AA183" s="22">
        <v>19081</v>
      </c>
      <c r="AB183" s="22">
        <v>5110</v>
      </c>
      <c r="AC183" s="22">
        <v>0</v>
      </c>
      <c r="AD183" s="22">
        <v>38062</v>
      </c>
      <c r="AE183" s="22">
        <v>11239</v>
      </c>
      <c r="AF183" s="22">
        <v>7082</v>
      </c>
      <c r="AG183" s="22">
        <v>11630</v>
      </c>
      <c r="AH183" s="22">
        <v>5740</v>
      </c>
      <c r="AI183" s="22">
        <v>30959</v>
      </c>
      <c r="AJ183" s="22">
        <v>12182</v>
      </c>
      <c r="AK183" s="22">
        <v>24061</v>
      </c>
      <c r="AL183" s="22">
        <v>15751</v>
      </c>
      <c r="AM183" s="24">
        <v>1390</v>
      </c>
    </row>
    <row r="184" spans="1:39" ht="15.75" thickBot="1">
      <c r="A184" s="36">
        <f t="shared" si="47"/>
        <v>2015</v>
      </c>
      <c r="B184" s="36">
        <f t="shared" si="48"/>
        <v>2</v>
      </c>
      <c r="C184" s="39">
        <v>42036</v>
      </c>
      <c r="D184" s="40" t="s">
        <v>35</v>
      </c>
      <c r="E184" s="37"/>
      <c r="F184" s="19">
        <v>545059</v>
      </c>
      <c r="G184" s="21"/>
      <c r="H184" s="19">
        <v>92161</v>
      </c>
      <c r="I184" s="22">
        <v>51637</v>
      </c>
      <c r="J184" s="22">
        <v>32488</v>
      </c>
      <c r="K184" s="22">
        <v>19148</v>
      </c>
      <c r="L184" s="22">
        <v>39308</v>
      </c>
      <c r="M184" s="23">
        <v>452754</v>
      </c>
      <c r="N184" s="22">
        <v>265826</v>
      </c>
      <c r="O184" s="22">
        <v>159422</v>
      </c>
      <c r="P184" s="22">
        <v>10133</v>
      </c>
      <c r="Q184" s="22">
        <v>38473</v>
      </c>
      <c r="R184" s="22">
        <v>28251</v>
      </c>
      <c r="S184" s="22">
        <v>16649</v>
      </c>
      <c r="T184" s="22">
        <v>12898</v>
      </c>
      <c r="U184" s="22">
        <v>3844</v>
      </c>
      <c r="V184" s="22">
        <v>20261</v>
      </c>
      <c r="W184" s="22">
        <v>18027</v>
      </c>
      <c r="X184" s="22">
        <v>1906</v>
      </c>
      <c r="Y184" s="22">
        <v>23846</v>
      </c>
      <c r="Z184" s="22">
        <v>23845</v>
      </c>
      <c r="AA184" s="22">
        <v>16637</v>
      </c>
      <c r="AB184" s="22">
        <v>10775</v>
      </c>
      <c r="AC184" s="22">
        <v>0</v>
      </c>
      <c r="AD184" s="22">
        <v>32545</v>
      </c>
      <c r="AE184" s="22">
        <v>10678</v>
      </c>
      <c r="AF184" s="22">
        <v>3929</v>
      </c>
      <c r="AG184" s="22">
        <v>10086</v>
      </c>
      <c r="AH184" s="22">
        <v>4540</v>
      </c>
      <c r="AI184" s="22">
        <v>27721</v>
      </c>
      <c r="AJ184" s="22">
        <v>14544</v>
      </c>
      <c r="AK184" s="22">
        <v>20964</v>
      </c>
      <c r="AL184" s="22">
        <v>13882</v>
      </c>
      <c r="AM184" s="24">
        <v>22</v>
      </c>
    </row>
    <row r="185" spans="1:39" ht="15.75" thickBot="1">
      <c r="A185" s="36">
        <f t="shared" si="47"/>
        <v>2015</v>
      </c>
      <c r="B185" s="36">
        <f t="shared" si="48"/>
        <v>3</v>
      </c>
      <c r="C185" s="39">
        <v>42064</v>
      </c>
      <c r="D185" s="40" t="s">
        <v>35</v>
      </c>
      <c r="E185" s="37"/>
      <c r="F185" s="19">
        <v>591840</v>
      </c>
      <c r="G185" s="21"/>
      <c r="H185" s="19">
        <v>122475</v>
      </c>
      <c r="I185" s="22">
        <v>48915</v>
      </c>
      <c r="J185" s="22">
        <v>24341</v>
      </c>
      <c r="K185" s="22">
        <v>24574</v>
      </c>
      <c r="L185" s="22">
        <v>72208</v>
      </c>
      <c r="M185" s="23">
        <v>469170</v>
      </c>
      <c r="N185" s="22">
        <v>269364</v>
      </c>
      <c r="O185" s="22">
        <v>168829</v>
      </c>
      <c r="P185" s="22">
        <v>10349</v>
      </c>
      <c r="Q185" s="22">
        <v>58593</v>
      </c>
      <c r="R185" s="22">
        <v>13461</v>
      </c>
      <c r="S185" s="22">
        <v>1631</v>
      </c>
      <c r="T185" s="22">
        <v>16502</v>
      </c>
      <c r="U185" s="22">
        <v>2391</v>
      </c>
      <c r="V185" s="22">
        <v>22039</v>
      </c>
      <c r="W185" s="22">
        <v>19262</v>
      </c>
      <c r="X185" s="22">
        <v>1617</v>
      </c>
      <c r="Y185" s="22">
        <v>24268</v>
      </c>
      <c r="Z185" s="22">
        <v>24234</v>
      </c>
      <c r="AA185" s="22">
        <v>17637</v>
      </c>
      <c r="AB185" s="22">
        <v>8732</v>
      </c>
      <c r="AC185" s="22">
        <v>0</v>
      </c>
      <c r="AD185" s="22">
        <v>39065</v>
      </c>
      <c r="AE185" s="22">
        <v>12183</v>
      </c>
      <c r="AF185" s="22">
        <v>3537</v>
      </c>
      <c r="AG185" s="22">
        <v>14492</v>
      </c>
      <c r="AH185" s="22">
        <v>5234</v>
      </c>
      <c r="AI185" s="22">
        <v>28557</v>
      </c>
      <c r="AJ185" s="22">
        <v>15227</v>
      </c>
      <c r="AK185" s="22">
        <v>22638</v>
      </c>
      <c r="AL185" s="22">
        <v>17635</v>
      </c>
      <c r="AM185" s="24">
        <v>0</v>
      </c>
    </row>
    <row r="186" spans="1:39" ht="15.75" thickBot="1">
      <c r="A186" s="36">
        <f t="shared" si="47"/>
        <v>2015</v>
      </c>
      <c r="B186" s="36">
        <f t="shared" si="48"/>
        <v>4</v>
      </c>
      <c r="C186" s="39">
        <v>42095</v>
      </c>
      <c r="D186" s="40" t="s">
        <v>35</v>
      </c>
      <c r="E186" s="37"/>
      <c r="F186" s="19">
        <v>747897</v>
      </c>
      <c r="G186" s="21"/>
      <c r="H186" s="19">
        <v>256852</v>
      </c>
      <c r="I186" s="22">
        <v>212267</v>
      </c>
      <c r="J186" s="22">
        <v>193410</v>
      </c>
      <c r="K186" s="22">
        <v>18856</v>
      </c>
      <c r="L186" s="22">
        <v>43217</v>
      </c>
      <c r="M186" s="23">
        <v>489901</v>
      </c>
      <c r="N186" s="22">
        <v>300616</v>
      </c>
      <c r="O186" s="22">
        <v>148798</v>
      </c>
      <c r="P186" s="22">
        <v>8193</v>
      </c>
      <c r="Q186" s="22">
        <v>67408</v>
      </c>
      <c r="R186" s="22">
        <v>40844</v>
      </c>
      <c r="S186" s="22">
        <v>21413</v>
      </c>
      <c r="T186" s="22">
        <v>13960</v>
      </c>
      <c r="U186" s="22">
        <v>4613</v>
      </c>
      <c r="V186" s="22">
        <v>18874</v>
      </c>
      <c r="W186" s="22">
        <v>16260</v>
      </c>
      <c r="X186" s="22">
        <v>1833</v>
      </c>
      <c r="Y186" s="22">
        <v>29664</v>
      </c>
      <c r="Z186" s="22">
        <v>29637</v>
      </c>
      <c r="AA186" s="22">
        <v>20613</v>
      </c>
      <c r="AB186" s="22">
        <v>10052</v>
      </c>
      <c r="AC186" s="22">
        <v>0</v>
      </c>
      <c r="AD186" s="22">
        <v>33911</v>
      </c>
      <c r="AE186" s="22">
        <v>10189</v>
      </c>
      <c r="AF186" s="22">
        <v>3115</v>
      </c>
      <c r="AG186" s="22">
        <v>12101</v>
      </c>
      <c r="AH186" s="22">
        <v>4836</v>
      </c>
      <c r="AI186" s="22">
        <v>27611</v>
      </c>
      <c r="AJ186" s="22">
        <v>13561</v>
      </c>
      <c r="AK186" s="22">
        <v>12988</v>
      </c>
      <c r="AL186" s="22">
        <v>15565</v>
      </c>
      <c r="AM186" s="24">
        <v>0</v>
      </c>
    </row>
    <row r="187" spans="1:39" ht="15.75" thickBot="1">
      <c r="A187" s="36">
        <f t="shared" si="47"/>
        <v>2015</v>
      </c>
      <c r="B187" s="36">
        <f t="shared" si="48"/>
        <v>5</v>
      </c>
      <c r="C187" s="39">
        <v>42125</v>
      </c>
      <c r="D187" s="40" t="s">
        <v>35</v>
      </c>
      <c r="E187" s="37"/>
      <c r="F187" s="19">
        <v>867861</v>
      </c>
      <c r="G187" s="21"/>
      <c r="H187" s="19">
        <v>385418</v>
      </c>
      <c r="I187" s="22">
        <v>332157</v>
      </c>
      <c r="J187" s="22">
        <v>309472</v>
      </c>
      <c r="K187" s="22">
        <v>22686</v>
      </c>
      <c r="L187" s="22">
        <v>51479</v>
      </c>
      <c r="M187" s="23">
        <v>482423</v>
      </c>
      <c r="N187" s="22">
        <v>272297</v>
      </c>
      <c r="O187" s="22">
        <v>157667</v>
      </c>
      <c r="P187" s="22">
        <v>8325</v>
      </c>
      <c r="Q187" s="22">
        <v>50772</v>
      </c>
      <c r="R187" s="22">
        <v>33093</v>
      </c>
      <c r="S187" s="22">
        <v>4532</v>
      </c>
      <c r="T187" s="22">
        <v>17909</v>
      </c>
      <c r="U187" s="22">
        <v>1746</v>
      </c>
      <c r="V187" s="22">
        <v>20204</v>
      </c>
      <c r="W187" s="22">
        <v>18105</v>
      </c>
      <c r="X187" s="22">
        <v>1546</v>
      </c>
      <c r="Y187" s="22">
        <v>28472</v>
      </c>
      <c r="Z187" s="22">
        <v>28272</v>
      </c>
      <c r="AA187" s="22">
        <v>11855</v>
      </c>
      <c r="AB187" s="22">
        <v>9896</v>
      </c>
      <c r="AC187" s="22">
        <v>2261</v>
      </c>
      <c r="AD187" s="22">
        <v>40165</v>
      </c>
      <c r="AE187" s="22">
        <v>9796</v>
      </c>
      <c r="AF187" s="22">
        <v>5983</v>
      </c>
      <c r="AG187" s="22">
        <v>15728</v>
      </c>
      <c r="AH187" s="22">
        <v>5073</v>
      </c>
      <c r="AI187" s="22">
        <v>19902</v>
      </c>
      <c r="AJ187" s="22">
        <v>15382</v>
      </c>
      <c r="AK187" s="22">
        <v>39528</v>
      </c>
      <c r="AL187" s="22">
        <v>19170</v>
      </c>
      <c r="AM187" s="24">
        <v>0</v>
      </c>
    </row>
    <row r="188" spans="1:39" ht="15.75" thickBot="1">
      <c r="A188" s="36">
        <f t="shared" si="47"/>
        <v>2015</v>
      </c>
      <c r="B188" s="36">
        <f t="shared" si="48"/>
        <v>6</v>
      </c>
      <c r="C188" s="39">
        <v>42156</v>
      </c>
      <c r="D188" s="40" t="s">
        <v>35</v>
      </c>
      <c r="E188" s="37"/>
      <c r="F188" s="19">
        <v>716388</v>
      </c>
      <c r="G188" s="21"/>
      <c r="H188" s="19">
        <v>266823</v>
      </c>
      <c r="I188" s="22">
        <v>216242</v>
      </c>
      <c r="J188" s="22">
        <v>191653</v>
      </c>
      <c r="K188" s="22">
        <v>24589</v>
      </c>
      <c r="L188" s="22">
        <v>49335</v>
      </c>
      <c r="M188" s="23">
        <v>449341</v>
      </c>
      <c r="N188" s="22">
        <v>245637</v>
      </c>
      <c r="O188" s="22">
        <v>128146</v>
      </c>
      <c r="P188" s="22">
        <v>8193</v>
      </c>
      <c r="Q188" s="22">
        <v>47047</v>
      </c>
      <c r="R188" s="22">
        <v>37540</v>
      </c>
      <c r="S188" s="22">
        <v>7942</v>
      </c>
      <c r="T188" s="22">
        <v>16770</v>
      </c>
      <c r="U188" s="22">
        <v>1529</v>
      </c>
      <c r="V188" s="22">
        <v>20065</v>
      </c>
      <c r="W188" s="22">
        <v>18078</v>
      </c>
      <c r="X188" s="22">
        <v>1955</v>
      </c>
      <c r="Y188" s="22">
        <v>26657</v>
      </c>
      <c r="Z188" s="22">
        <v>26634</v>
      </c>
      <c r="AA188" s="22">
        <v>18008</v>
      </c>
      <c r="AB188" s="22">
        <v>10624</v>
      </c>
      <c r="AC188" s="22">
        <v>2975</v>
      </c>
      <c r="AD188" s="22">
        <v>39072</v>
      </c>
      <c r="AE188" s="22">
        <v>9268</v>
      </c>
      <c r="AF188" s="22">
        <v>5387</v>
      </c>
      <c r="AG188" s="22">
        <v>14285</v>
      </c>
      <c r="AH188" s="22">
        <v>5412</v>
      </c>
      <c r="AI188" s="22">
        <v>19561</v>
      </c>
      <c r="AJ188" s="22">
        <v>13813</v>
      </c>
      <c r="AK188" s="22">
        <v>31702</v>
      </c>
      <c r="AL188" s="22">
        <v>17743</v>
      </c>
      <c r="AM188" s="24">
        <v>0</v>
      </c>
    </row>
    <row r="189" spans="1:39" ht="15.75" thickBot="1">
      <c r="A189" s="36">
        <f t="shared" si="47"/>
        <v>2015</v>
      </c>
      <c r="B189" s="36">
        <f t="shared" si="48"/>
        <v>7</v>
      </c>
      <c r="C189" s="39">
        <v>42186</v>
      </c>
      <c r="D189" s="40" t="s">
        <v>35</v>
      </c>
      <c r="E189" s="37"/>
      <c r="F189" s="19">
        <v>658794</v>
      </c>
      <c r="G189" s="21"/>
      <c r="H189" s="19">
        <v>244834</v>
      </c>
      <c r="I189" s="22">
        <v>202386</v>
      </c>
      <c r="J189" s="22">
        <v>166426</v>
      </c>
      <c r="K189" s="22">
        <v>35959</v>
      </c>
      <c r="L189" s="22">
        <v>40944</v>
      </c>
      <c r="M189" s="23">
        <v>413573</v>
      </c>
      <c r="N189" s="22">
        <v>227049</v>
      </c>
      <c r="O189" s="22">
        <v>133652</v>
      </c>
      <c r="P189" s="22">
        <v>13413</v>
      </c>
      <c r="Q189" s="22">
        <v>42564</v>
      </c>
      <c r="R189" s="22">
        <v>15232</v>
      </c>
      <c r="S189" s="22">
        <v>8083</v>
      </c>
      <c r="T189" s="22">
        <v>14105</v>
      </c>
      <c r="U189" s="22">
        <v>1646</v>
      </c>
      <c r="V189" s="22">
        <v>22246</v>
      </c>
      <c r="W189" s="22">
        <v>20100</v>
      </c>
      <c r="X189" s="22">
        <v>1674</v>
      </c>
      <c r="Y189" s="22">
        <v>21032</v>
      </c>
      <c r="Z189" s="22">
        <v>20821</v>
      </c>
      <c r="AA189" s="22">
        <v>16223</v>
      </c>
      <c r="AB189" s="22">
        <v>5460</v>
      </c>
      <c r="AC189" s="22">
        <v>3610</v>
      </c>
      <c r="AD189" s="22">
        <v>47480</v>
      </c>
      <c r="AE189" s="22">
        <v>8227</v>
      </c>
      <c r="AF189" s="22">
        <v>15665</v>
      </c>
      <c r="AG189" s="22">
        <v>14686</v>
      </c>
      <c r="AH189" s="22">
        <v>6186</v>
      </c>
      <c r="AI189" s="22">
        <v>17635</v>
      </c>
      <c r="AJ189" s="22">
        <v>12461</v>
      </c>
      <c r="AK189" s="22">
        <v>16835</v>
      </c>
      <c r="AL189" s="22">
        <v>20222</v>
      </c>
      <c r="AM189" s="24">
        <v>188</v>
      </c>
    </row>
    <row r="190" spans="1:39" ht="15.75" thickBot="1">
      <c r="A190" s="36">
        <f t="shared" si="47"/>
        <v>2015</v>
      </c>
      <c r="B190" s="36">
        <f t="shared" si="48"/>
        <v>8</v>
      </c>
      <c r="C190" s="39">
        <v>42217</v>
      </c>
      <c r="D190" s="40" t="s">
        <v>35</v>
      </c>
      <c r="E190" s="37"/>
      <c r="F190" s="19">
        <v>726473</v>
      </c>
      <c r="G190" s="21"/>
      <c r="H190" s="19">
        <v>243733</v>
      </c>
      <c r="I190" s="22">
        <v>188465</v>
      </c>
      <c r="J190" s="22">
        <v>169579</v>
      </c>
      <c r="K190" s="22">
        <v>18886</v>
      </c>
      <c r="L190" s="22">
        <v>53960</v>
      </c>
      <c r="M190" s="23">
        <v>481817</v>
      </c>
      <c r="N190" s="22">
        <v>274948</v>
      </c>
      <c r="O190" s="22">
        <v>139119</v>
      </c>
      <c r="P190" s="22">
        <v>18147</v>
      </c>
      <c r="Q190" s="22">
        <v>38862</v>
      </c>
      <c r="R190" s="22">
        <v>53470</v>
      </c>
      <c r="S190" s="22">
        <v>11188</v>
      </c>
      <c r="T190" s="22">
        <v>14161</v>
      </c>
      <c r="U190" s="22">
        <v>1465</v>
      </c>
      <c r="V190" s="22">
        <v>17120</v>
      </c>
      <c r="W190" s="22">
        <v>14927</v>
      </c>
      <c r="X190" s="22">
        <v>1813</v>
      </c>
      <c r="Y190" s="22">
        <v>28409</v>
      </c>
      <c r="Z190" s="22">
        <v>28255</v>
      </c>
      <c r="AA190" s="22">
        <v>13172</v>
      </c>
      <c r="AB190" s="22">
        <v>9229</v>
      </c>
      <c r="AC190" s="22">
        <v>3321</v>
      </c>
      <c r="AD190" s="22">
        <v>44660</v>
      </c>
      <c r="AE190" s="22">
        <v>9305</v>
      </c>
      <c r="AF190" s="22">
        <v>15183</v>
      </c>
      <c r="AG190" s="22">
        <v>10907</v>
      </c>
      <c r="AH190" s="22">
        <v>5630</v>
      </c>
      <c r="AI190" s="22">
        <v>23991</v>
      </c>
      <c r="AJ190" s="22">
        <v>10484</v>
      </c>
      <c r="AK190" s="22">
        <v>30677</v>
      </c>
      <c r="AL190" s="22">
        <v>22528</v>
      </c>
      <c r="AM190" s="24">
        <v>866</v>
      </c>
    </row>
    <row r="191" spans="1:39" ht="15.75" thickBot="1">
      <c r="A191" s="36">
        <f t="shared" si="47"/>
        <v>2015</v>
      </c>
      <c r="B191" s="36">
        <f t="shared" si="48"/>
        <v>9</v>
      </c>
      <c r="C191" s="39">
        <v>42248</v>
      </c>
      <c r="D191" s="40" t="s">
        <v>35</v>
      </c>
      <c r="E191" s="37"/>
      <c r="F191" s="19">
        <v>650389</v>
      </c>
      <c r="G191" s="21"/>
      <c r="H191" s="19">
        <v>218127</v>
      </c>
      <c r="I191" s="22">
        <v>175605</v>
      </c>
      <c r="J191" s="22">
        <v>158314</v>
      </c>
      <c r="K191" s="22">
        <v>17291</v>
      </c>
      <c r="L191" s="22">
        <v>41500</v>
      </c>
      <c r="M191" s="23">
        <v>431815</v>
      </c>
      <c r="N191" s="22">
        <v>240246</v>
      </c>
      <c r="O191" s="22">
        <v>145050</v>
      </c>
      <c r="P191" s="22">
        <v>8903</v>
      </c>
      <c r="Q191" s="22">
        <v>49817</v>
      </c>
      <c r="R191" s="22">
        <v>19635</v>
      </c>
      <c r="S191" s="22">
        <v>3343</v>
      </c>
      <c r="T191" s="22">
        <v>13498</v>
      </c>
      <c r="U191" s="22">
        <v>4166</v>
      </c>
      <c r="V191" s="22">
        <v>18579</v>
      </c>
      <c r="W191" s="22">
        <v>17076</v>
      </c>
      <c r="X191" s="22">
        <v>1807</v>
      </c>
      <c r="Y191" s="22">
        <v>22026</v>
      </c>
      <c r="Z191" s="22">
        <v>21998</v>
      </c>
      <c r="AA191" s="22">
        <v>19925</v>
      </c>
      <c r="AB191" s="22">
        <v>7883</v>
      </c>
      <c r="AC191" s="22">
        <v>2986</v>
      </c>
      <c r="AD191" s="22">
        <v>43037</v>
      </c>
      <c r="AE191" s="22">
        <v>9624</v>
      </c>
      <c r="AF191" s="22">
        <v>9637</v>
      </c>
      <c r="AG191" s="22">
        <v>15229</v>
      </c>
      <c r="AH191" s="22">
        <v>5649</v>
      </c>
      <c r="AI191" s="22">
        <v>21785</v>
      </c>
      <c r="AJ191" s="22">
        <v>12566</v>
      </c>
      <c r="AK191" s="22">
        <v>13060</v>
      </c>
      <c r="AL191" s="22">
        <v>23748</v>
      </c>
      <c r="AM191" s="24">
        <v>339</v>
      </c>
    </row>
    <row r="192" spans="1:39" ht="15.75" thickBot="1">
      <c r="A192" s="36">
        <f t="shared" si="47"/>
        <v>2015</v>
      </c>
      <c r="B192" s="36">
        <f t="shared" si="48"/>
        <v>10</v>
      </c>
      <c r="C192" s="39">
        <v>42278</v>
      </c>
      <c r="D192" s="40" t="s">
        <v>35</v>
      </c>
      <c r="E192" s="37"/>
      <c r="F192" s="19">
        <v>593690</v>
      </c>
      <c r="G192" s="21"/>
      <c r="H192" s="19">
        <v>137729</v>
      </c>
      <c r="I192" s="22">
        <v>88957</v>
      </c>
      <c r="J192" s="22">
        <v>76192</v>
      </c>
      <c r="K192" s="22">
        <v>12765</v>
      </c>
      <c r="L192" s="22">
        <v>47861</v>
      </c>
      <c r="M192" s="23">
        <v>452845</v>
      </c>
      <c r="N192" s="22">
        <v>273639</v>
      </c>
      <c r="O192" s="22">
        <v>133498</v>
      </c>
      <c r="P192" s="22">
        <v>7675</v>
      </c>
      <c r="Q192" s="22">
        <v>71219</v>
      </c>
      <c r="R192" s="22">
        <v>26318</v>
      </c>
      <c r="S192" s="22">
        <v>17833</v>
      </c>
      <c r="T192" s="22">
        <v>17096</v>
      </c>
      <c r="U192" s="22">
        <v>1941</v>
      </c>
      <c r="V192" s="22">
        <v>16707</v>
      </c>
      <c r="W192" s="22">
        <v>15247</v>
      </c>
      <c r="X192" s="22">
        <v>1587</v>
      </c>
      <c r="Y192" s="22">
        <v>26316</v>
      </c>
      <c r="Z192" s="22">
        <v>26099</v>
      </c>
      <c r="AA192" s="22">
        <v>10074</v>
      </c>
      <c r="AB192" s="22">
        <v>7113</v>
      </c>
      <c r="AC192" s="22">
        <v>2530</v>
      </c>
      <c r="AD192" s="22">
        <v>44648</v>
      </c>
      <c r="AE192" s="22">
        <v>9907</v>
      </c>
      <c r="AF192" s="22">
        <v>13992</v>
      </c>
      <c r="AG192" s="22">
        <v>12158</v>
      </c>
      <c r="AH192" s="22">
        <v>4973</v>
      </c>
      <c r="AI192" s="22">
        <v>19969</v>
      </c>
      <c r="AJ192" s="22">
        <v>13001</v>
      </c>
      <c r="AK192" s="22">
        <v>11161</v>
      </c>
      <c r="AL192" s="22">
        <v>24159</v>
      </c>
      <c r="AM192" s="24">
        <v>2937</v>
      </c>
    </row>
    <row r="193" spans="1:39" ht="15.75" thickBot="1">
      <c r="A193" s="36">
        <f t="shared" si="47"/>
        <v>2015</v>
      </c>
      <c r="B193" s="36">
        <f t="shared" si="48"/>
        <v>11</v>
      </c>
      <c r="C193" s="39">
        <v>42309</v>
      </c>
      <c r="D193" s="40" t="s">
        <v>35</v>
      </c>
      <c r="E193" s="37"/>
      <c r="F193" s="19">
        <v>515237</v>
      </c>
      <c r="G193" s="21"/>
      <c r="H193" s="19">
        <v>71237</v>
      </c>
      <c r="I193" s="22">
        <v>36236</v>
      </c>
      <c r="J193" s="22">
        <v>21104</v>
      </c>
      <c r="K193" s="22">
        <v>15131</v>
      </c>
      <c r="L193" s="22">
        <v>33831</v>
      </c>
      <c r="M193" s="23">
        <v>441001</v>
      </c>
      <c r="N193" s="22">
        <v>274469</v>
      </c>
      <c r="O193" s="22">
        <v>144685</v>
      </c>
      <c r="P193" s="22">
        <v>7250</v>
      </c>
      <c r="Q193" s="22">
        <v>65247</v>
      </c>
      <c r="R193" s="22">
        <v>36928</v>
      </c>
      <c r="S193" s="22">
        <v>4798</v>
      </c>
      <c r="T193" s="22">
        <v>15560</v>
      </c>
      <c r="U193" s="22">
        <v>1572</v>
      </c>
      <c r="V193" s="22">
        <v>10041</v>
      </c>
      <c r="W193" s="22">
        <v>8279</v>
      </c>
      <c r="X193" s="22">
        <v>906</v>
      </c>
      <c r="Y193" s="22">
        <v>17189</v>
      </c>
      <c r="Z193" s="22">
        <v>17172</v>
      </c>
      <c r="AA193" s="22">
        <v>18493</v>
      </c>
      <c r="AB193" s="22">
        <v>5951</v>
      </c>
      <c r="AC193" s="22">
        <v>1418</v>
      </c>
      <c r="AD193" s="22">
        <v>42103</v>
      </c>
      <c r="AE193" s="22">
        <v>8979</v>
      </c>
      <c r="AF193" s="22">
        <v>11972</v>
      </c>
      <c r="AG193" s="22">
        <v>12387</v>
      </c>
      <c r="AH193" s="22">
        <v>5251</v>
      </c>
      <c r="AI193" s="22">
        <v>24255</v>
      </c>
      <c r="AJ193" s="22">
        <v>10857</v>
      </c>
      <c r="AK193" s="22">
        <v>10170</v>
      </c>
      <c r="AL193" s="22">
        <v>23576</v>
      </c>
      <c r="AM193" s="24">
        <v>2934</v>
      </c>
    </row>
    <row r="194" spans="1:39" ht="15.75" thickBot="1">
      <c r="A194" s="36">
        <f t="shared" si="47"/>
        <v>2015</v>
      </c>
      <c r="B194" s="36">
        <f t="shared" si="48"/>
        <v>12</v>
      </c>
      <c r="C194" s="39">
        <v>42339</v>
      </c>
      <c r="D194" s="40" t="s">
        <v>35</v>
      </c>
      <c r="E194" s="37"/>
      <c r="F194" s="19">
        <v>555592</v>
      </c>
      <c r="G194" s="21"/>
      <c r="H194" s="19">
        <v>107074</v>
      </c>
      <c r="I194" s="22">
        <v>53688</v>
      </c>
      <c r="J194" s="22">
        <v>24297</v>
      </c>
      <c r="K194" s="22">
        <v>29391</v>
      </c>
      <c r="L194" s="22">
        <v>51930</v>
      </c>
      <c r="M194" s="23">
        <v>447723</v>
      </c>
      <c r="N194" s="22">
        <v>270022</v>
      </c>
      <c r="O194" s="22">
        <v>159611</v>
      </c>
      <c r="P194" s="22">
        <v>5671</v>
      </c>
      <c r="Q194" s="22">
        <v>48484</v>
      </c>
      <c r="R194" s="22">
        <v>18009</v>
      </c>
      <c r="S194" s="22">
        <v>26281</v>
      </c>
      <c r="T194" s="22">
        <v>11966</v>
      </c>
      <c r="U194" s="22">
        <v>2635</v>
      </c>
      <c r="V194" s="22">
        <v>24176</v>
      </c>
      <c r="W194" s="22">
        <v>22827</v>
      </c>
      <c r="X194" s="22">
        <v>1332</v>
      </c>
      <c r="Y194" s="22">
        <v>24785</v>
      </c>
      <c r="Z194" s="22">
        <v>24752</v>
      </c>
      <c r="AA194" s="22">
        <v>14584</v>
      </c>
      <c r="AB194" s="22">
        <v>6251</v>
      </c>
      <c r="AC194" s="22">
        <v>2712</v>
      </c>
      <c r="AD194" s="22">
        <v>38092</v>
      </c>
      <c r="AE194" s="22">
        <v>8084</v>
      </c>
      <c r="AF194" s="22">
        <v>10568</v>
      </c>
      <c r="AG194" s="22">
        <v>11004</v>
      </c>
      <c r="AH194" s="22">
        <v>4337</v>
      </c>
      <c r="AI194" s="22">
        <v>18367</v>
      </c>
      <c r="AJ194" s="22">
        <v>6998</v>
      </c>
      <c r="AK194" s="22">
        <v>12064</v>
      </c>
      <c r="AL194" s="22">
        <v>25704</v>
      </c>
      <c r="AM194" s="24">
        <v>719</v>
      </c>
    </row>
    <row r="195" spans="1:39" ht="15.75" thickBot="1">
      <c r="A195" s="36">
        <f t="shared" si="47"/>
        <v>2016</v>
      </c>
      <c r="B195" s="36">
        <f t="shared" si="48"/>
        <v>1</v>
      </c>
      <c r="C195" s="39">
        <v>42370</v>
      </c>
      <c r="D195" s="40" t="s">
        <v>35</v>
      </c>
      <c r="E195" s="37"/>
      <c r="F195" s="19">
        <v>422114</v>
      </c>
      <c r="G195" s="21"/>
      <c r="H195" s="19">
        <v>72632</v>
      </c>
      <c r="I195" s="22">
        <v>23552</v>
      </c>
      <c r="J195" s="22">
        <v>13129</v>
      </c>
      <c r="K195" s="22">
        <v>10424</v>
      </c>
      <c r="L195" s="22">
        <v>48570</v>
      </c>
      <c r="M195" s="23">
        <v>344357</v>
      </c>
      <c r="N195" s="22">
        <v>203830</v>
      </c>
      <c r="O195" s="22">
        <v>129716</v>
      </c>
      <c r="P195" s="22">
        <v>5741</v>
      </c>
      <c r="Q195" s="22">
        <v>32979</v>
      </c>
      <c r="R195" s="22">
        <v>18500</v>
      </c>
      <c r="S195" s="22">
        <v>3062</v>
      </c>
      <c r="T195" s="22">
        <v>13831</v>
      </c>
      <c r="U195" s="22">
        <v>2098</v>
      </c>
      <c r="V195" s="22">
        <v>15069</v>
      </c>
      <c r="W195" s="22">
        <v>14088</v>
      </c>
      <c r="X195" s="22">
        <v>1286</v>
      </c>
      <c r="Y195" s="22">
        <v>22042</v>
      </c>
      <c r="Z195" s="22">
        <v>22041</v>
      </c>
      <c r="AA195" s="22">
        <v>17342</v>
      </c>
      <c r="AB195" s="22">
        <v>3207</v>
      </c>
      <c r="AC195" s="22">
        <v>2567</v>
      </c>
      <c r="AD195" s="22">
        <v>31427</v>
      </c>
      <c r="AE195" s="22">
        <v>7909</v>
      </c>
      <c r="AF195" s="22">
        <v>6020</v>
      </c>
      <c r="AG195" s="22">
        <v>9946</v>
      </c>
      <c r="AH195" s="22">
        <v>4801</v>
      </c>
      <c r="AI195" s="22">
        <v>16733</v>
      </c>
      <c r="AJ195" s="22">
        <v>5378</v>
      </c>
      <c r="AK195" s="22">
        <v>5082</v>
      </c>
      <c r="AL195" s="22">
        <v>18297</v>
      </c>
      <c r="AM195" s="24">
        <v>4993</v>
      </c>
    </row>
    <row r="196" spans="1:39" ht="15.75" thickBot="1">
      <c r="A196" s="36">
        <f t="shared" ref="A196:A259" si="49">YEAR(C196)</f>
        <v>2016</v>
      </c>
      <c r="B196" s="36">
        <f t="shared" ref="B196:B259" si="50">MONTH(C196)</f>
        <v>2</v>
      </c>
      <c r="C196" s="39">
        <v>42401</v>
      </c>
      <c r="D196" s="40" t="s">
        <v>35</v>
      </c>
      <c r="E196" s="37"/>
      <c r="F196" s="19">
        <v>506845</v>
      </c>
      <c r="G196" s="21"/>
      <c r="H196" s="19">
        <v>101262</v>
      </c>
      <c r="I196" s="22">
        <v>49198</v>
      </c>
      <c r="J196" s="22">
        <v>37633</v>
      </c>
      <c r="K196" s="22">
        <v>11565</v>
      </c>
      <c r="L196" s="22">
        <v>51245</v>
      </c>
      <c r="M196" s="23">
        <v>391242</v>
      </c>
      <c r="N196" s="22">
        <v>225398</v>
      </c>
      <c r="O196" s="22">
        <v>132357</v>
      </c>
      <c r="P196" s="22">
        <v>5234</v>
      </c>
      <c r="Q196" s="22">
        <v>32799</v>
      </c>
      <c r="R196" s="22">
        <v>31641</v>
      </c>
      <c r="S196" s="22">
        <v>11758</v>
      </c>
      <c r="T196" s="22">
        <v>11608</v>
      </c>
      <c r="U196" s="22">
        <v>1489</v>
      </c>
      <c r="V196" s="22">
        <v>16876</v>
      </c>
      <c r="W196" s="22">
        <v>14570</v>
      </c>
      <c r="X196" s="22">
        <v>957</v>
      </c>
      <c r="Y196" s="22">
        <v>22828</v>
      </c>
      <c r="Z196" s="22">
        <v>22808</v>
      </c>
      <c r="AA196" s="22">
        <v>19791</v>
      </c>
      <c r="AB196" s="22">
        <v>7086</v>
      </c>
      <c r="AC196" s="22">
        <v>2064</v>
      </c>
      <c r="AD196" s="22">
        <v>38889</v>
      </c>
      <c r="AE196" s="22">
        <v>7948</v>
      </c>
      <c r="AF196" s="22">
        <v>2970</v>
      </c>
      <c r="AG196" s="22">
        <v>20102</v>
      </c>
      <c r="AH196" s="22">
        <v>4791</v>
      </c>
      <c r="AI196" s="22">
        <v>18482</v>
      </c>
      <c r="AJ196" s="22">
        <v>10451</v>
      </c>
      <c r="AK196" s="22">
        <v>7877</v>
      </c>
      <c r="AL196" s="22">
        <v>19054</v>
      </c>
      <c r="AM196" s="24">
        <v>14298</v>
      </c>
    </row>
    <row r="197" spans="1:39" ht="15.75" thickBot="1">
      <c r="A197" s="36">
        <f t="shared" si="49"/>
        <v>2016</v>
      </c>
      <c r="B197" s="36">
        <f t="shared" si="50"/>
        <v>3</v>
      </c>
      <c r="C197" s="39">
        <v>42430</v>
      </c>
      <c r="D197" s="40" t="s">
        <v>35</v>
      </c>
      <c r="E197" s="37"/>
      <c r="F197" s="19">
        <v>494409</v>
      </c>
      <c r="G197" s="21"/>
      <c r="H197" s="19">
        <v>94007</v>
      </c>
      <c r="I197" s="22">
        <v>47623</v>
      </c>
      <c r="J197" s="22">
        <v>29544</v>
      </c>
      <c r="K197" s="22">
        <v>18079</v>
      </c>
      <c r="L197" s="22">
        <v>45403</v>
      </c>
      <c r="M197" s="23">
        <v>399874</v>
      </c>
      <c r="N197" s="22">
        <v>240808</v>
      </c>
      <c r="O197" s="22">
        <v>141695</v>
      </c>
      <c r="P197" s="22">
        <v>6070</v>
      </c>
      <c r="Q197" s="22">
        <v>34124</v>
      </c>
      <c r="R197" s="22">
        <v>28176</v>
      </c>
      <c r="S197" s="22">
        <v>18378</v>
      </c>
      <c r="T197" s="22">
        <v>12366</v>
      </c>
      <c r="U197" s="22">
        <v>2465</v>
      </c>
      <c r="V197" s="22">
        <v>20761</v>
      </c>
      <c r="W197" s="22">
        <v>17833</v>
      </c>
      <c r="X197" s="22">
        <v>941</v>
      </c>
      <c r="Y197" s="22">
        <v>25014</v>
      </c>
      <c r="Z197" s="22">
        <v>25006</v>
      </c>
      <c r="AA197" s="22">
        <v>18986</v>
      </c>
      <c r="AB197" s="22">
        <v>6354</v>
      </c>
      <c r="AC197" s="22">
        <v>1171</v>
      </c>
      <c r="AD197" s="22">
        <v>35080</v>
      </c>
      <c r="AE197" s="22">
        <v>8980</v>
      </c>
      <c r="AF197" s="22">
        <v>1793</v>
      </c>
      <c r="AG197" s="22">
        <v>16376</v>
      </c>
      <c r="AH197" s="22">
        <v>5613</v>
      </c>
      <c r="AI197" s="22">
        <v>17524</v>
      </c>
      <c r="AJ197" s="22">
        <v>9457</v>
      </c>
      <c r="AK197" s="22">
        <v>3601</v>
      </c>
      <c r="AL197" s="22">
        <v>17710</v>
      </c>
      <c r="AM197" s="24">
        <v>497</v>
      </c>
    </row>
    <row r="198" spans="1:39" ht="15.75" thickBot="1">
      <c r="A198" s="36">
        <f t="shared" si="49"/>
        <v>2016</v>
      </c>
      <c r="B198" s="36">
        <f t="shared" si="50"/>
        <v>4</v>
      </c>
      <c r="C198" s="39">
        <v>42461</v>
      </c>
      <c r="D198" s="40" t="s">
        <v>35</v>
      </c>
      <c r="E198" s="37"/>
      <c r="F198" s="19">
        <v>447463</v>
      </c>
      <c r="G198" s="21"/>
      <c r="H198" s="19">
        <v>63995</v>
      </c>
      <c r="I198" s="22">
        <v>38516</v>
      </c>
      <c r="J198" s="22">
        <v>19101</v>
      </c>
      <c r="K198" s="22">
        <v>19416</v>
      </c>
      <c r="L198" s="22">
        <v>24640</v>
      </c>
      <c r="M198" s="23">
        <v>382390</v>
      </c>
      <c r="N198" s="22">
        <v>229680</v>
      </c>
      <c r="O198" s="22">
        <v>136747</v>
      </c>
      <c r="P198" s="22">
        <v>3321</v>
      </c>
      <c r="Q198" s="22">
        <v>57230</v>
      </c>
      <c r="R198" s="22">
        <v>11411</v>
      </c>
      <c r="S198" s="22">
        <v>6675</v>
      </c>
      <c r="T198" s="22">
        <v>14296</v>
      </c>
      <c r="U198" s="22">
        <v>1598</v>
      </c>
      <c r="V198" s="22">
        <v>19648</v>
      </c>
      <c r="W198" s="22">
        <v>17166</v>
      </c>
      <c r="X198" s="22">
        <v>1213</v>
      </c>
      <c r="Y198" s="22">
        <v>23130</v>
      </c>
      <c r="Z198" s="22">
        <v>23022</v>
      </c>
      <c r="AA198" s="22">
        <v>21169</v>
      </c>
      <c r="AB198" s="22">
        <v>5288</v>
      </c>
      <c r="AC198" s="22">
        <v>1751</v>
      </c>
      <c r="AD198" s="22">
        <v>31017</v>
      </c>
      <c r="AE198" s="22">
        <v>7925</v>
      </c>
      <c r="AF198" s="22">
        <v>3091</v>
      </c>
      <c r="AG198" s="22">
        <v>11816</v>
      </c>
      <c r="AH198" s="22">
        <v>5074</v>
      </c>
      <c r="AI198" s="22">
        <v>17110</v>
      </c>
      <c r="AJ198" s="22">
        <v>10123</v>
      </c>
      <c r="AK198" s="22">
        <v>3482</v>
      </c>
      <c r="AL198" s="22">
        <v>17181</v>
      </c>
      <c r="AM198" s="24">
        <v>1009</v>
      </c>
    </row>
    <row r="199" spans="1:39" ht="15.75" thickBot="1">
      <c r="A199" s="36">
        <f t="shared" si="49"/>
        <v>2016</v>
      </c>
      <c r="B199" s="36">
        <f t="shared" si="50"/>
        <v>5</v>
      </c>
      <c r="C199" s="39">
        <v>42491</v>
      </c>
      <c r="D199" s="40" t="s">
        <v>35</v>
      </c>
      <c r="E199" s="37"/>
      <c r="F199" s="19">
        <v>685540</v>
      </c>
      <c r="G199" s="21"/>
      <c r="H199" s="19">
        <v>272372</v>
      </c>
      <c r="I199" s="22">
        <v>222177</v>
      </c>
      <c r="J199" s="22">
        <v>194811</v>
      </c>
      <c r="K199" s="22">
        <v>27366</v>
      </c>
      <c r="L199" s="22">
        <v>49031</v>
      </c>
      <c r="M199" s="23">
        <v>412533</v>
      </c>
      <c r="N199" s="22">
        <v>245480</v>
      </c>
      <c r="O199" s="22">
        <v>108588</v>
      </c>
      <c r="P199" s="22">
        <v>4368</v>
      </c>
      <c r="Q199" s="22">
        <v>70354</v>
      </c>
      <c r="R199" s="22">
        <v>39589</v>
      </c>
      <c r="S199" s="22">
        <v>8693</v>
      </c>
      <c r="T199" s="22">
        <v>13887</v>
      </c>
      <c r="U199" s="22">
        <v>2756</v>
      </c>
      <c r="V199" s="22">
        <v>16153</v>
      </c>
      <c r="W199" s="22">
        <v>13313</v>
      </c>
      <c r="X199" s="22">
        <v>1069</v>
      </c>
      <c r="Y199" s="22">
        <v>26377</v>
      </c>
      <c r="Z199" s="22">
        <v>26335</v>
      </c>
      <c r="AA199" s="22">
        <v>14440</v>
      </c>
      <c r="AB199" s="22">
        <v>5246</v>
      </c>
      <c r="AC199" s="22">
        <v>1921</v>
      </c>
      <c r="AD199" s="22">
        <v>43324</v>
      </c>
      <c r="AE199" s="22">
        <v>8675</v>
      </c>
      <c r="AF199" s="22">
        <v>9251</v>
      </c>
      <c r="AG199" s="22">
        <v>15606</v>
      </c>
      <c r="AH199" s="22">
        <v>6108</v>
      </c>
      <c r="AI199" s="22">
        <v>16428</v>
      </c>
      <c r="AJ199" s="22">
        <v>10354</v>
      </c>
      <c r="AK199" s="22">
        <v>11385</v>
      </c>
      <c r="AL199" s="22">
        <v>17600</v>
      </c>
      <c r="AM199" s="24">
        <v>595</v>
      </c>
    </row>
    <row r="200" spans="1:39" ht="15.75" thickBot="1">
      <c r="A200" s="36">
        <f t="shared" si="49"/>
        <v>2016</v>
      </c>
      <c r="B200" s="36">
        <f t="shared" si="50"/>
        <v>6</v>
      </c>
      <c r="C200" s="39">
        <v>42522</v>
      </c>
      <c r="D200" s="40" t="s">
        <v>35</v>
      </c>
      <c r="E200" s="37"/>
      <c r="F200" s="19">
        <v>809800</v>
      </c>
      <c r="G200" s="21"/>
      <c r="H200" s="19">
        <v>360179</v>
      </c>
      <c r="I200" s="22">
        <v>307392</v>
      </c>
      <c r="J200" s="22">
        <v>284238</v>
      </c>
      <c r="K200" s="22">
        <v>23153</v>
      </c>
      <c r="L200" s="22">
        <v>51593</v>
      </c>
      <c r="M200" s="23">
        <v>410644</v>
      </c>
      <c r="N200" s="22">
        <v>256984</v>
      </c>
      <c r="O200" s="22">
        <v>144307</v>
      </c>
      <c r="P200" s="22">
        <v>7636</v>
      </c>
      <c r="Q200" s="22">
        <v>43631</v>
      </c>
      <c r="R200" s="22">
        <v>37294</v>
      </c>
      <c r="S200" s="22">
        <v>13373</v>
      </c>
      <c r="T200" s="22">
        <v>10743</v>
      </c>
      <c r="U200" s="22">
        <v>1707</v>
      </c>
      <c r="V200" s="22">
        <v>19154</v>
      </c>
      <c r="W200" s="22">
        <v>16909</v>
      </c>
      <c r="X200" s="22">
        <v>1528</v>
      </c>
      <c r="Y200" s="22">
        <v>21431</v>
      </c>
      <c r="Z200" s="22">
        <v>21422</v>
      </c>
      <c r="AA200" s="22">
        <v>16279</v>
      </c>
      <c r="AB200" s="22">
        <v>5411</v>
      </c>
      <c r="AC200" s="22">
        <v>4770</v>
      </c>
      <c r="AD200" s="22">
        <v>31340</v>
      </c>
      <c r="AE200" s="22">
        <v>7150</v>
      </c>
      <c r="AF200" s="22">
        <v>5547</v>
      </c>
      <c r="AG200" s="22">
        <v>11292</v>
      </c>
      <c r="AH200" s="22">
        <v>4595</v>
      </c>
      <c r="AI200" s="22">
        <v>14218</v>
      </c>
      <c r="AJ200" s="22">
        <v>10993</v>
      </c>
      <c r="AK200" s="22">
        <v>10580</v>
      </c>
      <c r="AL200" s="22">
        <v>16249</v>
      </c>
      <c r="AM200" s="24">
        <v>38840</v>
      </c>
    </row>
    <row r="201" spans="1:39" ht="15.75" thickBot="1">
      <c r="A201" s="36">
        <f t="shared" si="49"/>
        <v>2016</v>
      </c>
      <c r="B201" s="36">
        <f t="shared" si="50"/>
        <v>7</v>
      </c>
      <c r="C201" s="39">
        <v>42552</v>
      </c>
      <c r="D201" s="40" t="s">
        <v>35</v>
      </c>
      <c r="E201" s="37"/>
      <c r="F201" s="19">
        <v>691042</v>
      </c>
      <c r="G201" s="21"/>
      <c r="H201" s="19">
        <v>263829</v>
      </c>
      <c r="I201" s="22">
        <v>209692</v>
      </c>
      <c r="J201" s="22">
        <v>203046</v>
      </c>
      <c r="K201" s="22">
        <v>6646</v>
      </c>
      <c r="L201" s="22">
        <v>53347</v>
      </c>
      <c r="M201" s="23">
        <v>422538</v>
      </c>
      <c r="N201" s="22">
        <v>269703</v>
      </c>
      <c r="O201" s="22">
        <v>146433</v>
      </c>
      <c r="P201" s="22">
        <v>17834</v>
      </c>
      <c r="Q201" s="22">
        <v>49161</v>
      </c>
      <c r="R201" s="22">
        <v>27953</v>
      </c>
      <c r="S201" s="22">
        <v>17707</v>
      </c>
      <c r="T201" s="22">
        <v>10616</v>
      </c>
      <c r="U201" s="22">
        <v>1936</v>
      </c>
      <c r="V201" s="22">
        <v>10737</v>
      </c>
      <c r="W201" s="22">
        <v>9384</v>
      </c>
      <c r="X201" s="22">
        <v>1038</v>
      </c>
      <c r="Y201" s="22">
        <v>23708</v>
      </c>
      <c r="Z201" s="22">
        <v>23481</v>
      </c>
      <c r="AA201" s="22">
        <v>20224</v>
      </c>
      <c r="AB201" s="22">
        <v>5324</v>
      </c>
      <c r="AC201" s="22">
        <v>1973</v>
      </c>
      <c r="AD201" s="22">
        <v>35453</v>
      </c>
      <c r="AE201" s="22">
        <v>8544</v>
      </c>
      <c r="AF201" s="22">
        <v>3779</v>
      </c>
      <c r="AG201" s="22">
        <v>12430</v>
      </c>
      <c r="AH201" s="22">
        <v>6236</v>
      </c>
      <c r="AI201" s="22">
        <v>16636</v>
      </c>
      <c r="AJ201" s="22">
        <v>11880</v>
      </c>
      <c r="AK201" s="22">
        <v>6933</v>
      </c>
      <c r="AL201" s="22">
        <v>16991</v>
      </c>
      <c r="AM201" s="24">
        <v>4526</v>
      </c>
    </row>
    <row r="202" spans="1:39" ht="15.75" thickBot="1">
      <c r="A202" s="36">
        <f t="shared" si="49"/>
        <v>2016</v>
      </c>
      <c r="B202" s="36">
        <f t="shared" si="50"/>
        <v>8</v>
      </c>
      <c r="C202" s="39">
        <v>42583</v>
      </c>
      <c r="D202" s="40" t="s">
        <v>35</v>
      </c>
      <c r="E202" s="37"/>
      <c r="F202" s="19">
        <v>668498</v>
      </c>
      <c r="G202" s="21"/>
      <c r="H202" s="19">
        <v>220992</v>
      </c>
      <c r="I202" s="22">
        <v>179994</v>
      </c>
      <c r="J202" s="22">
        <v>161300</v>
      </c>
      <c r="K202" s="22">
        <v>18694</v>
      </c>
      <c r="L202" s="22">
        <v>39874</v>
      </c>
      <c r="M202" s="23">
        <v>447422</v>
      </c>
      <c r="N202" s="22">
        <v>286423</v>
      </c>
      <c r="O202" s="22">
        <v>148526</v>
      </c>
      <c r="P202" s="22">
        <v>8003</v>
      </c>
      <c r="Q202" s="22">
        <v>51472</v>
      </c>
      <c r="R202" s="22">
        <v>56240</v>
      </c>
      <c r="S202" s="22">
        <v>9449</v>
      </c>
      <c r="T202" s="22">
        <v>12734</v>
      </c>
      <c r="U202" s="22">
        <v>1920</v>
      </c>
      <c r="V202" s="22">
        <v>14606</v>
      </c>
      <c r="W202" s="22">
        <v>12019</v>
      </c>
      <c r="X202" s="22">
        <v>1785</v>
      </c>
      <c r="Y202" s="22">
        <v>24792</v>
      </c>
      <c r="Z202" s="22">
        <v>24768</v>
      </c>
      <c r="AA202" s="22">
        <v>18677</v>
      </c>
      <c r="AB202" s="22">
        <v>5159</v>
      </c>
      <c r="AC202" s="22">
        <v>3733</v>
      </c>
      <c r="AD202" s="22">
        <v>36851</v>
      </c>
      <c r="AE202" s="22">
        <v>9207</v>
      </c>
      <c r="AF202" s="22">
        <v>4765</v>
      </c>
      <c r="AG202" s="22">
        <v>13642</v>
      </c>
      <c r="AH202" s="22">
        <v>5836</v>
      </c>
      <c r="AI202" s="22">
        <v>16642</v>
      </c>
      <c r="AJ202" s="22">
        <v>13505</v>
      </c>
      <c r="AK202" s="22">
        <v>5669</v>
      </c>
      <c r="AL202" s="22">
        <v>17659</v>
      </c>
      <c r="AM202" s="24">
        <v>0</v>
      </c>
    </row>
    <row r="203" spans="1:39" ht="15.75" thickBot="1">
      <c r="A203" s="36">
        <f t="shared" si="49"/>
        <v>2016</v>
      </c>
      <c r="B203" s="36">
        <f t="shared" si="50"/>
        <v>9</v>
      </c>
      <c r="C203" s="39">
        <v>42614</v>
      </c>
      <c r="D203" s="40" t="s">
        <v>35</v>
      </c>
      <c r="E203" s="37"/>
      <c r="F203" s="19">
        <v>601193</v>
      </c>
      <c r="G203" s="21"/>
      <c r="H203" s="19">
        <v>182543</v>
      </c>
      <c r="I203" s="22">
        <v>129223</v>
      </c>
      <c r="J203" s="22">
        <v>113793</v>
      </c>
      <c r="K203" s="22">
        <v>15430</v>
      </c>
      <c r="L203" s="22">
        <v>52274</v>
      </c>
      <c r="M203" s="23">
        <v>418543</v>
      </c>
      <c r="N203" s="22">
        <v>279568</v>
      </c>
      <c r="O203" s="22">
        <v>150769</v>
      </c>
      <c r="P203" s="22">
        <v>8599</v>
      </c>
      <c r="Q203" s="22">
        <v>43801</v>
      </c>
      <c r="R203" s="22">
        <v>44672</v>
      </c>
      <c r="S203" s="22">
        <v>15959</v>
      </c>
      <c r="T203" s="22">
        <v>15769</v>
      </c>
      <c r="U203" s="22">
        <v>1885</v>
      </c>
      <c r="V203" s="22">
        <v>12133</v>
      </c>
      <c r="W203" s="22">
        <v>10343</v>
      </c>
      <c r="X203" s="22">
        <v>728</v>
      </c>
      <c r="Y203" s="22">
        <v>23428</v>
      </c>
      <c r="Z203" s="22">
        <v>23405</v>
      </c>
      <c r="AA203" s="22">
        <v>10342</v>
      </c>
      <c r="AB203" s="22">
        <v>4188</v>
      </c>
      <c r="AC203" s="22">
        <v>3157</v>
      </c>
      <c r="AD203" s="22">
        <v>34567</v>
      </c>
      <c r="AE203" s="22">
        <v>9070</v>
      </c>
      <c r="AF203" s="22">
        <v>4331</v>
      </c>
      <c r="AG203" s="22">
        <v>11180</v>
      </c>
      <c r="AH203" s="22">
        <v>6584</v>
      </c>
      <c r="AI203" s="22">
        <v>16363</v>
      </c>
      <c r="AJ203" s="22">
        <v>12810</v>
      </c>
      <c r="AK203" s="22">
        <v>4284</v>
      </c>
      <c r="AL203" s="22">
        <v>15088</v>
      </c>
      <c r="AM203" s="24">
        <v>0</v>
      </c>
    </row>
    <row r="204" spans="1:39" ht="15.75" thickBot="1">
      <c r="A204" s="36">
        <f t="shared" si="49"/>
        <v>2016</v>
      </c>
      <c r="B204" s="36">
        <f t="shared" si="50"/>
        <v>10</v>
      </c>
      <c r="C204" s="39">
        <v>42644</v>
      </c>
      <c r="D204" s="40" t="s">
        <v>35</v>
      </c>
      <c r="E204" s="37"/>
      <c r="F204" s="19">
        <v>577907</v>
      </c>
      <c r="G204" s="21"/>
      <c r="H204" s="19">
        <v>131167</v>
      </c>
      <c r="I204" s="22">
        <v>70141</v>
      </c>
      <c r="J204" s="22">
        <v>62847</v>
      </c>
      <c r="K204" s="22">
        <v>7294</v>
      </c>
      <c r="L204" s="22">
        <v>60056</v>
      </c>
      <c r="M204" s="23">
        <v>446654</v>
      </c>
      <c r="N204" s="22">
        <v>292175</v>
      </c>
      <c r="O204" s="22">
        <v>165889</v>
      </c>
      <c r="P204" s="22">
        <v>9633</v>
      </c>
      <c r="Q204" s="22">
        <v>56411</v>
      </c>
      <c r="R204" s="22">
        <v>31073</v>
      </c>
      <c r="S204" s="22">
        <v>15269</v>
      </c>
      <c r="T204" s="22">
        <v>13901</v>
      </c>
      <c r="U204" s="22">
        <v>1590</v>
      </c>
      <c r="V204" s="22">
        <v>13622</v>
      </c>
      <c r="W204" s="22">
        <v>11635</v>
      </c>
      <c r="X204" s="22">
        <v>1463</v>
      </c>
      <c r="Y204" s="22">
        <v>23947</v>
      </c>
      <c r="Z204" s="22">
        <v>23917</v>
      </c>
      <c r="AA204" s="22">
        <v>15254</v>
      </c>
      <c r="AB204" s="22">
        <v>5224</v>
      </c>
      <c r="AC204" s="22">
        <v>4173</v>
      </c>
      <c r="AD204" s="22">
        <v>35485</v>
      </c>
      <c r="AE204" s="22">
        <v>10087</v>
      </c>
      <c r="AF204" s="22">
        <v>3538</v>
      </c>
      <c r="AG204" s="22">
        <v>13185</v>
      </c>
      <c r="AH204" s="22">
        <v>5515</v>
      </c>
      <c r="AI204" s="22">
        <v>19319</v>
      </c>
      <c r="AJ204" s="22">
        <v>12172</v>
      </c>
      <c r="AK204" s="22">
        <v>4846</v>
      </c>
      <c r="AL204" s="22">
        <v>17385</v>
      </c>
      <c r="AM204" s="24">
        <v>0</v>
      </c>
    </row>
    <row r="205" spans="1:39" ht="15.75" thickBot="1">
      <c r="A205" s="36">
        <f t="shared" si="49"/>
        <v>2016</v>
      </c>
      <c r="B205" s="36">
        <f t="shared" si="50"/>
        <v>11</v>
      </c>
      <c r="C205" s="39">
        <v>42675</v>
      </c>
      <c r="D205" s="40" t="s">
        <v>35</v>
      </c>
      <c r="E205" s="37"/>
      <c r="F205" s="19">
        <v>554850</v>
      </c>
      <c r="G205" s="21"/>
      <c r="H205" s="19">
        <v>112590</v>
      </c>
      <c r="I205" s="22">
        <v>78040</v>
      </c>
      <c r="J205" s="22">
        <v>15741</v>
      </c>
      <c r="K205" s="22">
        <v>62299</v>
      </c>
      <c r="L205" s="22">
        <v>33554</v>
      </c>
      <c r="M205" s="23">
        <v>442224</v>
      </c>
      <c r="N205" s="22">
        <v>277795</v>
      </c>
      <c r="O205" s="22">
        <v>155493</v>
      </c>
      <c r="P205" s="22">
        <v>7620</v>
      </c>
      <c r="Q205" s="22">
        <v>50162</v>
      </c>
      <c r="R205" s="22">
        <v>32696</v>
      </c>
      <c r="S205" s="22">
        <v>19055</v>
      </c>
      <c r="T205" s="22">
        <v>12769</v>
      </c>
      <c r="U205" s="22">
        <v>1734</v>
      </c>
      <c r="V205" s="22">
        <v>17464</v>
      </c>
      <c r="W205" s="22">
        <v>15327</v>
      </c>
      <c r="X205" s="22">
        <v>818</v>
      </c>
      <c r="Y205" s="22">
        <v>20298</v>
      </c>
      <c r="Z205" s="22">
        <v>20288</v>
      </c>
      <c r="AA205" s="22">
        <v>20687</v>
      </c>
      <c r="AB205" s="22">
        <v>4954</v>
      </c>
      <c r="AC205" s="22">
        <v>2480</v>
      </c>
      <c r="AD205" s="22">
        <v>37369</v>
      </c>
      <c r="AE205" s="22">
        <v>10437</v>
      </c>
      <c r="AF205" s="22">
        <v>8333</v>
      </c>
      <c r="AG205" s="22">
        <v>10619</v>
      </c>
      <c r="AH205" s="22">
        <v>4948</v>
      </c>
      <c r="AI205" s="22">
        <v>19650</v>
      </c>
      <c r="AJ205" s="22">
        <v>12642</v>
      </c>
      <c r="AK205" s="22">
        <v>8004</v>
      </c>
      <c r="AL205" s="22">
        <v>18329</v>
      </c>
      <c r="AM205" s="24">
        <v>0</v>
      </c>
    </row>
    <row r="206" spans="1:39" ht="15.75" thickBot="1">
      <c r="A206" s="36">
        <f t="shared" si="49"/>
        <v>2016</v>
      </c>
      <c r="B206" s="36">
        <f t="shared" si="50"/>
        <v>12</v>
      </c>
      <c r="C206" s="39">
        <v>42705</v>
      </c>
      <c r="D206" s="40" t="s">
        <v>35</v>
      </c>
      <c r="E206" s="37"/>
      <c r="F206" s="19">
        <v>583271</v>
      </c>
      <c r="G206" s="21"/>
      <c r="H206" s="19">
        <v>112705</v>
      </c>
      <c r="I206" s="22">
        <v>52573</v>
      </c>
      <c r="J206" s="22">
        <v>6448</v>
      </c>
      <c r="K206" s="22">
        <v>46125</v>
      </c>
      <c r="L206" s="22">
        <v>59208</v>
      </c>
      <c r="M206" s="23">
        <v>470440</v>
      </c>
      <c r="N206" s="22">
        <v>303895</v>
      </c>
      <c r="O206" s="22">
        <v>183564</v>
      </c>
      <c r="P206" s="22">
        <v>6156</v>
      </c>
      <c r="Q206" s="22">
        <v>42216</v>
      </c>
      <c r="R206" s="22">
        <v>29629</v>
      </c>
      <c r="S206" s="22">
        <v>25207</v>
      </c>
      <c r="T206" s="22">
        <v>17123</v>
      </c>
      <c r="U206" s="22">
        <v>1443</v>
      </c>
      <c r="V206" s="22">
        <v>17378</v>
      </c>
      <c r="W206" s="22">
        <v>15944</v>
      </c>
      <c r="X206" s="22">
        <v>862</v>
      </c>
      <c r="Y206" s="22">
        <v>19347</v>
      </c>
      <c r="Z206" s="22">
        <v>19345</v>
      </c>
      <c r="AA206" s="22">
        <v>17419</v>
      </c>
      <c r="AB206" s="22">
        <v>4980</v>
      </c>
      <c r="AC206" s="22">
        <v>3683</v>
      </c>
      <c r="AD206" s="22">
        <v>40881</v>
      </c>
      <c r="AE206" s="22">
        <v>8542</v>
      </c>
      <c r="AF206" s="22">
        <v>10343</v>
      </c>
      <c r="AG206" s="22">
        <v>12287</v>
      </c>
      <c r="AH206" s="22">
        <v>5515</v>
      </c>
      <c r="AI206" s="22">
        <v>17941</v>
      </c>
      <c r="AJ206" s="22">
        <v>10539</v>
      </c>
      <c r="AK206" s="22">
        <v>9036</v>
      </c>
      <c r="AL206" s="22">
        <v>23034</v>
      </c>
      <c r="AM206" s="24">
        <v>0</v>
      </c>
    </row>
    <row r="207" spans="1:39" ht="15.75" thickBot="1">
      <c r="A207" s="36">
        <f t="shared" si="49"/>
        <v>2017</v>
      </c>
      <c r="B207" s="36">
        <f t="shared" si="50"/>
        <v>1</v>
      </c>
      <c r="C207" s="39">
        <v>42736</v>
      </c>
      <c r="D207" s="40" t="s">
        <v>35</v>
      </c>
      <c r="E207" s="37"/>
      <c r="F207" s="19">
        <v>491860</v>
      </c>
      <c r="G207" s="21"/>
      <c r="H207" s="19">
        <v>82017</v>
      </c>
      <c r="I207" s="22">
        <v>34098</v>
      </c>
      <c r="J207" s="22">
        <v>29521</v>
      </c>
      <c r="K207" s="22">
        <v>4577</v>
      </c>
      <c r="L207" s="22">
        <v>47596</v>
      </c>
      <c r="M207" s="23">
        <v>409382</v>
      </c>
      <c r="N207" s="22">
        <v>268496</v>
      </c>
      <c r="O207" s="22">
        <v>139415</v>
      </c>
      <c r="P207" s="22">
        <v>5031</v>
      </c>
      <c r="Q207" s="22">
        <v>53213</v>
      </c>
      <c r="R207" s="22">
        <v>46782</v>
      </c>
      <c r="S207" s="22">
        <v>10812</v>
      </c>
      <c r="T207" s="22">
        <v>13244</v>
      </c>
      <c r="U207" s="22">
        <v>2440</v>
      </c>
      <c r="V207" s="22">
        <v>12481</v>
      </c>
      <c r="W207" s="22">
        <v>10868</v>
      </c>
      <c r="X207" s="22">
        <v>801</v>
      </c>
      <c r="Y207" s="22">
        <v>17956</v>
      </c>
      <c r="Z207" s="22">
        <v>17927</v>
      </c>
      <c r="AA207" s="22">
        <v>20379</v>
      </c>
      <c r="AB207" s="22">
        <v>6301</v>
      </c>
      <c r="AC207" s="22">
        <v>2935</v>
      </c>
      <c r="AD207" s="22">
        <v>32712</v>
      </c>
      <c r="AE207" s="22">
        <v>10193</v>
      </c>
      <c r="AF207" s="22">
        <v>3239</v>
      </c>
      <c r="AG207" s="22">
        <v>10640</v>
      </c>
      <c r="AH207" s="22">
        <v>5750</v>
      </c>
      <c r="AI207" s="22">
        <v>18435</v>
      </c>
      <c r="AJ207" s="22">
        <v>8606</v>
      </c>
      <c r="AK207" s="22">
        <v>5486</v>
      </c>
      <c r="AL207" s="22">
        <v>12353</v>
      </c>
      <c r="AM207" s="24">
        <v>132</v>
      </c>
    </row>
    <row r="208" spans="1:39" ht="15.75" thickBot="1">
      <c r="A208" s="36">
        <f t="shared" si="49"/>
        <v>2017</v>
      </c>
      <c r="B208" s="36">
        <f t="shared" si="50"/>
        <v>2</v>
      </c>
      <c r="C208" s="39">
        <v>42767</v>
      </c>
      <c r="D208" s="40" t="s">
        <v>35</v>
      </c>
      <c r="E208" s="37"/>
      <c r="F208" s="19">
        <v>486907</v>
      </c>
      <c r="G208" s="21"/>
      <c r="H208" s="19">
        <v>87248</v>
      </c>
      <c r="I208" s="22">
        <v>34636</v>
      </c>
      <c r="J208" s="22">
        <v>29588</v>
      </c>
      <c r="K208" s="22">
        <v>5048</v>
      </c>
      <c r="L208" s="22">
        <v>51802</v>
      </c>
      <c r="M208" s="23">
        <v>397560</v>
      </c>
      <c r="N208" s="22">
        <v>257844</v>
      </c>
      <c r="O208" s="22">
        <v>143891</v>
      </c>
      <c r="P208" s="22">
        <v>7355</v>
      </c>
      <c r="Q208" s="22">
        <v>41202</v>
      </c>
      <c r="R208" s="22">
        <v>32601</v>
      </c>
      <c r="S208" s="22">
        <v>20303</v>
      </c>
      <c r="T208" s="22">
        <v>12491</v>
      </c>
      <c r="U208" s="22">
        <v>1488</v>
      </c>
      <c r="V208" s="22">
        <v>17612</v>
      </c>
      <c r="W208" s="22">
        <v>14708</v>
      </c>
      <c r="X208" s="22">
        <v>1570</v>
      </c>
      <c r="Y208" s="22">
        <v>21681</v>
      </c>
      <c r="Z208" s="22">
        <v>21681</v>
      </c>
      <c r="AA208" s="22">
        <v>16072</v>
      </c>
      <c r="AB208" s="22">
        <v>4497</v>
      </c>
      <c r="AC208" s="22">
        <v>2566</v>
      </c>
      <c r="AD208" s="22">
        <v>29745</v>
      </c>
      <c r="AE208" s="22">
        <v>8184</v>
      </c>
      <c r="AF208" s="22">
        <v>3294</v>
      </c>
      <c r="AG208" s="22">
        <v>9331</v>
      </c>
      <c r="AH208" s="22">
        <v>6793</v>
      </c>
      <c r="AI208" s="22">
        <v>17359</v>
      </c>
      <c r="AJ208" s="22">
        <v>11026</v>
      </c>
      <c r="AK208" s="22">
        <v>3410</v>
      </c>
      <c r="AL208" s="22">
        <v>12691</v>
      </c>
      <c r="AM208" s="24">
        <v>1830</v>
      </c>
    </row>
    <row r="209" spans="1:39" ht="15.75" thickBot="1">
      <c r="A209" s="36">
        <f t="shared" si="49"/>
        <v>2017</v>
      </c>
      <c r="B209" s="36">
        <f t="shared" si="50"/>
        <v>3</v>
      </c>
      <c r="C209" s="39">
        <v>42795</v>
      </c>
      <c r="D209" s="40" t="s">
        <v>35</v>
      </c>
      <c r="E209" s="37"/>
      <c r="F209" s="19">
        <v>519709</v>
      </c>
      <c r="G209" s="21"/>
      <c r="H209" s="19">
        <v>94354</v>
      </c>
      <c r="I209" s="22">
        <v>45512</v>
      </c>
      <c r="J209" s="22">
        <v>31766</v>
      </c>
      <c r="K209" s="22">
        <v>13746</v>
      </c>
      <c r="L209" s="22">
        <v>47932</v>
      </c>
      <c r="M209" s="23">
        <v>421896</v>
      </c>
      <c r="N209" s="22">
        <v>269722</v>
      </c>
      <c r="O209" s="22">
        <v>159094</v>
      </c>
      <c r="P209" s="22">
        <v>6403</v>
      </c>
      <c r="Q209" s="22">
        <v>48994</v>
      </c>
      <c r="R209" s="22">
        <v>23017</v>
      </c>
      <c r="S209" s="22">
        <v>18253</v>
      </c>
      <c r="T209" s="22">
        <v>13960</v>
      </c>
      <c r="U209" s="22">
        <v>2125</v>
      </c>
      <c r="V209" s="22">
        <v>19270</v>
      </c>
      <c r="W209" s="22">
        <v>16415</v>
      </c>
      <c r="X209" s="22">
        <v>827</v>
      </c>
      <c r="Y209" s="22">
        <v>18812</v>
      </c>
      <c r="Z209" s="22">
        <v>18796</v>
      </c>
      <c r="AA209" s="22">
        <v>15990</v>
      </c>
      <c r="AB209" s="22">
        <v>3089</v>
      </c>
      <c r="AC209" s="22">
        <v>923</v>
      </c>
      <c r="AD209" s="22">
        <v>30455</v>
      </c>
      <c r="AE209" s="22">
        <v>10205</v>
      </c>
      <c r="AF209" s="22">
        <v>2609</v>
      </c>
      <c r="AG209" s="22">
        <v>7782</v>
      </c>
      <c r="AH209" s="22">
        <v>6420</v>
      </c>
      <c r="AI209" s="22">
        <v>20864</v>
      </c>
      <c r="AJ209" s="22">
        <v>16420</v>
      </c>
      <c r="AK209" s="22">
        <v>5715</v>
      </c>
      <c r="AL209" s="22">
        <v>17682</v>
      </c>
      <c r="AM209" s="24">
        <v>3304</v>
      </c>
    </row>
    <row r="210" spans="1:39" ht="15.75" thickBot="1">
      <c r="A210" s="36">
        <f t="shared" si="49"/>
        <v>2017</v>
      </c>
      <c r="B210" s="36">
        <f t="shared" si="50"/>
        <v>4</v>
      </c>
      <c r="C210" s="39">
        <v>42826</v>
      </c>
      <c r="D210" s="40" t="s">
        <v>35</v>
      </c>
      <c r="E210" s="37"/>
      <c r="F210" s="19">
        <v>538762</v>
      </c>
      <c r="G210" s="21"/>
      <c r="H210" s="19">
        <v>120432</v>
      </c>
      <c r="I210" s="22">
        <v>92039</v>
      </c>
      <c r="J210" s="22">
        <v>69997</v>
      </c>
      <c r="K210" s="22">
        <v>22043</v>
      </c>
      <c r="L210" s="22">
        <v>27416</v>
      </c>
      <c r="M210" s="23">
        <v>416766</v>
      </c>
      <c r="N210" s="22">
        <v>252901</v>
      </c>
      <c r="O210" s="22">
        <v>164441</v>
      </c>
      <c r="P210" s="22">
        <v>6641</v>
      </c>
      <c r="Q210" s="22">
        <v>41182</v>
      </c>
      <c r="R210" s="22">
        <v>25774</v>
      </c>
      <c r="S210" s="22">
        <v>889</v>
      </c>
      <c r="T210" s="22">
        <v>13973</v>
      </c>
      <c r="U210" s="22">
        <v>2368</v>
      </c>
      <c r="V210" s="22">
        <v>19221</v>
      </c>
      <c r="W210" s="22">
        <v>15901</v>
      </c>
      <c r="X210" s="22">
        <v>1462</v>
      </c>
      <c r="Y210" s="22">
        <v>26913</v>
      </c>
      <c r="Z210" s="22">
        <v>26893</v>
      </c>
      <c r="AA210" s="22">
        <v>20106</v>
      </c>
      <c r="AB210" s="22">
        <v>3604</v>
      </c>
      <c r="AC210" s="22">
        <v>5718</v>
      </c>
      <c r="AD210" s="22">
        <v>31734</v>
      </c>
      <c r="AE210" s="22">
        <v>8161</v>
      </c>
      <c r="AF210" s="22">
        <v>2632</v>
      </c>
      <c r="AG210" s="22">
        <v>11379</v>
      </c>
      <c r="AH210" s="22">
        <v>6903</v>
      </c>
      <c r="AI210" s="22">
        <v>17328</v>
      </c>
      <c r="AJ210" s="22">
        <v>12349</v>
      </c>
      <c r="AK210" s="22">
        <v>5770</v>
      </c>
      <c r="AL210" s="22">
        <v>17293</v>
      </c>
      <c r="AM210" s="24">
        <v>1397</v>
      </c>
    </row>
    <row r="211" spans="1:39" ht="15.75" thickBot="1">
      <c r="A211" s="36">
        <f t="shared" si="49"/>
        <v>2017</v>
      </c>
      <c r="B211" s="36">
        <f t="shared" si="50"/>
        <v>5</v>
      </c>
      <c r="C211" s="39">
        <v>42857</v>
      </c>
      <c r="D211" s="40" t="s">
        <v>35</v>
      </c>
      <c r="E211" s="37"/>
      <c r="F211" s="19">
        <v>825223</v>
      </c>
      <c r="G211" s="21"/>
      <c r="H211" s="19">
        <v>388607</v>
      </c>
      <c r="I211" s="22">
        <v>304642</v>
      </c>
      <c r="J211" s="22">
        <v>272981</v>
      </c>
      <c r="K211" s="22">
        <v>31662</v>
      </c>
      <c r="L211" s="22">
        <v>83061</v>
      </c>
      <c r="M211" s="23">
        <v>425208</v>
      </c>
      <c r="N211" s="22">
        <v>263586</v>
      </c>
      <c r="O211" s="22">
        <v>137476</v>
      </c>
      <c r="P211" s="22">
        <v>5545</v>
      </c>
      <c r="Q211" s="22">
        <v>45407</v>
      </c>
      <c r="R211" s="22">
        <v>41014</v>
      </c>
      <c r="S211" s="22">
        <v>20185</v>
      </c>
      <c r="T211" s="22">
        <v>13959</v>
      </c>
      <c r="U211" s="22">
        <v>2588</v>
      </c>
      <c r="V211" s="22">
        <v>18650</v>
      </c>
      <c r="W211" s="22">
        <v>14234</v>
      </c>
      <c r="X211" s="22">
        <v>1648</v>
      </c>
      <c r="Y211" s="22">
        <v>20436</v>
      </c>
      <c r="Z211" s="22">
        <v>20417</v>
      </c>
      <c r="AA211" s="22">
        <v>14205</v>
      </c>
      <c r="AB211" s="22">
        <v>4671</v>
      </c>
      <c r="AC211" s="22">
        <v>3</v>
      </c>
      <c r="AD211" s="22">
        <v>37301</v>
      </c>
      <c r="AE211" s="22">
        <v>10930</v>
      </c>
      <c r="AF211" s="22">
        <v>4733</v>
      </c>
      <c r="AG211" s="22">
        <v>11197</v>
      </c>
      <c r="AH211" s="22">
        <v>7436</v>
      </c>
      <c r="AI211" s="22">
        <v>20057</v>
      </c>
      <c r="AJ211" s="22">
        <v>16725</v>
      </c>
      <c r="AK211" s="22">
        <v>5748</v>
      </c>
      <c r="AL211" s="22">
        <v>19590</v>
      </c>
      <c r="AM211" s="24">
        <v>10755</v>
      </c>
    </row>
    <row r="212" spans="1:39" ht="15.75" thickBot="1">
      <c r="A212" s="36">
        <f t="shared" si="49"/>
        <v>2017</v>
      </c>
      <c r="B212" s="36">
        <f t="shared" si="50"/>
        <v>6</v>
      </c>
      <c r="C212" s="39">
        <v>42889</v>
      </c>
      <c r="D212" s="40" t="s">
        <v>35</v>
      </c>
      <c r="E212" s="37"/>
      <c r="F212" s="19">
        <v>814153</v>
      </c>
      <c r="G212" s="21"/>
      <c r="H212" s="19">
        <v>378159</v>
      </c>
      <c r="I212" s="22">
        <v>328599</v>
      </c>
      <c r="J212" s="22">
        <v>308537</v>
      </c>
      <c r="K212" s="22">
        <v>20062</v>
      </c>
      <c r="L212" s="22">
        <v>48477</v>
      </c>
      <c r="M212" s="23">
        <v>435602</v>
      </c>
      <c r="N212" s="22">
        <v>277680</v>
      </c>
      <c r="O212" s="22">
        <v>168451</v>
      </c>
      <c r="P212" s="22">
        <v>6593</v>
      </c>
      <c r="Q212" s="22">
        <v>41326</v>
      </c>
      <c r="R212" s="22">
        <v>45650</v>
      </c>
      <c r="S212" s="22">
        <v>391</v>
      </c>
      <c r="T212" s="22">
        <v>15269</v>
      </c>
      <c r="U212" s="22">
        <v>2345</v>
      </c>
      <c r="V212" s="22">
        <v>15433</v>
      </c>
      <c r="W212" s="22">
        <v>12624</v>
      </c>
      <c r="X212" s="22">
        <v>1645</v>
      </c>
      <c r="Y212" s="22">
        <v>20503</v>
      </c>
      <c r="Z212" s="22">
        <v>20500</v>
      </c>
      <c r="AA212" s="22">
        <v>23341</v>
      </c>
      <c r="AB212" s="22">
        <v>3529</v>
      </c>
      <c r="AC212" s="22">
        <v>1</v>
      </c>
      <c r="AD212" s="22">
        <v>33412</v>
      </c>
      <c r="AE212" s="22">
        <v>9839</v>
      </c>
      <c r="AF212" s="22">
        <v>3960</v>
      </c>
      <c r="AG212" s="22">
        <v>11325</v>
      </c>
      <c r="AH212" s="22">
        <v>5811</v>
      </c>
      <c r="AI212" s="22">
        <v>17356</v>
      </c>
      <c r="AJ212" s="22">
        <v>12653</v>
      </c>
      <c r="AK212" s="22">
        <v>9435</v>
      </c>
      <c r="AL212" s="22">
        <v>18268</v>
      </c>
      <c r="AM212" s="24">
        <v>0</v>
      </c>
    </row>
    <row r="213" spans="1:39" ht="15.75" thickBot="1">
      <c r="A213" s="36">
        <f t="shared" si="49"/>
        <v>2017</v>
      </c>
      <c r="B213" s="36">
        <f t="shared" si="50"/>
        <v>7</v>
      </c>
      <c r="C213" s="39">
        <v>42920</v>
      </c>
      <c r="D213" s="40" t="s">
        <v>35</v>
      </c>
      <c r="E213" s="37"/>
      <c r="F213" s="19">
        <v>755911</v>
      </c>
      <c r="G213" s="21"/>
      <c r="H213" s="19">
        <v>277256</v>
      </c>
      <c r="I213" s="22">
        <v>220648</v>
      </c>
      <c r="J213" s="22">
        <v>198243</v>
      </c>
      <c r="K213" s="22">
        <v>22405</v>
      </c>
      <c r="L213" s="22">
        <v>55531</v>
      </c>
      <c r="M213" s="23">
        <v>476242</v>
      </c>
      <c r="N213" s="22">
        <v>313933</v>
      </c>
      <c r="O213" s="22">
        <v>164148</v>
      </c>
      <c r="P213" s="22">
        <v>9709</v>
      </c>
      <c r="Q213" s="22">
        <v>44485</v>
      </c>
      <c r="R213" s="22">
        <v>48312</v>
      </c>
      <c r="S213" s="22">
        <v>32174</v>
      </c>
      <c r="T213" s="22">
        <v>15104</v>
      </c>
      <c r="U213" s="22">
        <v>1957</v>
      </c>
      <c r="V213" s="22">
        <v>18061</v>
      </c>
      <c r="W213" s="22">
        <v>14969</v>
      </c>
      <c r="X213" s="22">
        <v>1192</v>
      </c>
      <c r="Y213" s="22">
        <v>20588</v>
      </c>
      <c r="Z213" s="22">
        <v>20560</v>
      </c>
      <c r="AA213" s="22">
        <v>20416</v>
      </c>
      <c r="AB213" s="22">
        <v>3895</v>
      </c>
      <c r="AC213" s="22">
        <v>0</v>
      </c>
      <c r="AD213" s="22">
        <v>34703</v>
      </c>
      <c r="AE213" s="22">
        <v>10092</v>
      </c>
      <c r="AF213" s="22">
        <v>6652</v>
      </c>
      <c r="AG213" s="22">
        <v>8975</v>
      </c>
      <c r="AH213" s="22">
        <v>6582</v>
      </c>
      <c r="AI213" s="22">
        <v>17139</v>
      </c>
      <c r="AJ213" s="22">
        <v>14793</v>
      </c>
      <c r="AK213" s="22">
        <v>7939</v>
      </c>
      <c r="AL213" s="22">
        <v>21627</v>
      </c>
      <c r="AM213" s="24">
        <v>2144</v>
      </c>
    </row>
    <row r="214" spans="1:39" ht="15.75" thickBot="1">
      <c r="A214" s="36">
        <f t="shared" si="49"/>
        <v>2017</v>
      </c>
      <c r="B214" s="36">
        <f t="shared" si="50"/>
        <v>8</v>
      </c>
      <c r="C214" s="39">
        <v>42951</v>
      </c>
      <c r="D214" s="40" t="s">
        <v>35</v>
      </c>
      <c r="E214" s="37"/>
      <c r="F214" s="19">
        <v>690107</v>
      </c>
      <c r="G214" s="21"/>
      <c r="H214" s="19">
        <v>245519</v>
      </c>
      <c r="I214" s="22">
        <v>171236</v>
      </c>
      <c r="J214" s="22">
        <v>149932</v>
      </c>
      <c r="K214" s="22">
        <v>21304</v>
      </c>
      <c r="L214" s="22">
        <v>73288</v>
      </c>
      <c r="M214" s="23">
        <v>423458</v>
      </c>
      <c r="N214" s="22">
        <v>249702</v>
      </c>
      <c r="O214" s="22">
        <v>129387</v>
      </c>
      <c r="P214" s="22">
        <v>10814</v>
      </c>
      <c r="Q214" s="22">
        <v>35185</v>
      </c>
      <c r="R214" s="22">
        <v>45930</v>
      </c>
      <c r="S214" s="22">
        <v>10477</v>
      </c>
      <c r="T214" s="22">
        <v>17910</v>
      </c>
      <c r="U214" s="22">
        <v>2339</v>
      </c>
      <c r="V214" s="22">
        <v>17114</v>
      </c>
      <c r="W214" s="22">
        <v>14675</v>
      </c>
      <c r="X214" s="22">
        <v>1517</v>
      </c>
      <c r="Y214" s="22">
        <v>20635</v>
      </c>
      <c r="Z214" s="22">
        <v>20573</v>
      </c>
      <c r="AA214" s="22">
        <v>20063</v>
      </c>
      <c r="AB214" s="22">
        <v>4072</v>
      </c>
      <c r="AC214" s="22">
        <v>11</v>
      </c>
      <c r="AD214" s="22">
        <v>36879</v>
      </c>
      <c r="AE214" s="22">
        <v>10667</v>
      </c>
      <c r="AF214" s="22">
        <v>6453</v>
      </c>
      <c r="AG214" s="22">
        <v>11693</v>
      </c>
      <c r="AH214" s="22">
        <v>5956</v>
      </c>
      <c r="AI214" s="22">
        <v>19089</v>
      </c>
      <c r="AJ214" s="22">
        <v>20410</v>
      </c>
      <c r="AK214" s="22">
        <v>12630</v>
      </c>
      <c r="AL214" s="22">
        <v>18996</v>
      </c>
      <c r="AM214" s="24">
        <v>21002</v>
      </c>
    </row>
    <row r="215" spans="1:39" ht="15.75" thickBot="1">
      <c r="A215" s="36">
        <f t="shared" si="49"/>
        <v>2017</v>
      </c>
      <c r="B215" s="36">
        <f t="shared" si="50"/>
        <v>9</v>
      </c>
      <c r="C215" s="39">
        <v>42983</v>
      </c>
      <c r="D215" s="40" t="s">
        <v>35</v>
      </c>
      <c r="E215" s="37"/>
      <c r="F215" s="19">
        <v>768689</v>
      </c>
      <c r="G215" s="21"/>
      <c r="H215" s="19">
        <v>260090</v>
      </c>
      <c r="I215" s="22">
        <v>187237</v>
      </c>
      <c r="J215" s="22">
        <v>156201</v>
      </c>
      <c r="K215" s="22">
        <v>31036</v>
      </c>
      <c r="L215" s="22">
        <v>71774</v>
      </c>
      <c r="M215" s="23">
        <v>481536</v>
      </c>
      <c r="N215" s="22">
        <v>307396</v>
      </c>
      <c r="O215" s="22">
        <v>180789</v>
      </c>
      <c r="P215" s="22">
        <v>16470</v>
      </c>
      <c r="Q215" s="22">
        <v>44888</v>
      </c>
      <c r="R215" s="22">
        <v>29591</v>
      </c>
      <c r="S215" s="22">
        <v>19697</v>
      </c>
      <c r="T215" s="22">
        <v>15962</v>
      </c>
      <c r="U215" s="22">
        <v>3314</v>
      </c>
      <c r="V215" s="22">
        <v>19774</v>
      </c>
      <c r="W215" s="22">
        <v>16946</v>
      </c>
      <c r="X215" s="22">
        <v>1718</v>
      </c>
      <c r="Y215" s="22">
        <v>17560</v>
      </c>
      <c r="Z215" s="22">
        <v>17533</v>
      </c>
      <c r="AA215" s="22">
        <v>18083</v>
      </c>
      <c r="AB215" s="22">
        <v>3545</v>
      </c>
      <c r="AC215" s="22">
        <v>0</v>
      </c>
      <c r="AD215" s="22">
        <v>40520</v>
      </c>
      <c r="AE215" s="22">
        <v>11487</v>
      </c>
      <c r="AF215" s="22">
        <v>6357</v>
      </c>
      <c r="AG215" s="22">
        <v>13597</v>
      </c>
      <c r="AH215" s="22">
        <v>6516</v>
      </c>
      <c r="AI215" s="22">
        <v>19316</v>
      </c>
      <c r="AJ215" s="22">
        <v>12373</v>
      </c>
      <c r="AK215" s="22">
        <v>16415</v>
      </c>
      <c r="AL215" s="22">
        <v>21521</v>
      </c>
      <c r="AM215" s="24">
        <v>26452</v>
      </c>
    </row>
    <row r="216" spans="1:39" ht="15.75" thickBot="1">
      <c r="A216" s="36">
        <f t="shared" si="49"/>
        <v>2017</v>
      </c>
      <c r="B216" s="36">
        <f t="shared" si="50"/>
        <v>10</v>
      </c>
      <c r="C216" s="39">
        <v>43014</v>
      </c>
      <c r="D216" s="40" t="s">
        <v>35</v>
      </c>
      <c r="E216" s="37"/>
      <c r="F216" s="19">
        <v>709144</v>
      </c>
      <c r="G216" s="21"/>
      <c r="H216" s="19">
        <v>190399</v>
      </c>
      <c r="I216" s="22">
        <v>144993</v>
      </c>
      <c r="J216" s="22">
        <v>102805</v>
      </c>
      <c r="K216" s="22">
        <v>42188</v>
      </c>
      <c r="L216" s="22">
        <v>44352</v>
      </c>
      <c r="M216" s="23">
        <v>479367</v>
      </c>
      <c r="N216" s="22">
        <v>299677</v>
      </c>
      <c r="O216" s="22">
        <v>133946</v>
      </c>
      <c r="P216" s="22">
        <v>8022</v>
      </c>
      <c r="Q216" s="22">
        <v>67100</v>
      </c>
      <c r="R216" s="22">
        <v>48806</v>
      </c>
      <c r="S216" s="22">
        <v>25753</v>
      </c>
      <c r="T216" s="22">
        <v>16050</v>
      </c>
      <c r="U216" s="22">
        <v>3116</v>
      </c>
      <c r="V216" s="22">
        <v>14845</v>
      </c>
      <c r="W216" s="22">
        <v>13137</v>
      </c>
      <c r="X216" s="22">
        <v>953</v>
      </c>
      <c r="Y216" s="22">
        <v>17900</v>
      </c>
      <c r="Z216" s="22">
        <v>17882</v>
      </c>
      <c r="AA216" s="22">
        <v>21645</v>
      </c>
      <c r="AB216" s="22">
        <v>3970</v>
      </c>
      <c r="AC216" s="22">
        <v>0</v>
      </c>
      <c r="AD216" s="22">
        <v>41626</v>
      </c>
      <c r="AE216" s="22">
        <v>12670</v>
      </c>
      <c r="AF216" s="22">
        <v>5095</v>
      </c>
      <c r="AG216" s="22">
        <v>14304</v>
      </c>
      <c r="AH216" s="22">
        <v>6739</v>
      </c>
      <c r="AI216" s="22">
        <v>21330</v>
      </c>
      <c r="AJ216" s="22">
        <v>17188</v>
      </c>
      <c r="AK216" s="22">
        <v>16518</v>
      </c>
      <c r="AL216" s="22">
        <v>20598</v>
      </c>
      <c r="AM216" s="24">
        <v>39346</v>
      </c>
    </row>
    <row r="217" spans="1:39" ht="15.75" thickBot="1">
      <c r="A217" s="36">
        <f t="shared" si="49"/>
        <v>2017</v>
      </c>
      <c r="B217" s="36">
        <f t="shared" si="50"/>
        <v>11</v>
      </c>
      <c r="C217" s="39">
        <v>43045</v>
      </c>
      <c r="D217" s="40" t="s">
        <v>35</v>
      </c>
      <c r="E217" s="37"/>
      <c r="F217" s="19">
        <v>660553</v>
      </c>
      <c r="G217" s="21"/>
      <c r="H217" s="19">
        <v>143039</v>
      </c>
      <c r="I217" s="22">
        <v>64438</v>
      </c>
      <c r="J217" s="22">
        <v>38760</v>
      </c>
      <c r="K217" s="22">
        <v>25678</v>
      </c>
      <c r="L217" s="22">
        <v>77510</v>
      </c>
      <c r="M217" s="23">
        <v>485019</v>
      </c>
      <c r="N217" s="22">
        <v>305029</v>
      </c>
      <c r="O217" s="22">
        <v>157595</v>
      </c>
      <c r="P217" s="22">
        <v>9458</v>
      </c>
      <c r="Q217" s="22">
        <v>77853</v>
      </c>
      <c r="R217" s="22">
        <v>26396</v>
      </c>
      <c r="S217" s="22">
        <v>16883</v>
      </c>
      <c r="T217" s="22">
        <v>16844</v>
      </c>
      <c r="U217" s="22">
        <v>2542</v>
      </c>
      <c r="V217" s="22">
        <v>16841</v>
      </c>
      <c r="W217" s="22">
        <v>14855</v>
      </c>
      <c r="X217" s="22">
        <v>1233</v>
      </c>
      <c r="Y217" s="22">
        <v>16930</v>
      </c>
      <c r="Z217" s="22">
        <v>16918</v>
      </c>
      <c r="AA217" s="22">
        <v>22598</v>
      </c>
      <c r="AB217" s="22">
        <v>2859</v>
      </c>
      <c r="AC217" s="22">
        <v>2013</v>
      </c>
      <c r="AD217" s="22">
        <v>38122</v>
      </c>
      <c r="AE217" s="22">
        <v>10817</v>
      </c>
      <c r="AF217" s="22">
        <v>6946</v>
      </c>
      <c r="AG217" s="22">
        <v>11549</v>
      </c>
      <c r="AH217" s="22">
        <v>5928</v>
      </c>
      <c r="AI217" s="22">
        <v>20007</v>
      </c>
      <c r="AJ217" s="22">
        <v>14691</v>
      </c>
      <c r="AK217" s="22">
        <v>16261</v>
      </c>
      <c r="AL217" s="22">
        <v>25893</v>
      </c>
      <c r="AM217" s="24">
        <v>32422</v>
      </c>
    </row>
    <row r="218" spans="1:39" ht="15.75" thickBot="1">
      <c r="A218" s="36">
        <f t="shared" si="49"/>
        <v>2017</v>
      </c>
      <c r="B218" s="36">
        <f t="shared" si="50"/>
        <v>12</v>
      </c>
      <c r="C218" s="39">
        <v>43075</v>
      </c>
      <c r="D218" s="40" t="s">
        <v>35</v>
      </c>
      <c r="E218" s="37"/>
      <c r="F218" s="19">
        <v>627421</v>
      </c>
      <c r="G218" s="21"/>
      <c r="H218" s="19">
        <v>141086</v>
      </c>
      <c r="I218" s="22">
        <v>72619</v>
      </c>
      <c r="J218" s="22">
        <v>21319</v>
      </c>
      <c r="K218" s="22">
        <v>51301</v>
      </c>
      <c r="L218" s="22">
        <v>66884</v>
      </c>
      <c r="M218" s="23">
        <v>484176</v>
      </c>
      <c r="N218" s="22">
        <v>304266</v>
      </c>
      <c r="O218" s="22">
        <v>181609</v>
      </c>
      <c r="P218" s="22">
        <v>10335</v>
      </c>
      <c r="Q218" s="22">
        <v>50059</v>
      </c>
      <c r="R218" s="22">
        <v>33339</v>
      </c>
      <c r="S218" s="22">
        <v>13180</v>
      </c>
      <c r="T218" s="22">
        <v>15745</v>
      </c>
      <c r="U218" s="22">
        <v>1980</v>
      </c>
      <c r="V218" s="22">
        <v>23866</v>
      </c>
      <c r="W218" s="22">
        <v>21216</v>
      </c>
      <c r="X218" s="22">
        <v>1057</v>
      </c>
      <c r="Y218" s="22">
        <v>18346</v>
      </c>
      <c r="Z218" s="22">
        <v>18244</v>
      </c>
      <c r="AA218" s="22">
        <v>19657</v>
      </c>
      <c r="AB218" s="22">
        <v>3185</v>
      </c>
      <c r="AC218" s="22">
        <v>1683</v>
      </c>
      <c r="AD218" s="22">
        <v>36041</v>
      </c>
      <c r="AE218" s="22">
        <v>9413</v>
      </c>
      <c r="AF218" s="22">
        <v>8431</v>
      </c>
      <c r="AG218" s="22">
        <v>11152</v>
      </c>
      <c r="AH218" s="22">
        <v>4744</v>
      </c>
      <c r="AI218" s="22">
        <v>20091</v>
      </c>
      <c r="AJ218" s="22">
        <v>14631</v>
      </c>
      <c r="AK218" s="22">
        <v>18109</v>
      </c>
      <c r="AL218" s="22">
        <v>21262</v>
      </c>
      <c r="AM218" s="24">
        <v>2019</v>
      </c>
    </row>
    <row r="219" spans="1:39" ht="15.75" thickBot="1">
      <c r="A219" s="36">
        <f t="shared" si="49"/>
        <v>2018</v>
      </c>
      <c r="B219" s="36">
        <f t="shared" si="50"/>
        <v>1</v>
      </c>
      <c r="C219" s="39">
        <v>43106</v>
      </c>
      <c r="D219" s="40" t="s">
        <v>35</v>
      </c>
      <c r="E219" s="37"/>
      <c r="F219" s="19">
        <v>554352</v>
      </c>
      <c r="G219" s="21"/>
      <c r="H219" s="19">
        <v>96771</v>
      </c>
      <c r="I219" s="22">
        <v>27485</v>
      </c>
      <c r="J219" s="22">
        <v>4796</v>
      </c>
      <c r="K219" s="22">
        <v>22689</v>
      </c>
      <c r="L219" s="22">
        <v>68702</v>
      </c>
      <c r="M219" s="23">
        <v>457200</v>
      </c>
      <c r="N219" s="22">
        <v>304680</v>
      </c>
      <c r="O219" s="22">
        <v>179233</v>
      </c>
      <c r="P219" s="22">
        <v>6406</v>
      </c>
      <c r="Q219" s="22">
        <v>39860</v>
      </c>
      <c r="R219" s="22">
        <v>43026</v>
      </c>
      <c r="S219" s="22">
        <v>21423</v>
      </c>
      <c r="T219" s="22">
        <v>14731</v>
      </c>
      <c r="U219" s="22">
        <v>329</v>
      </c>
      <c r="V219" s="22">
        <v>13650</v>
      </c>
      <c r="W219" s="22">
        <v>11942</v>
      </c>
      <c r="X219" s="22">
        <v>1193</v>
      </c>
      <c r="Y219" s="22">
        <v>16563</v>
      </c>
      <c r="Z219" s="22">
        <v>16562</v>
      </c>
      <c r="AA219" s="22">
        <v>31153</v>
      </c>
      <c r="AB219" s="22">
        <v>3588</v>
      </c>
      <c r="AC219" s="22">
        <v>7</v>
      </c>
      <c r="AD219" s="22">
        <v>32610</v>
      </c>
      <c r="AE219" s="22">
        <v>10428</v>
      </c>
      <c r="AF219" s="22">
        <v>5076</v>
      </c>
      <c r="AG219" s="22">
        <v>7141</v>
      </c>
      <c r="AH219" s="22">
        <v>6505</v>
      </c>
      <c r="AI219" s="22">
        <v>20456</v>
      </c>
      <c r="AJ219" s="22">
        <v>9536</v>
      </c>
      <c r="AK219" s="22">
        <v>8454</v>
      </c>
      <c r="AL219" s="22">
        <v>14980</v>
      </c>
      <c r="AM219" s="24">
        <v>189</v>
      </c>
    </row>
    <row r="220" spans="1:39" ht="15.75" thickBot="1">
      <c r="A220" s="36">
        <f t="shared" si="49"/>
        <v>2018</v>
      </c>
      <c r="B220" s="36">
        <f t="shared" si="50"/>
        <v>2</v>
      </c>
      <c r="C220" s="39">
        <v>43137</v>
      </c>
      <c r="D220" s="40" t="s">
        <v>35</v>
      </c>
      <c r="E220" s="37"/>
      <c r="F220" s="19">
        <v>540452</v>
      </c>
      <c r="G220" s="21"/>
      <c r="H220" s="19">
        <v>105599</v>
      </c>
      <c r="I220" s="22">
        <v>24805</v>
      </c>
      <c r="J220" s="22">
        <v>9944</v>
      </c>
      <c r="K220" s="22">
        <v>14862</v>
      </c>
      <c r="L220" s="22">
        <v>79638</v>
      </c>
      <c r="M220" s="23">
        <v>434567</v>
      </c>
      <c r="N220" s="22">
        <v>275226</v>
      </c>
      <c r="O220" s="22">
        <v>169034</v>
      </c>
      <c r="P220" s="22">
        <v>8045</v>
      </c>
      <c r="Q220" s="22">
        <v>35776</v>
      </c>
      <c r="R220" s="22">
        <v>38502</v>
      </c>
      <c r="S220" s="22">
        <v>10276</v>
      </c>
      <c r="T220" s="22">
        <v>13592</v>
      </c>
      <c r="U220" s="22">
        <v>2194</v>
      </c>
      <c r="V220" s="22">
        <v>17161</v>
      </c>
      <c r="W220" s="22">
        <v>14560</v>
      </c>
      <c r="X220" s="22">
        <v>1402</v>
      </c>
      <c r="Y220" s="22">
        <v>21090</v>
      </c>
      <c r="Z220" s="22">
        <v>21089</v>
      </c>
      <c r="AA220" s="22">
        <v>18479</v>
      </c>
      <c r="AB220" s="22">
        <v>2743</v>
      </c>
      <c r="AC220" s="22">
        <v>1847</v>
      </c>
      <c r="AD220" s="22">
        <v>33193</v>
      </c>
      <c r="AE220" s="22">
        <v>10935</v>
      </c>
      <c r="AF220" s="22">
        <v>2530</v>
      </c>
      <c r="AG220" s="22">
        <v>11512</v>
      </c>
      <c r="AH220" s="22">
        <v>6534</v>
      </c>
      <c r="AI220" s="22">
        <v>17732</v>
      </c>
      <c r="AJ220" s="22">
        <v>14257</v>
      </c>
      <c r="AK220" s="22">
        <v>10045</v>
      </c>
      <c r="AL220" s="22">
        <v>19198</v>
      </c>
      <c r="AM220" s="24">
        <v>208</v>
      </c>
    </row>
    <row r="221" spans="1:39" ht="15.75" thickBot="1">
      <c r="A221" s="36">
        <f t="shared" si="49"/>
        <v>2018</v>
      </c>
      <c r="B221" s="36">
        <f t="shared" si="50"/>
        <v>3</v>
      </c>
      <c r="C221" s="39">
        <v>43165</v>
      </c>
      <c r="D221" s="40" t="s">
        <v>35</v>
      </c>
      <c r="E221" s="37"/>
      <c r="F221" s="19">
        <v>631223</v>
      </c>
      <c r="G221" s="21"/>
      <c r="H221" s="19">
        <v>124542</v>
      </c>
      <c r="I221" s="22">
        <v>36367</v>
      </c>
      <c r="J221" s="22">
        <v>13306</v>
      </c>
      <c r="K221" s="22">
        <v>23061</v>
      </c>
      <c r="L221" s="22">
        <v>86803</v>
      </c>
      <c r="M221" s="23">
        <v>506431</v>
      </c>
      <c r="N221" s="22">
        <v>309734</v>
      </c>
      <c r="O221" s="22">
        <v>198983</v>
      </c>
      <c r="P221" s="22">
        <v>10443</v>
      </c>
      <c r="Q221" s="22">
        <v>51163</v>
      </c>
      <c r="R221" s="22">
        <v>15139</v>
      </c>
      <c r="S221" s="22">
        <v>19756</v>
      </c>
      <c r="T221" s="22">
        <v>14251</v>
      </c>
      <c r="U221" s="22">
        <v>1809</v>
      </c>
      <c r="V221" s="22">
        <v>22597</v>
      </c>
      <c r="W221" s="22">
        <v>19022</v>
      </c>
      <c r="X221" s="22">
        <v>940</v>
      </c>
      <c r="Y221" s="22">
        <v>18034</v>
      </c>
      <c r="Z221" s="22">
        <v>17688</v>
      </c>
      <c r="AA221" s="22">
        <v>31089</v>
      </c>
      <c r="AB221" s="22">
        <v>3326</v>
      </c>
      <c r="AC221" s="22">
        <v>1791</v>
      </c>
      <c r="AD221" s="22">
        <v>38076</v>
      </c>
      <c r="AE221" s="22">
        <v>9897</v>
      </c>
      <c r="AF221" s="22">
        <v>3372</v>
      </c>
      <c r="AG221" s="22">
        <v>14887</v>
      </c>
      <c r="AH221" s="22">
        <v>6744</v>
      </c>
      <c r="AI221" s="22">
        <v>20304</v>
      </c>
      <c r="AJ221" s="22">
        <v>15612</v>
      </c>
      <c r="AK221" s="22">
        <v>20190</v>
      </c>
      <c r="AL221" s="22">
        <v>22928</v>
      </c>
      <c r="AM221" s="24">
        <v>124</v>
      </c>
    </row>
    <row r="222" spans="1:39" ht="15.75" thickBot="1">
      <c r="A222" s="36">
        <f t="shared" si="49"/>
        <v>2018</v>
      </c>
      <c r="B222" s="36">
        <f t="shared" si="50"/>
        <v>4</v>
      </c>
      <c r="C222" s="39">
        <v>43196</v>
      </c>
      <c r="D222" s="40" t="s">
        <v>35</v>
      </c>
      <c r="E222" s="37"/>
      <c r="F222" s="19">
        <v>605358</v>
      </c>
      <c r="G222" s="21"/>
      <c r="H222" s="19">
        <v>145785</v>
      </c>
      <c r="I222" s="22">
        <v>81512</v>
      </c>
      <c r="J222" s="22">
        <v>61978</v>
      </c>
      <c r="K222" s="22">
        <v>19534</v>
      </c>
      <c r="L222" s="22">
        <v>63037</v>
      </c>
      <c r="M222" s="23">
        <v>459211</v>
      </c>
      <c r="N222" s="22">
        <v>285438</v>
      </c>
      <c r="O222" s="22">
        <v>159752</v>
      </c>
      <c r="P222" s="22">
        <v>6505</v>
      </c>
      <c r="Q222" s="22">
        <v>54700</v>
      </c>
      <c r="R222" s="22">
        <v>30644</v>
      </c>
      <c r="S222" s="22">
        <v>15311</v>
      </c>
      <c r="T222" s="22">
        <v>18526</v>
      </c>
      <c r="U222" s="22">
        <v>1597</v>
      </c>
      <c r="V222" s="22">
        <v>20844</v>
      </c>
      <c r="W222" s="22">
        <v>17746</v>
      </c>
      <c r="X222" s="22">
        <v>1362</v>
      </c>
      <c r="Y222" s="22">
        <v>21007</v>
      </c>
      <c r="Z222" s="22">
        <v>20996</v>
      </c>
      <c r="AA222" s="22">
        <v>19161</v>
      </c>
      <c r="AB222" s="22">
        <v>3871</v>
      </c>
      <c r="AC222" s="22">
        <v>1940</v>
      </c>
      <c r="AD222" s="22">
        <v>36038</v>
      </c>
      <c r="AE222" s="22">
        <v>9973</v>
      </c>
      <c r="AF222" s="22">
        <v>4490</v>
      </c>
      <c r="AG222" s="22">
        <v>10461</v>
      </c>
      <c r="AH222" s="22">
        <v>8045</v>
      </c>
      <c r="AI222" s="22">
        <v>22263</v>
      </c>
      <c r="AJ222" s="22">
        <v>10639</v>
      </c>
      <c r="AK222" s="22">
        <v>19928</v>
      </c>
      <c r="AL222" s="22">
        <v>15124</v>
      </c>
      <c r="AM222" s="24">
        <v>136</v>
      </c>
    </row>
    <row r="223" spans="1:39" ht="15.75" thickBot="1">
      <c r="A223" s="36">
        <f t="shared" si="49"/>
        <v>2018</v>
      </c>
      <c r="B223" s="36">
        <f t="shared" si="50"/>
        <v>5</v>
      </c>
      <c r="C223" s="39">
        <v>43226</v>
      </c>
      <c r="D223" s="40" t="s">
        <v>35</v>
      </c>
      <c r="E223" s="37"/>
      <c r="F223" s="19">
        <v>663311</v>
      </c>
      <c r="G223" s="21"/>
      <c r="H223" s="19">
        <v>221677</v>
      </c>
      <c r="I223" s="22">
        <v>174631</v>
      </c>
      <c r="J223" s="22">
        <v>138384</v>
      </c>
      <c r="K223" s="22">
        <v>36247</v>
      </c>
      <c r="L223" s="22">
        <v>46010</v>
      </c>
      <c r="M223" s="23">
        <v>437244</v>
      </c>
      <c r="N223" s="22">
        <v>260554</v>
      </c>
      <c r="O223" s="22">
        <v>142670</v>
      </c>
      <c r="P223" s="22">
        <v>6843</v>
      </c>
      <c r="Q223" s="22">
        <v>49462</v>
      </c>
      <c r="R223" s="22">
        <v>29896</v>
      </c>
      <c r="S223" s="22">
        <v>14604</v>
      </c>
      <c r="T223" s="22">
        <v>17080</v>
      </c>
      <c r="U223" s="22">
        <v>1949</v>
      </c>
      <c r="V223" s="22">
        <v>18662</v>
      </c>
      <c r="W223" s="22">
        <v>15841</v>
      </c>
      <c r="X223" s="22">
        <v>1544</v>
      </c>
      <c r="Y223" s="22">
        <v>19536</v>
      </c>
      <c r="Z223" s="22">
        <v>19524</v>
      </c>
      <c r="AA223" s="22">
        <v>27974</v>
      </c>
      <c r="AB223" s="22">
        <v>3564</v>
      </c>
      <c r="AC223" s="22">
        <v>1096</v>
      </c>
      <c r="AD223" s="22">
        <v>33977</v>
      </c>
      <c r="AE223" s="22">
        <v>8584</v>
      </c>
      <c r="AF223" s="22">
        <v>3748</v>
      </c>
      <c r="AG223" s="22">
        <v>12713</v>
      </c>
      <c r="AH223" s="22">
        <v>6298</v>
      </c>
      <c r="AI223" s="22">
        <v>18135</v>
      </c>
      <c r="AJ223" s="22">
        <v>13405</v>
      </c>
      <c r="AK223" s="22">
        <v>12654</v>
      </c>
      <c r="AL223" s="22">
        <v>24193</v>
      </c>
      <c r="AM223" s="24">
        <v>4189</v>
      </c>
    </row>
    <row r="224" spans="1:39" ht="15.75" thickBot="1">
      <c r="A224" s="36">
        <f t="shared" si="49"/>
        <v>2018</v>
      </c>
      <c r="B224" s="36">
        <f t="shared" si="50"/>
        <v>6</v>
      </c>
      <c r="C224" s="39">
        <v>43257</v>
      </c>
      <c r="D224" s="40" t="s">
        <v>35</v>
      </c>
      <c r="E224" s="37"/>
      <c r="F224" s="19">
        <v>736046</v>
      </c>
      <c r="G224" s="21"/>
      <c r="H224" s="19">
        <v>273387</v>
      </c>
      <c r="I224" s="22">
        <v>192390</v>
      </c>
      <c r="J224" s="22">
        <v>131139</v>
      </c>
      <c r="K224" s="22">
        <v>61251</v>
      </c>
      <c r="L224" s="22">
        <v>79573</v>
      </c>
      <c r="M224" s="23">
        <v>456704</v>
      </c>
      <c r="N224" s="22">
        <v>280332</v>
      </c>
      <c r="O224" s="22">
        <v>158757</v>
      </c>
      <c r="P224" s="22">
        <v>8993</v>
      </c>
      <c r="Q224" s="22">
        <v>49766</v>
      </c>
      <c r="R224" s="22">
        <v>26580</v>
      </c>
      <c r="S224" s="22">
        <v>17392</v>
      </c>
      <c r="T224" s="22">
        <v>18843</v>
      </c>
      <c r="U224" s="22">
        <v>2059</v>
      </c>
      <c r="V224" s="22">
        <v>20928</v>
      </c>
      <c r="W224" s="22">
        <v>17665</v>
      </c>
      <c r="X224" s="22">
        <v>1331</v>
      </c>
      <c r="Y224" s="22">
        <v>20477</v>
      </c>
      <c r="Z224" s="22">
        <v>20446</v>
      </c>
      <c r="AA224" s="22">
        <v>21884</v>
      </c>
      <c r="AB224" s="22">
        <v>3886</v>
      </c>
      <c r="AC224" s="22">
        <v>3133</v>
      </c>
      <c r="AD224" s="22">
        <v>35331</v>
      </c>
      <c r="AE224" s="22">
        <v>8996</v>
      </c>
      <c r="AF224" s="22">
        <v>5074</v>
      </c>
      <c r="AG224" s="22">
        <v>12337</v>
      </c>
      <c r="AH224" s="22">
        <v>5998</v>
      </c>
      <c r="AI224" s="22">
        <v>20703</v>
      </c>
      <c r="AJ224" s="22">
        <v>12565</v>
      </c>
      <c r="AK224" s="22">
        <v>15867</v>
      </c>
      <c r="AL224" s="22">
        <v>18208</v>
      </c>
      <c r="AM224" s="24">
        <v>5872</v>
      </c>
    </row>
    <row r="225" spans="1:39" ht="15.75" thickBot="1">
      <c r="A225" s="36">
        <f t="shared" si="49"/>
        <v>2018</v>
      </c>
      <c r="B225" s="36">
        <f t="shared" si="50"/>
        <v>7</v>
      </c>
      <c r="C225" s="39">
        <v>43287</v>
      </c>
      <c r="D225" s="40" t="s">
        <v>35</v>
      </c>
      <c r="E225" s="37"/>
      <c r="F225" s="19">
        <v>576294</v>
      </c>
      <c r="G225" s="21"/>
      <c r="H225" s="19">
        <v>117269</v>
      </c>
      <c r="I225" s="22">
        <v>68899</v>
      </c>
      <c r="J225" s="22">
        <v>53990</v>
      </c>
      <c r="K225" s="22">
        <v>14909</v>
      </c>
      <c r="L225" s="22">
        <v>47068</v>
      </c>
      <c r="M225" s="23">
        <v>449103</v>
      </c>
      <c r="N225" s="22">
        <v>270848</v>
      </c>
      <c r="O225" s="22">
        <v>144098</v>
      </c>
      <c r="P225" s="22">
        <v>10675</v>
      </c>
      <c r="Q225" s="22">
        <v>52912</v>
      </c>
      <c r="R225" s="22">
        <v>35935</v>
      </c>
      <c r="S225" s="22">
        <v>8523</v>
      </c>
      <c r="T225" s="22">
        <v>18704</v>
      </c>
      <c r="U225" s="22">
        <v>1653</v>
      </c>
      <c r="V225" s="22">
        <v>23697</v>
      </c>
      <c r="W225" s="22">
        <v>20793</v>
      </c>
      <c r="X225" s="22">
        <v>1326</v>
      </c>
      <c r="Y225" s="22">
        <v>18069</v>
      </c>
      <c r="Z225" s="22">
        <v>18045</v>
      </c>
      <c r="AA225" s="22">
        <v>27132</v>
      </c>
      <c r="AB225" s="22">
        <v>3084</v>
      </c>
      <c r="AC225" s="22">
        <v>13</v>
      </c>
      <c r="AD225" s="22">
        <v>35281</v>
      </c>
      <c r="AE225" s="22">
        <v>9023</v>
      </c>
      <c r="AF225" s="22">
        <v>4204</v>
      </c>
      <c r="AG225" s="22">
        <v>13113</v>
      </c>
      <c r="AH225" s="22">
        <v>7024</v>
      </c>
      <c r="AI225" s="22">
        <v>21091</v>
      </c>
      <c r="AJ225" s="22">
        <v>14076</v>
      </c>
      <c r="AK225" s="22">
        <v>14616</v>
      </c>
      <c r="AL225" s="22">
        <v>18217</v>
      </c>
      <c r="AM225" s="24">
        <v>9901</v>
      </c>
    </row>
    <row r="226" spans="1:39" ht="15.75" thickBot="1">
      <c r="A226" s="36">
        <f t="shared" si="49"/>
        <v>2018</v>
      </c>
      <c r="B226" s="36">
        <f t="shared" si="50"/>
        <v>8</v>
      </c>
      <c r="C226" s="39">
        <v>43318</v>
      </c>
      <c r="D226" s="40" t="s">
        <v>35</v>
      </c>
      <c r="E226" s="37"/>
      <c r="F226" s="19">
        <v>655768</v>
      </c>
      <c r="G226" s="21"/>
      <c r="H226" s="19">
        <v>194646</v>
      </c>
      <c r="I226" s="22">
        <v>116136</v>
      </c>
      <c r="J226" s="22">
        <v>69483</v>
      </c>
      <c r="K226" s="22">
        <v>46653</v>
      </c>
      <c r="L226" s="22">
        <v>77436</v>
      </c>
      <c r="M226" s="23">
        <v>451362</v>
      </c>
      <c r="N226" s="22">
        <v>280160</v>
      </c>
      <c r="O226" s="22">
        <v>147639</v>
      </c>
      <c r="P226" s="22">
        <v>12369</v>
      </c>
      <c r="Q226" s="22">
        <v>59286</v>
      </c>
      <c r="R226" s="22">
        <v>22116</v>
      </c>
      <c r="S226" s="22">
        <v>19879</v>
      </c>
      <c r="T226" s="22">
        <v>18871</v>
      </c>
      <c r="U226" s="22">
        <v>1497</v>
      </c>
      <c r="V226" s="22">
        <v>18489</v>
      </c>
      <c r="W226" s="22">
        <v>16224</v>
      </c>
      <c r="X226" s="22">
        <v>1587</v>
      </c>
      <c r="Y226" s="22">
        <v>15761</v>
      </c>
      <c r="Z226" s="22">
        <v>15738</v>
      </c>
      <c r="AA226" s="22">
        <v>23675</v>
      </c>
      <c r="AB226" s="22">
        <v>2964</v>
      </c>
      <c r="AC226" s="22">
        <v>1801</v>
      </c>
      <c r="AD226" s="22">
        <v>37020</v>
      </c>
      <c r="AE226" s="22">
        <v>8677</v>
      </c>
      <c r="AF226" s="22">
        <v>7456</v>
      </c>
      <c r="AG226" s="22">
        <v>12270</v>
      </c>
      <c r="AH226" s="22">
        <v>6720</v>
      </c>
      <c r="AI226" s="22">
        <v>21381</v>
      </c>
      <c r="AJ226" s="22">
        <v>11051</v>
      </c>
      <c r="AK226" s="22">
        <v>15981</v>
      </c>
      <c r="AL226" s="22">
        <v>19995</v>
      </c>
      <c r="AM226" s="24">
        <v>9687</v>
      </c>
    </row>
    <row r="227" spans="1:39" ht="15.75" thickBot="1">
      <c r="A227" s="36">
        <f t="shared" si="49"/>
        <v>2018</v>
      </c>
      <c r="B227" s="36">
        <f t="shared" si="50"/>
        <v>9</v>
      </c>
      <c r="C227" s="39">
        <v>43349</v>
      </c>
      <c r="D227" s="40" t="s">
        <v>35</v>
      </c>
      <c r="E227" s="37"/>
      <c r="F227" s="19">
        <v>647232</v>
      </c>
      <c r="G227" s="21"/>
      <c r="H227" s="19">
        <v>130961</v>
      </c>
      <c r="I227" s="22">
        <v>89396</v>
      </c>
      <c r="J227" s="22">
        <v>82447</v>
      </c>
      <c r="K227" s="22">
        <v>6949</v>
      </c>
      <c r="L227" s="22">
        <v>40528</v>
      </c>
      <c r="M227" s="23">
        <v>498973</v>
      </c>
      <c r="N227" s="22">
        <v>329472</v>
      </c>
      <c r="O227" s="22">
        <v>193478</v>
      </c>
      <c r="P227" s="22">
        <v>17017</v>
      </c>
      <c r="Q227" s="22">
        <v>64087</v>
      </c>
      <c r="R227" s="22">
        <v>26069</v>
      </c>
      <c r="S227" s="22">
        <v>14027</v>
      </c>
      <c r="T227" s="22">
        <v>14794</v>
      </c>
      <c r="U227" s="22">
        <v>1786</v>
      </c>
      <c r="V227" s="22">
        <v>18743</v>
      </c>
      <c r="W227" s="22">
        <v>16347</v>
      </c>
      <c r="X227" s="22">
        <v>1242</v>
      </c>
      <c r="Y227" s="22">
        <v>16095</v>
      </c>
      <c r="Z227" s="22">
        <v>16075</v>
      </c>
      <c r="AA227" s="22">
        <v>20881</v>
      </c>
      <c r="AB227" s="22">
        <v>3154</v>
      </c>
      <c r="AC227" s="22">
        <v>2916</v>
      </c>
      <c r="AD227" s="22">
        <v>35698</v>
      </c>
      <c r="AE227" s="22">
        <v>8803</v>
      </c>
      <c r="AF227" s="22">
        <v>5928</v>
      </c>
      <c r="AG227" s="22">
        <v>13609</v>
      </c>
      <c r="AH227" s="22">
        <v>5711</v>
      </c>
      <c r="AI227" s="22">
        <v>20298</v>
      </c>
      <c r="AJ227" s="22">
        <v>9167</v>
      </c>
      <c r="AK227" s="22">
        <v>19339</v>
      </c>
      <c r="AL227" s="22">
        <v>20182</v>
      </c>
      <c r="AM227" s="24">
        <v>17021</v>
      </c>
    </row>
    <row r="228" spans="1:39" ht="15.75" thickBot="1">
      <c r="A228" s="36">
        <f t="shared" si="49"/>
        <v>2018</v>
      </c>
      <c r="B228" s="36">
        <f t="shared" si="50"/>
        <v>10</v>
      </c>
      <c r="C228" s="39">
        <v>43379</v>
      </c>
      <c r="D228" s="40" t="s">
        <v>35</v>
      </c>
      <c r="E228" s="37"/>
      <c r="F228" s="19">
        <v>660405</v>
      </c>
      <c r="G228" s="21"/>
      <c r="H228" s="19">
        <v>138800</v>
      </c>
      <c r="I228" s="22">
        <v>85264</v>
      </c>
      <c r="J228" s="22">
        <v>59248</v>
      </c>
      <c r="K228" s="22">
        <v>26017</v>
      </c>
      <c r="L228" s="22">
        <v>52133</v>
      </c>
      <c r="M228" s="23">
        <v>509803</v>
      </c>
      <c r="N228" s="22">
        <v>323606</v>
      </c>
      <c r="O228" s="22">
        <v>152376</v>
      </c>
      <c r="P228" s="22">
        <v>13276</v>
      </c>
      <c r="Q228" s="22">
        <v>84223</v>
      </c>
      <c r="R228" s="22">
        <v>41387</v>
      </c>
      <c r="S228" s="22">
        <v>16624</v>
      </c>
      <c r="T228" s="22">
        <v>15720</v>
      </c>
      <c r="U228" s="22">
        <v>2564</v>
      </c>
      <c r="V228" s="22">
        <v>16177</v>
      </c>
      <c r="W228" s="22">
        <v>13914</v>
      </c>
      <c r="X228" s="22">
        <v>1153</v>
      </c>
      <c r="Y228" s="22">
        <v>17000</v>
      </c>
      <c r="Z228" s="22">
        <v>16981</v>
      </c>
      <c r="AA228" s="22">
        <v>30555</v>
      </c>
      <c r="AB228" s="22">
        <v>3593</v>
      </c>
      <c r="AC228" s="22">
        <v>3697</v>
      </c>
      <c r="AD228" s="22">
        <v>45320</v>
      </c>
      <c r="AE228" s="22">
        <v>10138</v>
      </c>
      <c r="AF228" s="22">
        <v>11644</v>
      </c>
      <c r="AG228" s="22">
        <v>15035</v>
      </c>
      <c r="AH228" s="22">
        <v>5092</v>
      </c>
      <c r="AI228" s="22">
        <v>23615</v>
      </c>
      <c r="AJ228" s="22">
        <v>10787</v>
      </c>
      <c r="AK228" s="22">
        <v>13237</v>
      </c>
      <c r="AL228" s="22">
        <v>18498</v>
      </c>
      <c r="AM228" s="24">
        <v>11757</v>
      </c>
    </row>
    <row r="229" spans="1:39" ht="15.75" thickBot="1">
      <c r="A229" s="36">
        <f t="shared" si="49"/>
        <v>2018</v>
      </c>
      <c r="B229" s="36">
        <f t="shared" si="50"/>
        <v>11</v>
      </c>
      <c r="C229" s="39">
        <v>43410</v>
      </c>
      <c r="D229" s="40" t="s">
        <v>35</v>
      </c>
      <c r="E229" s="37"/>
      <c r="F229" s="19">
        <v>660938</v>
      </c>
      <c r="G229" s="21"/>
      <c r="H229" s="19">
        <v>128460</v>
      </c>
      <c r="I229" s="22">
        <v>62372</v>
      </c>
      <c r="J229" s="22">
        <v>38158</v>
      </c>
      <c r="K229" s="22">
        <v>24214</v>
      </c>
      <c r="L229" s="22">
        <v>64895</v>
      </c>
      <c r="M229" s="23">
        <v>528285</v>
      </c>
      <c r="N229" s="22">
        <v>349594</v>
      </c>
      <c r="O229" s="22">
        <v>190912</v>
      </c>
      <c r="P229" s="22">
        <v>8653</v>
      </c>
      <c r="Q229" s="22">
        <v>74305</v>
      </c>
      <c r="R229" s="22">
        <v>33689</v>
      </c>
      <c r="S229" s="22">
        <v>26704</v>
      </c>
      <c r="T229" s="22">
        <v>15330</v>
      </c>
      <c r="U229" s="22">
        <v>1887</v>
      </c>
      <c r="V229" s="22">
        <v>18903</v>
      </c>
      <c r="W229" s="22">
        <v>17228</v>
      </c>
      <c r="X229" s="22">
        <v>1081</v>
      </c>
      <c r="Y229" s="22">
        <v>16367</v>
      </c>
      <c r="Z229" s="22">
        <v>16337</v>
      </c>
      <c r="AA229" s="22">
        <v>24536</v>
      </c>
      <c r="AB229" s="22">
        <v>3503</v>
      </c>
      <c r="AC229" s="22">
        <v>3494</v>
      </c>
      <c r="AD229" s="22">
        <v>40788</v>
      </c>
      <c r="AE229" s="22">
        <v>9183</v>
      </c>
      <c r="AF229" s="22">
        <v>9418</v>
      </c>
      <c r="AG229" s="22">
        <v>14775</v>
      </c>
      <c r="AH229" s="22">
        <v>4404</v>
      </c>
      <c r="AI229" s="22">
        <v>22695</v>
      </c>
      <c r="AJ229" s="22">
        <v>9282</v>
      </c>
      <c r="AK229" s="22">
        <v>17070</v>
      </c>
      <c r="AL229" s="22">
        <v>19084</v>
      </c>
      <c r="AM229" s="24">
        <v>4155</v>
      </c>
    </row>
    <row r="230" spans="1:39" ht="15.75" thickBot="1">
      <c r="A230" s="36">
        <f t="shared" si="49"/>
        <v>2018</v>
      </c>
      <c r="B230" s="36">
        <f t="shared" si="50"/>
        <v>12</v>
      </c>
      <c r="C230" s="39">
        <v>43440</v>
      </c>
      <c r="D230" s="40" t="s">
        <v>35</v>
      </c>
      <c r="E230" s="37"/>
      <c r="F230" s="19">
        <v>570766</v>
      </c>
      <c r="G230" s="21"/>
      <c r="H230" s="19">
        <v>106837</v>
      </c>
      <c r="I230" s="22">
        <v>53399</v>
      </c>
      <c r="J230" s="22">
        <v>7601</v>
      </c>
      <c r="K230" s="22">
        <v>45799</v>
      </c>
      <c r="L230" s="22">
        <v>51941</v>
      </c>
      <c r="M230" s="23">
        <v>459629</v>
      </c>
      <c r="N230" s="22">
        <v>315225</v>
      </c>
      <c r="O230" s="22">
        <v>186353</v>
      </c>
      <c r="P230" s="22">
        <v>7326</v>
      </c>
      <c r="Q230" s="22">
        <v>58678</v>
      </c>
      <c r="R230" s="22">
        <v>35321</v>
      </c>
      <c r="S230" s="22">
        <v>12933</v>
      </c>
      <c r="T230" s="22">
        <v>14613</v>
      </c>
      <c r="U230" s="22">
        <v>2483</v>
      </c>
      <c r="V230" s="22">
        <v>16185</v>
      </c>
      <c r="W230" s="22">
        <v>14941</v>
      </c>
      <c r="X230" s="22">
        <v>833</v>
      </c>
      <c r="Y230" s="22">
        <v>16850</v>
      </c>
      <c r="Z230" s="22">
        <v>16850</v>
      </c>
      <c r="AA230" s="22">
        <v>19565</v>
      </c>
      <c r="AB230" s="22">
        <v>2490</v>
      </c>
      <c r="AC230" s="22">
        <v>1</v>
      </c>
      <c r="AD230" s="22">
        <v>30504</v>
      </c>
      <c r="AE230" s="22">
        <v>7513</v>
      </c>
      <c r="AF230" s="22">
        <v>7555</v>
      </c>
      <c r="AG230" s="22">
        <v>8536</v>
      </c>
      <c r="AH230" s="22">
        <v>3762</v>
      </c>
      <c r="AI230" s="22">
        <v>20528</v>
      </c>
      <c r="AJ230" s="22">
        <v>8229</v>
      </c>
      <c r="AK230" s="22">
        <v>9056</v>
      </c>
      <c r="AL230" s="22">
        <v>17683</v>
      </c>
      <c r="AM230" s="24">
        <v>4034</v>
      </c>
    </row>
    <row r="231" spans="1:39" ht="15.75" thickBot="1">
      <c r="A231" s="36">
        <f t="shared" si="49"/>
        <v>2019</v>
      </c>
      <c r="B231" s="36">
        <f t="shared" si="50"/>
        <v>1</v>
      </c>
      <c r="C231" s="39">
        <v>43471</v>
      </c>
      <c r="D231" s="40" t="s">
        <v>35</v>
      </c>
      <c r="E231" s="37"/>
      <c r="F231" s="19">
        <v>539177</v>
      </c>
      <c r="G231" s="21"/>
      <c r="H231" s="19">
        <v>122552</v>
      </c>
      <c r="I231" s="22">
        <v>55569</v>
      </c>
      <c r="J231" s="22">
        <v>49005</v>
      </c>
      <c r="K231" s="22">
        <v>6564</v>
      </c>
      <c r="L231" s="22">
        <v>66098</v>
      </c>
      <c r="M231" s="23">
        <v>407709</v>
      </c>
      <c r="N231" s="22">
        <v>254948</v>
      </c>
      <c r="O231" s="22">
        <v>132155</v>
      </c>
      <c r="P231" s="22">
        <v>7033</v>
      </c>
      <c r="Q231" s="22">
        <v>53757</v>
      </c>
      <c r="R231" s="22">
        <v>27772</v>
      </c>
      <c r="S231" s="22">
        <v>20015</v>
      </c>
      <c r="T231" s="22">
        <v>14217</v>
      </c>
      <c r="U231" s="22">
        <v>2579</v>
      </c>
      <c r="V231" s="22">
        <v>16690</v>
      </c>
      <c r="W231" s="22">
        <v>14726</v>
      </c>
      <c r="X231" s="22">
        <v>906</v>
      </c>
      <c r="Y231" s="22">
        <v>13594</v>
      </c>
      <c r="Z231" s="22">
        <v>13578</v>
      </c>
      <c r="AA231" s="22">
        <v>30208</v>
      </c>
      <c r="AB231" s="22">
        <v>3112</v>
      </c>
      <c r="AC231" s="22">
        <v>3</v>
      </c>
      <c r="AD231" s="22">
        <v>32185</v>
      </c>
      <c r="AE231" s="22">
        <v>7545</v>
      </c>
      <c r="AF231" s="22">
        <v>6949</v>
      </c>
      <c r="AG231" s="22">
        <v>10329</v>
      </c>
      <c r="AH231" s="22">
        <v>5399</v>
      </c>
      <c r="AI231" s="22">
        <v>24808</v>
      </c>
      <c r="AJ231" s="22">
        <v>5358</v>
      </c>
      <c r="AK231" s="22">
        <v>11417</v>
      </c>
      <c r="AL231" s="22">
        <v>11900</v>
      </c>
      <c r="AM231" s="24">
        <v>8871</v>
      </c>
    </row>
    <row r="232" spans="1:39" ht="15.75" thickBot="1">
      <c r="A232" s="36">
        <f t="shared" si="49"/>
        <v>2019</v>
      </c>
      <c r="B232" s="36">
        <f t="shared" si="50"/>
        <v>2</v>
      </c>
      <c r="C232" s="39">
        <v>43502</v>
      </c>
      <c r="D232" s="40" t="s">
        <v>35</v>
      </c>
      <c r="E232" s="37"/>
      <c r="F232" s="19">
        <v>531193</v>
      </c>
      <c r="G232" s="21"/>
      <c r="H232" s="19">
        <v>100835</v>
      </c>
      <c r="I232" s="22">
        <v>39908</v>
      </c>
      <c r="J232" s="22">
        <v>28233</v>
      </c>
      <c r="K232" s="22">
        <v>11675</v>
      </c>
      <c r="L232" s="22">
        <v>59916</v>
      </c>
      <c r="M232" s="23">
        <v>415459</v>
      </c>
      <c r="N232" s="22">
        <v>279302</v>
      </c>
      <c r="O232" s="22">
        <v>164955</v>
      </c>
      <c r="P232" s="22">
        <v>9557</v>
      </c>
      <c r="Q232" s="22">
        <v>39786</v>
      </c>
      <c r="R232" s="22">
        <v>32234</v>
      </c>
      <c r="S232" s="22">
        <v>20438</v>
      </c>
      <c r="T232" s="22">
        <v>12332</v>
      </c>
      <c r="U232" s="22">
        <v>1276</v>
      </c>
      <c r="V232" s="22">
        <v>18029</v>
      </c>
      <c r="W232" s="22">
        <v>15088</v>
      </c>
      <c r="X232" s="22">
        <v>1489</v>
      </c>
      <c r="Y232" s="22">
        <v>12875</v>
      </c>
      <c r="Z232" s="22">
        <v>12875</v>
      </c>
      <c r="AA232" s="22">
        <v>12581</v>
      </c>
      <c r="AB232" s="22">
        <v>3603</v>
      </c>
      <c r="AC232" s="22">
        <v>0</v>
      </c>
      <c r="AD232" s="22">
        <v>27796</v>
      </c>
      <c r="AE232" s="22">
        <v>7464</v>
      </c>
      <c r="AF232" s="22">
        <v>4470</v>
      </c>
      <c r="AG232" s="22">
        <v>8697</v>
      </c>
      <c r="AH232" s="22">
        <v>4566</v>
      </c>
      <c r="AI232" s="22">
        <v>24070</v>
      </c>
      <c r="AJ232" s="22">
        <v>8771</v>
      </c>
      <c r="AK232" s="22">
        <v>10657</v>
      </c>
      <c r="AL232" s="22">
        <v>15011</v>
      </c>
      <c r="AM232" s="24">
        <v>14780</v>
      </c>
    </row>
    <row r="233" spans="1:39" ht="15.75" thickBot="1">
      <c r="A233" s="36">
        <f t="shared" si="49"/>
        <v>2019</v>
      </c>
      <c r="B233" s="36">
        <f t="shared" si="50"/>
        <v>3</v>
      </c>
      <c r="C233" s="39">
        <v>43530</v>
      </c>
      <c r="D233" s="40" t="s">
        <v>35</v>
      </c>
      <c r="E233" s="37"/>
      <c r="F233" s="19">
        <v>567516</v>
      </c>
      <c r="G233" s="21"/>
      <c r="H233" s="19">
        <v>96170</v>
      </c>
      <c r="I233" s="22">
        <v>34239</v>
      </c>
      <c r="J233" s="22">
        <v>25804</v>
      </c>
      <c r="K233" s="22">
        <v>8436</v>
      </c>
      <c r="L233" s="22">
        <v>61131</v>
      </c>
      <c r="M233" s="23">
        <v>464411</v>
      </c>
      <c r="N233" s="22">
        <v>301103</v>
      </c>
      <c r="O233" s="22">
        <v>198834</v>
      </c>
      <c r="P233" s="22">
        <v>5844</v>
      </c>
      <c r="Q233" s="22">
        <v>48584</v>
      </c>
      <c r="R233" s="22">
        <v>15237</v>
      </c>
      <c r="S233" s="22">
        <v>16808</v>
      </c>
      <c r="T233" s="22">
        <v>15794</v>
      </c>
      <c r="U233" s="22">
        <v>1968</v>
      </c>
      <c r="V233" s="22">
        <v>20752</v>
      </c>
      <c r="W233" s="22">
        <v>18723</v>
      </c>
      <c r="X233" s="22">
        <v>559</v>
      </c>
      <c r="Y233" s="22">
        <v>12495</v>
      </c>
      <c r="Z233" s="22">
        <v>12448</v>
      </c>
      <c r="AA233" s="22">
        <v>29936</v>
      </c>
      <c r="AB233" s="22">
        <v>3464</v>
      </c>
      <c r="AC233" s="22">
        <v>14</v>
      </c>
      <c r="AD233" s="22">
        <v>30342</v>
      </c>
      <c r="AE233" s="22">
        <v>7671</v>
      </c>
      <c r="AF233" s="22">
        <v>3574</v>
      </c>
      <c r="AG233" s="22">
        <v>11074</v>
      </c>
      <c r="AH233" s="22">
        <v>5473</v>
      </c>
      <c r="AI233" s="22">
        <v>21975</v>
      </c>
      <c r="AJ233" s="22">
        <v>7477</v>
      </c>
      <c r="AK233" s="22">
        <v>19102</v>
      </c>
      <c r="AL233" s="22">
        <v>15226</v>
      </c>
      <c r="AM233" s="24">
        <v>6658</v>
      </c>
    </row>
    <row r="234" spans="1:39" ht="15.75" thickBot="1">
      <c r="A234" s="36">
        <f t="shared" si="49"/>
        <v>2019</v>
      </c>
      <c r="B234" s="36">
        <f t="shared" si="50"/>
        <v>4</v>
      </c>
      <c r="C234" s="39">
        <v>43561</v>
      </c>
      <c r="D234" s="40" t="s">
        <v>35</v>
      </c>
      <c r="E234" s="37"/>
      <c r="F234" s="19">
        <v>637914</v>
      </c>
      <c r="G234" s="21"/>
      <c r="H234" s="19">
        <v>185973</v>
      </c>
      <c r="I234" s="22">
        <v>113708</v>
      </c>
      <c r="J234" s="22">
        <v>84370</v>
      </c>
      <c r="K234" s="22">
        <v>29339</v>
      </c>
      <c r="L234" s="22">
        <v>71082</v>
      </c>
      <c r="M234" s="23">
        <v>447650</v>
      </c>
      <c r="N234" s="22">
        <v>300710</v>
      </c>
      <c r="O234" s="22">
        <v>198030</v>
      </c>
      <c r="P234" s="22">
        <v>5488</v>
      </c>
      <c r="Q234" s="22">
        <v>42587</v>
      </c>
      <c r="R234" s="22">
        <v>19311</v>
      </c>
      <c r="S234" s="22">
        <v>19763</v>
      </c>
      <c r="T234" s="22">
        <v>15532</v>
      </c>
      <c r="U234" s="22">
        <v>2481</v>
      </c>
      <c r="V234" s="22">
        <v>22685</v>
      </c>
      <c r="W234" s="22">
        <v>20045</v>
      </c>
      <c r="X234" s="22">
        <v>1337</v>
      </c>
      <c r="Y234" s="22">
        <v>13159</v>
      </c>
      <c r="Z234" s="22">
        <v>13154</v>
      </c>
      <c r="AA234" s="22">
        <v>18718</v>
      </c>
      <c r="AB234" s="22">
        <v>4538</v>
      </c>
      <c r="AC234" s="22">
        <v>3</v>
      </c>
      <c r="AD234" s="22">
        <v>26685</v>
      </c>
      <c r="AE234" s="22">
        <v>7904</v>
      </c>
      <c r="AF234" s="22">
        <v>3041</v>
      </c>
      <c r="AG234" s="22">
        <v>8542</v>
      </c>
      <c r="AH234" s="22">
        <v>5424</v>
      </c>
      <c r="AI234" s="22">
        <v>18532</v>
      </c>
      <c r="AJ234" s="22">
        <v>10574</v>
      </c>
      <c r="AK234" s="22">
        <v>10888</v>
      </c>
      <c r="AL234" s="22">
        <v>17340</v>
      </c>
      <c r="AM234" s="24">
        <v>4226</v>
      </c>
    </row>
    <row r="235" spans="1:39" ht="15.75" thickBot="1">
      <c r="A235" s="36">
        <f t="shared" si="49"/>
        <v>2019</v>
      </c>
      <c r="B235" s="36">
        <f t="shared" si="50"/>
        <v>5</v>
      </c>
      <c r="C235" s="39">
        <v>43591</v>
      </c>
      <c r="D235" s="40" t="s">
        <v>35</v>
      </c>
      <c r="E235" s="37"/>
      <c r="F235" s="19">
        <v>749075</v>
      </c>
      <c r="G235" s="21"/>
      <c r="H235" s="19">
        <v>273750</v>
      </c>
      <c r="I235" s="22">
        <v>205185</v>
      </c>
      <c r="J235" s="22">
        <v>198340</v>
      </c>
      <c r="K235" s="22">
        <v>6845</v>
      </c>
      <c r="L235" s="22">
        <v>67050</v>
      </c>
      <c r="M235" s="23">
        <v>467422</v>
      </c>
      <c r="N235" s="22">
        <v>299187</v>
      </c>
      <c r="O235" s="22">
        <v>197185</v>
      </c>
      <c r="P235" s="22">
        <v>7442</v>
      </c>
      <c r="Q235" s="22">
        <v>50586</v>
      </c>
      <c r="R235" s="22">
        <v>19365</v>
      </c>
      <c r="S235" s="22">
        <v>10837</v>
      </c>
      <c r="T235" s="22">
        <v>13774</v>
      </c>
      <c r="U235" s="22">
        <v>2532</v>
      </c>
      <c r="V235" s="22">
        <v>25871</v>
      </c>
      <c r="W235" s="22">
        <v>23072</v>
      </c>
      <c r="X235" s="22">
        <v>1295</v>
      </c>
      <c r="Y235" s="22">
        <v>14960</v>
      </c>
      <c r="Z235" s="22">
        <v>14936</v>
      </c>
      <c r="AA235" s="22">
        <v>25448</v>
      </c>
      <c r="AB235" s="22">
        <v>4467</v>
      </c>
      <c r="AC235" s="22">
        <v>0</v>
      </c>
      <c r="AD235" s="22">
        <v>31036</v>
      </c>
      <c r="AE235" s="22">
        <v>9328</v>
      </c>
      <c r="AF235" s="22">
        <v>3183</v>
      </c>
      <c r="AG235" s="22">
        <v>11044</v>
      </c>
      <c r="AH235" s="22">
        <v>4534</v>
      </c>
      <c r="AI235" s="22">
        <v>18395</v>
      </c>
      <c r="AJ235" s="22">
        <v>9010</v>
      </c>
      <c r="AK235" s="22">
        <v>18195</v>
      </c>
      <c r="AL235" s="22">
        <v>17025</v>
      </c>
      <c r="AM235" s="24">
        <v>7709</v>
      </c>
    </row>
    <row r="236" spans="1:39" ht="15.75" thickBot="1">
      <c r="A236" s="36">
        <f t="shared" si="49"/>
        <v>2019</v>
      </c>
      <c r="B236" s="36">
        <f t="shared" si="50"/>
        <v>6</v>
      </c>
      <c r="C236" s="39">
        <v>43622</v>
      </c>
      <c r="D236" s="40" t="s">
        <v>35</v>
      </c>
      <c r="E236" s="37"/>
      <c r="F236" s="19">
        <v>641015</v>
      </c>
      <c r="G236" s="21"/>
      <c r="H236" s="19">
        <v>197509</v>
      </c>
      <c r="I236" s="22">
        <v>159380</v>
      </c>
      <c r="J236" s="22">
        <v>131331</v>
      </c>
      <c r="K236" s="22">
        <v>28048</v>
      </c>
      <c r="L236" s="22">
        <v>37026</v>
      </c>
      <c r="M236" s="23">
        <v>442167</v>
      </c>
      <c r="N236" s="22">
        <v>296280</v>
      </c>
      <c r="O236" s="22">
        <v>186393</v>
      </c>
      <c r="P236" s="22">
        <v>10913</v>
      </c>
      <c r="Q236" s="22">
        <v>48423</v>
      </c>
      <c r="R236" s="22">
        <v>15522</v>
      </c>
      <c r="S236" s="22">
        <v>18540</v>
      </c>
      <c r="T236" s="22">
        <v>16489</v>
      </c>
      <c r="U236" s="22">
        <v>2079</v>
      </c>
      <c r="V236" s="22">
        <v>18303</v>
      </c>
      <c r="W236" s="22">
        <v>16604</v>
      </c>
      <c r="X236" s="22">
        <v>1315</v>
      </c>
      <c r="Y236" s="22">
        <v>13334</v>
      </c>
      <c r="Z236" s="22">
        <v>13312</v>
      </c>
      <c r="AA236" s="22">
        <v>18402</v>
      </c>
      <c r="AB236" s="22">
        <v>4642</v>
      </c>
      <c r="AC236" s="22">
        <v>4</v>
      </c>
      <c r="AD236" s="22">
        <v>32745</v>
      </c>
      <c r="AE236" s="22">
        <v>7314</v>
      </c>
      <c r="AF236" s="22">
        <v>2246</v>
      </c>
      <c r="AG236" s="22">
        <v>13973</v>
      </c>
      <c r="AH236" s="22">
        <v>5455</v>
      </c>
      <c r="AI236" s="22">
        <v>16978</v>
      </c>
      <c r="AJ236" s="22">
        <v>9711</v>
      </c>
      <c r="AK236" s="22">
        <v>9959</v>
      </c>
      <c r="AL236" s="22">
        <v>18413</v>
      </c>
      <c r="AM236" s="24">
        <v>621</v>
      </c>
    </row>
    <row r="237" spans="1:39" ht="15.75" thickBot="1">
      <c r="A237" s="36">
        <f t="shared" si="49"/>
        <v>2019</v>
      </c>
      <c r="B237" s="36">
        <f t="shared" si="50"/>
        <v>7</v>
      </c>
      <c r="C237" s="39">
        <v>43652</v>
      </c>
      <c r="D237" s="40" t="s">
        <v>35</v>
      </c>
      <c r="E237" s="37"/>
      <c r="F237" s="19">
        <v>674025</v>
      </c>
      <c r="G237" s="21"/>
      <c r="H237" s="19">
        <v>250374</v>
      </c>
      <c r="I237" s="22">
        <v>178861</v>
      </c>
      <c r="J237" s="22">
        <v>176992</v>
      </c>
      <c r="K237" s="22">
        <v>1869</v>
      </c>
      <c r="L237" s="22">
        <v>70212</v>
      </c>
      <c r="M237" s="23">
        <v>419477</v>
      </c>
      <c r="N237" s="22">
        <v>267386</v>
      </c>
      <c r="O237" s="22">
        <v>148980</v>
      </c>
      <c r="P237" s="22">
        <v>12272</v>
      </c>
      <c r="Q237" s="22">
        <v>50748</v>
      </c>
      <c r="R237" s="22">
        <v>24507</v>
      </c>
      <c r="S237" s="22">
        <v>15018</v>
      </c>
      <c r="T237" s="22">
        <v>15862</v>
      </c>
      <c r="U237" s="22">
        <v>978</v>
      </c>
      <c r="V237" s="22">
        <v>15107</v>
      </c>
      <c r="W237" s="22">
        <v>12611</v>
      </c>
      <c r="X237" s="22">
        <v>794</v>
      </c>
      <c r="Y237" s="22">
        <v>12179</v>
      </c>
      <c r="Z237" s="22">
        <v>12173</v>
      </c>
      <c r="AA237" s="22">
        <v>28112</v>
      </c>
      <c r="AB237" s="22">
        <v>4490</v>
      </c>
      <c r="AC237" s="22">
        <v>14</v>
      </c>
      <c r="AD237" s="22">
        <v>29255</v>
      </c>
      <c r="AE237" s="22">
        <v>8061</v>
      </c>
      <c r="AF237" s="22">
        <v>2500</v>
      </c>
      <c r="AG237" s="22">
        <v>10964</v>
      </c>
      <c r="AH237" s="22">
        <v>5845</v>
      </c>
      <c r="AI237" s="22">
        <v>19367</v>
      </c>
      <c r="AJ237" s="22">
        <v>11878</v>
      </c>
      <c r="AK237" s="22">
        <v>13967</v>
      </c>
      <c r="AL237" s="22">
        <v>15949</v>
      </c>
      <c r="AM237" s="24">
        <v>4149</v>
      </c>
    </row>
    <row r="238" spans="1:39" ht="15.75" thickBot="1">
      <c r="A238" s="36">
        <f t="shared" si="49"/>
        <v>2019</v>
      </c>
      <c r="B238" s="36">
        <f t="shared" si="50"/>
        <v>8</v>
      </c>
      <c r="C238" s="39">
        <v>43683</v>
      </c>
      <c r="D238" s="40" t="s">
        <v>35</v>
      </c>
      <c r="E238" s="37"/>
      <c r="F238" s="19">
        <v>742735</v>
      </c>
      <c r="G238" s="21"/>
      <c r="H238" s="19">
        <v>234760</v>
      </c>
      <c r="I238" s="22">
        <v>201395</v>
      </c>
      <c r="J238" s="22">
        <v>193528</v>
      </c>
      <c r="K238" s="22">
        <v>7867</v>
      </c>
      <c r="L238" s="22">
        <v>32109</v>
      </c>
      <c r="M238" s="23">
        <v>498232</v>
      </c>
      <c r="N238" s="22">
        <v>343283</v>
      </c>
      <c r="O238" s="22">
        <v>177029</v>
      </c>
      <c r="P238" s="22">
        <v>13403</v>
      </c>
      <c r="Q238" s="22">
        <v>76092</v>
      </c>
      <c r="R238" s="22">
        <v>34631</v>
      </c>
      <c r="S238" s="22">
        <v>23527</v>
      </c>
      <c r="T238" s="22">
        <v>18601</v>
      </c>
      <c r="U238" s="22">
        <v>1080</v>
      </c>
      <c r="V238" s="22">
        <v>16145</v>
      </c>
      <c r="W238" s="22">
        <v>13278</v>
      </c>
      <c r="X238" s="22">
        <v>1699</v>
      </c>
      <c r="Y238" s="22">
        <v>14909</v>
      </c>
      <c r="Z238" s="22">
        <v>14866</v>
      </c>
      <c r="AA238" s="22">
        <v>16116</v>
      </c>
      <c r="AB238" s="22">
        <v>3389</v>
      </c>
      <c r="AC238" s="22">
        <v>0</v>
      </c>
      <c r="AD238" s="22">
        <v>35885</v>
      </c>
      <c r="AE238" s="22">
        <v>8042</v>
      </c>
      <c r="AF238" s="22">
        <v>4685</v>
      </c>
      <c r="AG238" s="22">
        <v>14964</v>
      </c>
      <c r="AH238" s="22">
        <v>5406</v>
      </c>
      <c r="AI238" s="22">
        <v>19876</v>
      </c>
      <c r="AJ238" s="22">
        <v>10875</v>
      </c>
      <c r="AK238" s="22">
        <v>16787</v>
      </c>
      <c r="AL238" s="22">
        <v>18187</v>
      </c>
      <c r="AM238" s="24">
        <v>9550</v>
      </c>
    </row>
    <row r="239" spans="1:39" ht="15.75" thickBot="1">
      <c r="A239" s="36">
        <f t="shared" si="49"/>
        <v>2019</v>
      </c>
      <c r="B239" s="36">
        <f t="shared" si="50"/>
        <v>9</v>
      </c>
      <c r="C239" s="39">
        <v>43714</v>
      </c>
      <c r="D239" s="40" t="s">
        <v>35</v>
      </c>
      <c r="E239" s="37"/>
      <c r="F239" s="19">
        <v>677003</v>
      </c>
      <c r="G239" s="21"/>
      <c r="H239" s="19">
        <v>214226</v>
      </c>
      <c r="I239" s="22">
        <v>138864</v>
      </c>
      <c r="J239" s="22">
        <v>123061</v>
      </c>
      <c r="K239" s="22">
        <v>15804</v>
      </c>
      <c r="L239" s="22">
        <v>74159</v>
      </c>
      <c r="M239" s="23">
        <v>460791</v>
      </c>
      <c r="N239" s="22">
        <v>319241</v>
      </c>
      <c r="O239" s="22">
        <v>201058</v>
      </c>
      <c r="P239" s="22">
        <v>15195</v>
      </c>
      <c r="Q239" s="22">
        <v>53132</v>
      </c>
      <c r="R239" s="22">
        <v>18437</v>
      </c>
      <c r="S239" s="22">
        <v>14521</v>
      </c>
      <c r="T239" s="22">
        <v>16898</v>
      </c>
      <c r="U239" s="22">
        <v>1309</v>
      </c>
      <c r="V239" s="22">
        <v>7903</v>
      </c>
      <c r="W239" s="22">
        <v>5851</v>
      </c>
      <c r="X239" s="22">
        <v>1020</v>
      </c>
      <c r="Y239" s="22">
        <v>11188</v>
      </c>
      <c r="Z239" s="22">
        <v>11098</v>
      </c>
      <c r="AA239" s="22">
        <v>27357</v>
      </c>
      <c r="AB239" s="22">
        <v>2558</v>
      </c>
      <c r="AC239" s="22">
        <v>72</v>
      </c>
      <c r="AD239" s="22">
        <v>33314</v>
      </c>
      <c r="AE239" s="22">
        <v>8333</v>
      </c>
      <c r="AF239" s="22">
        <v>4135</v>
      </c>
      <c r="AG239" s="22">
        <v>14468</v>
      </c>
      <c r="AH239" s="22">
        <v>4672</v>
      </c>
      <c r="AI239" s="22">
        <v>17849</v>
      </c>
      <c r="AJ239" s="22">
        <v>8550</v>
      </c>
      <c r="AK239" s="22">
        <v>11580</v>
      </c>
      <c r="AL239" s="22">
        <v>18851</v>
      </c>
      <c r="AM239" s="24">
        <v>1683</v>
      </c>
    </row>
    <row r="240" spans="1:39" ht="15.75" thickBot="1">
      <c r="A240" s="36">
        <f t="shared" si="49"/>
        <v>2019</v>
      </c>
      <c r="B240" s="36">
        <f t="shared" si="50"/>
        <v>10</v>
      </c>
      <c r="C240" s="39">
        <v>43744</v>
      </c>
      <c r="D240" s="40" t="s">
        <v>35</v>
      </c>
      <c r="E240" s="37"/>
      <c r="F240" s="19">
        <v>698069</v>
      </c>
      <c r="G240" s="21"/>
      <c r="H240" s="19">
        <v>214455</v>
      </c>
      <c r="I240" s="22">
        <v>173314</v>
      </c>
      <c r="J240" s="22">
        <v>157655</v>
      </c>
      <c r="K240" s="22">
        <v>15659</v>
      </c>
      <c r="L240" s="22">
        <v>39744</v>
      </c>
      <c r="M240" s="23">
        <v>476093</v>
      </c>
      <c r="N240" s="22">
        <v>325135</v>
      </c>
      <c r="O240" s="22">
        <v>194434</v>
      </c>
      <c r="P240" s="22">
        <v>12677</v>
      </c>
      <c r="Q240" s="22">
        <v>54509</v>
      </c>
      <c r="R240" s="22">
        <v>22750</v>
      </c>
      <c r="S240" s="22">
        <v>21710</v>
      </c>
      <c r="T240" s="22">
        <v>19055</v>
      </c>
      <c r="U240" s="22">
        <v>1210</v>
      </c>
      <c r="V240" s="22">
        <v>10691</v>
      </c>
      <c r="W240" s="22">
        <v>8611</v>
      </c>
      <c r="X240" s="22">
        <v>739</v>
      </c>
      <c r="Y240" s="22">
        <v>11971</v>
      </c>
      <c r="Z240" s="22">
        <v>11947</v>
      </c>
      <c r="AA240" s="22">
        <v>16491</v>
      </c>
      <c r="AB240" s="22">
        <v>4129</v>
      </c>
      <c r="AC240" s="22">
        <v>36</v>
      </c>
      <c r="AD240" s="22">
        <v>37398</v>
      </c>
      <c r="AE240" s="22">
        <v>8864</v>
      </c>
      <c r="AF240" s="22">
        <v>7134</v>
      </c>
      <c r="AG240" s="22">
        <v>13423</v>
      </c>
      <c r="AH240" s="22">
        <v>4735</v>
      </c>
      <c r="AI240" s="22">
        <v>22895</v>
      </c>
      <c r="AJ240" s="22">
        <v>10609</v>
      </c>
      <c r="AK240" s="22">
        <v>14785</v>
      </c>
      <c r="AL240" s="22">
        <v>20003</v>
      </c>
      <c r="AM240" s="24">
        <v>7125</v>
      </c>
    </row>
    <row r="241" spans="1:39" ht="15.75" thickBot="1">
      <c r="A241" s="36">
        <f t="shared" si="49"/>
        <v>2019</v>
      </c>
      <c r="B241" s="36">
        <f t="shared" si="50"/>
        <v>11</v>
      </c>
      <c r="C241" s="39">
        <v>43775</v>
      </c>
      <c r="D241" s="40" t="s">
        <v>35</v>
      </c>
      <c r="E241" s="37"/>
      <c r="F241" s="19">
        <v>616041</v>
      </c>
      <c r="G241" s="21"/>
      <c r="H241" s="19">
        <v>120333</v>
      </c>
      <c r="I241" s="22">
        <v>76473</v>
      </c>
      <c r="J241" s="22">
        <v>59227</v>
      </c>
      <c r="K241" s="22">
        <v>17246</v>
      </c>
      <c r="L241" s="22">
        <v>42550</v>
      </c>
      <c r="M241" s="23">
        <v>485456</v>
      </c>
      <c r="N241" s="22">
        <v>337242</v>
      </c>
      <c r="O241" s="22">
        <v>172366</v>
      </c>
      <c r="P241" s="22">
        <v>9198</v>
      </c>
      <c r="Q241" s="22">
        <v>61040</v>
      </c>
      <c r="R241" s="22">
        <v>56232</v>
      </c>
      <c r="S241" s="22">
        <v>22716</v>
      </c>
      <c r="T241" s="22">
        <v>15691</v>
      </c>
      <c r="U241" s="22">
        <v>1972</v>
      </c>
      <c r="V241" s="22">
        <v>8420</v>
      </c>
      <c r="W241" s="22">
        <v>6257</v>
      </c>
      <c r="X241" s="22">
        <v>799</v>
      </c>
      <c r="Y241" s="22">
        <v>7994</v>
      </c>
      <c r="Z241" s="22">
        <v>7969</v>
      </c>
      <c r="AA241" s="22">
        <v>24469</v>
      </c>
      <c r="AB241" s="22">
        <v>2488</v>
      </c>
      <c r="AC241" s="22">
        <v>73</v>
      </c>
      <c r="AD241" s="22">
        <v>32931</v>
      </c>
      <c r="AE241" s="22">
        <v>6227</v>
      </c>
      <c r="AF241" s="22">
        <v>10472</v>
      </c>
      <c r="AG241" s="22">
        <v>10400</v>
      </c>
      <c r="AH241" s="22">
        <v>4264</v>
      </c>
      <c r="AI241" s="22">
        <v>23068</v>
      </c>
      <c r="AJ241" s="22">
        <v>8707</v>
      </c>
      <c r="AK241" s="22">
        <v>18125</v>
      </c>
      <c r="AL241" s="22">
        <v>19166</v>
      </c>
      <c r="AM241" s="24">
        <v>9611</v>
      </c>
    </row>
    <row r="242" spans="1:39" ht="15.75" thickBot="1">
      <c r="A242" s="36">
        <f t="shared" si="49"/>
        <v>2019</v>
      </c>
      <c r="B242" s="36">
        <f t="shared" si="50"/>
        <v>12</v>
      </c>
      <c r="C242" s="39">
        <v>43805</v>
      </c>
      <c r="D242" s="40" t="s">
        <v>35</v>
      </c>
      <c r="E242" s="37"/>
      <c r="F242" s="19">
        <v>606583</v>
      </c>
      <c r="G242" s="21"/>
      <c r="H242" s="19">
        <v>104366</v>
      </c>
      <c r="I242" s="22">
        <v>50769</v>
      </c>
      <c r="J242" s="22">
        <v>45324</v>
      </c>
      <c r="K242" s="22">
        <v>5445</v>
      </c>
      <c r="L242" s="22">
        <v>51548</v>
      </c>
      <c r="M242" s="23">
        <v>497735</v>
      </c>
      <c r="N242" s="22">
        <v>364518</v>
      </c>
      <c r="O242" s="22">
        <v>223676</v>
      </c>
      <c r="P242" s="22">
        <v>8603</v>
      </c>
      <c r="Q242" s="22">
        <v>70936</v>
      </c>
      <c r="R242" s="22">
        <v>26903</v>
      </c>
      <c r="S242" s="22">
        <v>18373</v>
      </c>
      <c r="T242" s="22">
        <v>16027</v>
      </c>
      <c r="U242" s="22">
        <v>2396</v>
      </c>
      <c r="V242" s="22">
        <v>9496</v>
      </c>
      <c r="W242" s="22">
        <v>7483</v>
      </c>
      <c r="X242" s="22">
        <v>773</v>
      </c>
      <c r="Y242" s="22">
        <v>10115</v>
      </c>
      <c r="Z242" s="22">
        <v>10105</v>
      </c>
      <c r="AA242" s="22">
        <v>19823</v>
      </c>
      <c r="AB242" s="22">
        <v>2652</v>
      </c>
      <c r="AC242" s="22">
        <v>3872</v>
      </c>
      <c r="AD242" s="22">
        <v>33887</v>
      </c>
      <c r="AE242" s="22">
        <v>7075</v>
      </c>
      <c r="AF242" s="22">
        <v>7296</v>
      </c>
      <c r="AG242" s="22">
        <v>12333</v>
      </c>
      <c r="AH242" s="22">
        <v>3525</v>
      </c>
      <c r="AI242" s="22">
        <v>20586</v>
      </c>
      <c r="AJ242" s="22">
        <v>8366</v>
      </c>
      <c r="AK242" s="22">
        <v>4635</v>
      </c>
      <c r="AL242" s="22">
        <v>16617</v>
      </c>
      <c r="AM242" s="24">
        <v>3925</v>
      </c>
    </row>
    <row r="243" spans="1:39" ht="15.75" thickBot="1">
      <c r="A243" s="36">
        <f t="shared" si="49"/>
        <v>2020</v>
      </c>
      <c r="B243" s="36">
        <f t="shared" si="50"/>
        <v>1</v>
      </c>
      <c r="C243" s="39">
        <v>43836</v>
      </c>
      <c r="D243" s="40" t="s">
        <v>35</v>
      </c>
      <c r="E243" s="37"/>
      <c r="F243" s="19">
        <v>478298</v>
      </c>
      <c r="G243" s="21"/>
      <c r="H243" s="19">
        <v>67294</v>
      </c>
      <c r="I243" s="22">
        <v>37267</v>
      </c>
      <c r="J243" s="22">
        <v>7603</v>
      </c>
      <c r="K243" s="22">
        <v>29665</v>
      </c>
      <c r="L243" s="22">
        <v>28847</v>
      </c>
      <c r="M243" s="23">
        <v>409662</v>
      </c>
      <c r="N243" s="22">
        <v>283343</v>
      </c>
      <c r="O243" s="22">
        <v>132923</v>
      </c>
      <c r="P243" s="22">
        <v>6109</v>
      </c>
      <c r="Q243" s="22">
        <v>58801</v>
      </c>
      <c r="R243" s="22">
        <v>41976</v>
      </c>
      <c r="S243" s="22">
        <v>23947</v>
      </c>
      <c r="T243" s="22">
        <v>19588</v>
      </c>
      <c r="U243" s="22">
        <v>1155</v>
      </c>
      <c r="V243" s="22">
        <v>16419</v>
      </c>
      <c r="W243" s="22">
        <v>13848</v>
      </c>
      <c r="X243" s="22">
        <v>721</v>
      </c>
      <c r="Y243" s="22">
        <v>8019</v>
      </c>
      <c r="Z243" s="22">
        <v>7957</v>
      </c>
      <c r="AA243" s="22">
        <v>16678</v>
      </c>
      <c r="AB243" s="22">
        <v>1941</v>
      </c>
      <c r="AC243" s="22">
        <v>1</v>
      </c>
      <c r="AD243" s="22">
        <v>28753</v>
      </c>
      <c r="AE243" s="22">
        <v>6915</v>
      </c>
      <c r="AF243" s="22">
        <v>3503</v>
      </c>
      <c r="AG243" s="22">
        <v>11316</v>
      </c>
      <c r="AH243" s="22">
        <v>4088</v>
      </c>
      <c r="AI243" s="22">
        <v>19795</v>
      </c>
      <c r="AJ243" s="22">
        <v>5337</v>
      </c>
      <c r="AK243" s="22">
        <v>15738</v>
      </c>
      <c r="AL243" s="22">
        <v>11762</v>
      </c>
      <c r="AM243" s="24">
        <v>1254</v>
      </c>
    </row>
    <row r="244" spans="1:39" ht="15.75" thickBot="1">
      <c r="A244" s="36">
        <f t="shared" si="49"/>
        <v>2020</v>
      </c>
      <c r="B244" s="36">
        <f t="shared" si="50"/>
        <v>2</v>
      </c>
      <c r="C244" s="39">
        <v>43867</v>
      </c>
      <c r="D244" s="40" t="s">
        <v>35</v>
      </c>
      <c r="E244" s="37"/>
      <c r="F244" s="19">
        <v>480515</v>
      </c>
      <c r="G244" s="21"/>
      <c r="H244" s="19">
        <v>116137</v>
      </c>
      <c r="I244" s="22">
        <v>36542</v>
      </c>
      <c r="J244" s="22">
        <v>30789</v>
      </c>
      <c r="K244" s="22">
        <v>5752</v>
      </c>
      <c r="L244" s="22">
        <v>78759</v>
      </c>
      <c r="M244" s="23">
        <v>363317</v>
      </c>
      <c r="N244" s="22">
        <v>233804</v>
      </c>
      <c r="O244" s="22">
        <v>137667</v>
      </c>
      <c r="P244" s="22">
        <v>7275</v>
      </c>
      <c r="Q244" s="22">
        <v>36975</v>
      </c>
      <c r="R244" s="22">
        <v>30115</v>
      </c>
      <c r="S244" s="22">
        <v>5274</v>
      </c>
      <c r="T244" s="22">
        <v>16498</v>
      </c>
      <c r="U244" s="22">
        <v>1525</v>
      </c>
      <c r="V244" s="22">
        <v>14412</v>
      </c>
      <c r="W244" s="22">
        <v>11501</v>
      </c>
      <c r="X244" s="22">
        <v>794</v>
      </c>
      <c r="Y244" s="22">
        <v>7605</v>
      </c>
      <c r="Z244" s="22">
        <v>7586</v>
      </c>
      <c r="AA244" s="22">
        <v>23005</v>
      </c>
      <c r="AB244" s="22">
        <v>1730</v>
      </c>
      <c r="AC244" s="22">
        <v>3818</v>
      </c>
      <c r="AD244" s="22">
        <v>26600</v>
      </c>
      <c r="AE244" s="22">
        <v>6089</v>
      </c>
      <c r="AF244" s="22">
        <v>2580</v>
      </c>
      <c r="AG244" s="22">
        <v>10807</v>
      </c>
      <c r="AH244" s="22">
        <v>4749</v>
      </c>
      <c r="AI244" s="22">
        <v>14524</v>
      </c>
      <c r="AJ244" s="22">
        <v>11362</v>
      </c>
      <c r="AK244" s="22">
        <v>11126</v>
      </c>
      <c r="AL244" s="22">
        <v>13012</v>
      </c>
      <c r="AM244" s="24">
        <v>540</v>
      </c>
    </row>
    <row r="245" spans="1:39" ht="15.75" thickBot="1">
      <c r="A245" s="36">
        <f t="shared" si="49"/>
        <v>2020</v>
      </c>
      <c r="B245" s="36">
        <f t="shared" si="50"/>
        <v>3</v>
      </c>
      <c r="C245" s="39">
        <v>43896</v>
      </c>
      <c r="D245" s="40" t="s">
        <v>35</v>
      </c>
      <c r="E245" s="37"/>
      <c r="F245" s="19">
        <v>465827</v>
      </c>
      <c r="G245" s="21"/>
      <c r="H245" s="19">
        <v>61915</v>
      </c>
      <c r="I245" s="22">
        <v>20935</v>
      </c>
      <c r="J245" s="22">
        <v>11317</v>
      </c>
      <c r="K245" s="22">
        <v>9618</v>
      </c>
      <c r="L245" s="22">
        <v>40182</v>
      </c>
      <c r="M245" s="23">
        <v>403337</v>
      </c>
      <c r="N245" s="22">
        <v>290903</v>
      </c>
      <c r="O245" s="22">
        <v>187244</v>
      </c>
      <c r="P245" s="22">
        <v>6953</v>
      </c>
      <c r="Q245" s="22">
        <v>39829</v>
      </c>
      <c r="R245" s="22">
        <v>22346</v>
      </c>
      <c r="S245" s="22">
        <v>17177</v>
      </c>
      <c r="T245" s="22">
        <v>17355</v>
      </c>
      <c r="U245" s="22">
        <v>813</v>
      </c>
      <c r="V245" s="22">
        <v>10205</v>
      </c>
      <c r="W245" s="22">
        <v>7834</v>
      </c>
      <c r="X245" s="22">
        <v>705</v>
      </c>
      <c r="Y245" s="22">
        <v>8251</v>
      </c>
      <c r="Z245" s="22">
        <v>8242</v>
      </c>
      <c r="AA245" s="22">
        <v>14553</v>
      </c>
      <c r="AB245" s="22">
        <v>1800</v>
      </c>
      <c r="AC245" s="22">
        <v>182</v>
      </c>
      <c r="AD245" s="22">
        <v>24967</v>
      </c>
      <c r="AE245" s="22">
        <v>6895</v>
      </c>
      <c r="AF245" s="22">
        <v>1257</v>
      </c>
      <c r="AG245" s="22">
        <v>9701</v>
      </c>
      <c r="AH245" s="22">
        <v>4612</v>
      </c>
      <c r="AI245" s="22">
        <v>20079</v>
      </c>
      <c r="AJ245" s="22">
        <v>7819</v>
      </c>
      <c r="AK245" s="22">
        <v>9985</v>
      </c>
      <c r="AL245" s="22">
        <v>13075</v>
      </c>
      <c r="AM245" s="24">
        <v>437</v>
      </c>
    </row>
    <row r="246" spans="1:39" ht="15.75" thickBot="1">
      <c r="A246" s="36">
        <f t="shared" si="49"/>
        <v>2020</v>
      </c>
      <c r="B246" s="36">
        <f t="shared" si="50"/>
        <v>4</v>
      </c>
      <c r="C246" s="39">
        <v>43927</v>
      </c>
      <c r="D246" s="40" t="s">
        <v>35</v>
      </c>
      <c r="E246" s="37"/>
      <c r="F246" s="19">
        <v>483129</v>
      </c>
      <c r="G246" s="21"/>
      <c r="H246" s="19">
        <v>183448</v>
      </c>
      <c r="I246" s="22">
        <v>122125</v>
      </c>
      <c r="J246" s="22">
        <v>102430</v>
      </c>
      <c r="K246" s="22">
        <v>19696</v>
      </c>
      <c r="L246" s="22">
        <v>60570</v>
      </c>
      <c r="M246" s="23">
        <v>298610</v>
      </c>
      <c r="N246" s="22">
        <v>208065</v>
      </c>
      <c r="O246" s="22">
        <v>124881</v>
      </c>
      <c r="P246" s="22">
        <v>4634</v>
      </c>
      <c r="Q246" s="22">
        <v>42393</v>
      </c>
      <c r="R246" s="22">
        <v>20793</v>
      </c>
      <c r="S246" s="22">
        <v>1238</v>
      </c>
      <c r="T246" s="22">
        <v>14126</v>
      </c>
      <c r="U246" s="22">
        <v>169</v>
      </c>
      <c r="V246" s="22">
        <v>6143</v>
      </c>
      <c r="W246" s="22">
        <v>4039</v>
      </c>
      <c r="X246" s="22">
        <v>545</v>
      </c>
      <c r="Y246" s="22">
        <v>7237</v>
      </c>
      <c r="Z246" s="22">
        <v>7237</v>
      </c>
      <c r="AA246" s="22">
        <v>19623</v>
      </c>
      <c r="AB246" s="22">
        <v>2908</v>
      </c>
      <c r="AC246" s="22">
        <v>0</v>
      </c>
      <c r="AD246" s="22">
        <v>26736</v>
      </c>
      <c r="AE246" s="22">
        <v>4756</v>
      </c>
      <c r="AF246" s="22">
        <v>1220</v>
      </c>
      <c r="AG246" s="22">
        <v>14528</v>
      </c>
      <c r="AH246" s="22">
        <v>5226</v>
      </c>
      <c r="AI246" s="22">
        <v>14527</v>
      </c>
      <c r="AJ246" s="22">
        <v>2662</v>
      </c>
      <c r="AK246" s="22">
        <v>4363</v>
      </c>
      <c r="AL246" s="22">
        <v>5632</v>
      </c>
      <c r="AM246" s="24">
        <v>1000</v>
      </c>
    </row>
    <row r="247" spans="1:39" ht="15.75" thickBot="1">
      <c r="A247" s="36">
        <f t="shared" si="49"/>
        <v>2020</v>
      </c>
      <c r="B247" s="36">
        <f t="shared" si="50"/>
        <v>5</v>
      </c>
      <c r="C247" s="39">
        <v>43957</v>
      </c>
      <c r="D247" s="40" t="s">
        <v>35</v>
      </c>
      <c r="E247" s="37"/>
      <c r="F247" s="19">
        <v>594474</v>
      </c>
      <c r="G247" s="21"/>
      <c r="H247" s="19">
        <v>254826</v>
      </c>
      <c r="I247" s="22">
        <v>202785</v>
      </c>
      <c r="J247" s="22">
        <v>199082</v>
      </c>
      <c r="K247" s="22">
        <v>3703</v>
      </c>
      <c r="L247" s="22">
        <v>51743</v>
      </c>
      <c r="M247" s="23">
        <v>338626</v>
      </c>
      <c r="N247" s="22">
        <v>255051</v>
      </c>
      <c r="O247" s="22">
        <v>150098</v>
      </c>
      <c r="P247" s="22">
        <v>4883</v>
      </c>
      <c r="Q247" s="22">
        <v>41594</v>
      </c>
      <c r="R247" s="22">
        <v>42712</v>
      </c>
      <c r="S247" s="22">
        <v>6008</v>
      </c>
      <c r="T247" s="22">
        <v>9757</v>
      </c>
      <c r="U247" s="22">
        <v>1396</v>
      </c>
      <c r="V247" s="22">
        <v>5562</v>
      </c>
      <c r="W247" s="22">
        <v>3483</v>
      </c>
      <c r="X247" s="22">
        <v>1307</v>
      </c>
      <c r="Y247" s="22">
        <v>5618</v>
      </c>
      <c r="Z247" s="22">
        <v>5595</v>
      </c>
      <c r="AA247" s="22">
        <v>12521</v>
      </c>
      <c r="AB247" s="22">
        <v>2538</v>
      </c>
      <c r="AC247" s="22">
        <v>0</v>
      </c>
      <c r="AD247" s="22">
        <v>26810</v>
      </c>
      <c r="AE247" s="22">
        <v>4246</v>
      </c>
      <c r="AF247" s="22">
        <v>2767</v>
      </c>
      <c r="AG247" s="22">
        <v>14350</v>
      </c>
      <c r="AH247" s="22">
        <v>4274</v>
      </c>
      <c r="AI247" s="22">
        <v>15659</v>
      </c>
      <c r="AJ247" s="22">
        <v>3490</v>
      </c>
      <c r="AK247" s="22">
        <v>1499</v>
      </c>
      <c r="AL247" s="22">
        <v>7174</v>
      </c>
      <c r="AM247" s="24">
        <v>972</v>
      </c>
    </row>
    <row r="248" spans="1:39" ht="15.75" thickBot="1">
      <c r="A248" s="36">
        <f t="shared" si="49"/>
        <v>2020</v>
      </c>
      <c r="B248" s="36">
        <f t="shared" si="50"/>
        <v>6</v>
      </c>
      <c r="C248" s="39">
        <v>43988</v>
      </c>
      <c r="D248" s="40" t="s">
        <v>35</v>
      </c>
      <c r="E248" s="37"/>
      <c r="F248" s="19">
        <v>626682</v>
      </c>
      <c r="G248" s="21"/>
      <c r="H248" s="19">
        <v>224892</v>
      </c>
      <c r="I248" s="22">
        <v>150805</v>
      </c>
      <c r="J248" s="22">
        <v>133415</v>
      </c>
      <c r="K248" s="22">
        <v>17390</v>
      </c>
      <c r="L248" s="22">
        <v>73589</v>
      </c>
      <c r="M248" s="23">
        <v>399872</v>
      </c>
      <c r="N248" s="22">
        <v>305986</v>
      </c>
      <c r="O248" s="22">
        <v>158165</v>
      </c>
      <c r="P248" s="22">
        <v>10658</v>
      </c>
      <c r="Q248" s="22">
        <v>51772</v>
      </c>
      <c r="R248" s="22">
        <v>44231</v>
      </c>
      <c r="S248" s="22">
        <v>24853</v>
      </c>
      <c r="T248" s="22">
        <v>16307</v>
      </c>
      <c r="U248" s="22">
        <v>303</v>
      </c>
      <c r="V248" s="22">
        <v>6735</v>
      </c>
      <c r="W248" s="22">
        <v>4551</v>
      </c>
      <c r="X248" s="22">
        <v>1032</v>
      </c>
      <c r="Y248" s="22">
        <v>2700</v>
      </c>
      <c r="Z248" s="22">
        <v>2696</v>
      </c>
      <c r="AA248" s="22">
        <v>13366</v>
      </c>
      <c r="AB248" s="22">
        <v>2995</v>
      </c>
      <c r="AC248" s="22">
        <v>43</v>
      </c>
      <c r="AD248" s="22">
        <v>29580</v>
      </c>
      <c r="AE248" s="22">
        <v>5590</v>
      </c>
      <c r="AF248" s="22">
        <v>2569</v>
      </c>
      <c r="AG248" s="22">
        <v>14855</v>
      </c>
      <c r="AH248" s="22">
        <v>4927</v>
      </c>
      <c r="AI248" s="22">
        <v>17295</v>
      </c>
      <c r="AJ248" s="22">
        <v>6659</v>
      </c>
      <c r="AK248" s="22">
        <v>4093</v>
      </c>
      <c r="AL248" s="22">
        <v>9085</v>
      </c>
      <c r="AM248" s="24">
        <v>1863</v>
      </c>
    </row>
    <row r="249" spans="1:39" ht="15.75" thickBot="1">
      <c r="A249" s="36">
        <f t="shared" si="49"/>
        <v>2020</v>
      </c>
      <c r="B249" s="36">
        <f t="shared" si="50"/>
        <v>7</v>
      </c>
      <c r="C249" s="39">
        <v>44018</v>
      </c>
      <c r="D249" s="40" t="s">
        <v>35</v>
      </c>
      <c r="E249" s="37"/>
      <c r="F249" s="19">
        <v>517859</v>
      </c>
      <c r="G249" s="21"/>
      <c r="H249" s="19">
        <v>118609</v>
      </c>
      <c r="I249" s="22">
        <v>75827</v>
      </c>
      <c r="J249" s="22">
        <v>71945</v>
      </c>
      <c r="K249" s="22">
        <v>3882</v>
      </c>
      <c r="L249" s="22">
        <v>42038</v>
      </c>
      <c r="M249" s="23">
        <v>385852</v>
      </c>
      <c r="N249" s="22">
        <v>269892</v>
      </c>
      <c r="O249" s="22">
        <v>137576</v>
      </c>
      <c r="P249" s="22">
        <v>10840</v>
      </c>
      <c r="Q249" s="22">
        <v>61409</v>
      </c>
      <c r="R249" s="22">
        <v>32020</v>
      </c>
      <c r="S249" s="22">
        <v>13098</v>
      </c>
      <c r="T249" s="22">
        <v>14949</v>
      </c>
      <c r="U249" s="22">
        <v>1114</v>
      </c>
      <c r="V249" s="22">
        <v>6014</v>
      </c>
      <c r="W249" s="22">
        <v>4063</v>
      </c>
      <c r="X249" s="22">
        <v>1241</v>
      </c>
      <c r="Y249" s="22">
        <v>5441</v>
      </c>
      <c r="Z249" s="22">
        <v>5416</v>
      </c>
      <c r="AA249" s="22">
        <v>14851</v>
      </c>
      <c r="AB249" s="22">
        <v>3502</v>
      </c>
      <c r="AC249" s="22">
        <v>336</v>
      </c>
      <c r="AD249" s="22">
        <v>31579</v>
      </c>
      <c r="AE249" s="22">
        <v>5891</v>
      </c>
      <c r="AF249" s="22">
        <v>3203</v>
      </c>
      <c r="AG249" s="22">
        <v>14907</v>
      </c>
      <c r="AH249" s="22">
        <v>5630</v>
      </c>
      <c r="AI249" s="22">
        <v>15459</v>
      </c>
      <c r="AJ249" s="22">
        <v>5502</v>
      </c>
      <c r="AK249" s="22">
        <v>14834</v>
      </c>
      <c r="AL249" s="22">
        <v>16090</v>
      </c>
      <c r="AM249" s="24">
        <v>13283</v>
      </c>
    </row>
    <row r="250" spans="1:39" ht="15.75" thickBot="1">
      <c r="A250" s="36">
        <f t="shared" si="49"/>
        <v>2020</v>
      </c>
      <c r="B250" s="36">
        <f t="shared" si="50"/>
        <v>8</v>
      </c>
      <c r="C250" s="39">
        <v>44049</v>
      </c>
      <c r="D250" s="40" t="s">
        <v>35</v>
      </c>
      <c r="E250" s="37"/>
      <c r="F250" s="19">
        <v>668967</v>
      </c>
      <c r="G250" s="21"/>
      <c r="H250" s="19">
        <v>273499</v>
      </c>
      <c r="I250" s="22">
        <v>191223</v>
      </c>
      <c r="J250" s="22">
        <v>187274</v>
      </c>
      <c r="K250" s="22">
        <v>3950</v>
      </c>
      <c r="L250" s="22">
        <v>81214</v>
      </c>
      <c r="M250" s="23">
        <v>393993</v>
      </c>
      <c r="N250" s="22">
        <v>285529</v>
      </c>
      <c r="O250" s="22">
        <v>147068</v>
      </c>
      <c r="P250" s="22">
        <v>11764</v>
      </c>
      <c r="Q250" s="22">
        <v>58040</v>
      </c>
      <c r="R250" s="22">
        <v>33345</v>
      </c>
      <c r="S250" s="22">
        <v>18730</v>
      </c>
      <c r="T250" s="22">
        <v>16582</v>
      </c>
      <c r="U250" s="22">
        <v>1495</v>
      </c>
      <c r="V250" s="22">
        <v>7816</v>
      </c>
      <c r="W250" s="22">
        <v>5516</v>
      </c>
      <c r="X250" s="22">
        <v>323</v>
      </c>
      <c r="Y250" s="22">
        <v>4614</v>
      </c>
      <c r="Z250" s="22">
        <v>4601</v>
      </c>
      <c r="AA250" s="22">
        <v>14812</v>
      </c>
      <c r="AB250" s="22">
        <v>3486</v>
      </c>
      <c r="AC250" s="22">
        <v>319</v>
      </c>
      <c r="AD250" s="22">
        <v>29886</v>
      </c>
      <c r="AE250" s="22">
        <v>6980</v>
      </c>
      <c r="AF250" s="22">
        <v>3647</v>
      </c>
      <c r="AG250" s="22">
        <v>12309</v>
      </c>
      <c r="AH250" s="22">
        <v>5047</v>
      </c>
      <c r="AI250" s="22">
        <v>16841</v>
      </c>
      <c r="AJ250" s="22">
        <v>6725</v>
      </c>
      <c r="AK250" s="22">
        <v>8251</v>
      </c>
      <c r="AL250" s="22">
        <v>13896</v>
      </c>
      <c r="AM250" s="24">
        <v>1358</v>
      </c>
    </row>
    <row r="251" spans="1:39" ht="15.75" thickBot="1">
      <c r="A251" s="36">
        <f t="shared" si="49"/>
        <v>2020</v>
      </c>
      <c r="B251" s="36">
        <f t="shared" si="50"/>
        <v>9</v>
      </c>
      <c r="C251" s="39">
        <v>44080</v>
      </c>
      <c r="D251" s="40" t="s">
        <v>35</v>
      </c>
      <c r="E251" s="37"/>
      <c r="F251" s="19">
        <v>646562</v>
      </c>
      <c r="G251" s="21"/>
      <c r="H251" s="19">
        <v>194558</v>
      </c>
      <c r="I251" s="22">
        <v>141816</v>
      </c>
      <c r="J251" s="22">
        <v>122601</v>
      </c>
      <c r="K251" s="22">
        <v>19214</v>
      </c>
      <c r="L251" s="22">
        <v>51634</v>
      </c>
      <c r="M251" s="23">
        <v>451027</v>
      </c>
      <c r="N251" s="22">
        <v>326904</v>
      </c>
      <c r="O251" s="22">
        <v>166443</v>
      </c>
      <c r="P251" s="22">
        <v>12928</v>
      </c>
      <c r="Q251" s="22">
        <v>62481</v>
      </c>
      <c r="R251" s="22">
        <v>38926</v>
      </c>
      <c r="S251" s="22">
        <v>25761</v>
      </c>
      <c r="T251" s="22">
        <v>20364</v>
      </c>
      <c r="U251" s="22">
        <v>733</v>
      </c>
      <c r="V251" s="22">
        <v>7582</v>
      </c>
      <c r="W251" s="22">
        <v>5155</v>
      </c>
      <c r="X251" s="22">
        <v>244</v>
      </c>
      <c r="Y251" s="22">
        <v>5053</v>
      </c>
      <c r="Z251" s="22">
        <v>5044</v>
      </c>
      <c r="AA251" s="22">
        <v>16077</v>
      </c>
      <c r="AB251" s="22">
        <v>2676</v>
      </c>
      <c r="AC251" s="22">
        <v>289</v>
      </c>
      <c r="AD251" s="22">
        <v>36673</v>
      </c>
      <c r="AE251" s="22">
        <v>7884</v>
      </c>
      <c r="AF251" s="22">
        <v>6627</v>
      </c>
      <c r="AG251" s="22">
        <v>14753</v>
      </c>
      <c r="AH251" s="22">
        <v>4667</v>
      </c>
      <c r="AI251" s="22">
        <v>19464</v>
      </c>
      <c r="AJ251" s="22">
        <v>6901</v>
      </c>
      <c r="AK251" s="22">
        <v>10790</v>
      </c>
      <c r="AL251" s="22">
        <v>17643</v>
      </c>
      <c r="AM251" s="24">
        <v>717</v>
      </c>
    </row>
    <row r="252" spans="1:39" ht="15.75" thickBot="1">
      <c r="A252" s="36">
        <f t="shared" si="49"/>
        <v>2020</v>
      </c>
      <c r="B252" s="36">
        <f t="shared" si="50"/>
        <v>10</v>
      </c>
      <c r="C252" s="39">
        <v>44110</v>
      </c>
      <c r="D252" s="40" t="s">
        <v>35</v>
      </c>
      <c r="E252" s="37"/>
      <c r="F252" s="19">
        <v>697975</v>
      </c>
      <c r="G252" s="21"/>
      <c r="H252" s="19">
        <v>210206</v>
      </c>
      <c r="I252" s="22">
        <v>152381</v>
      </c>
      <c r="J252" s="22">
        <v>138227</v>
      </c>
      <c r="K252" s="22">
        <v>14154</v>
      </c>
      <c r="L252" s="22">
        <v>56998</v>
      </c>
      <c r="M252" s="23">
        <v>472228</v>
      </c>
      <c r="N252" s="22">
        <v>333593</v>
      </c>
      <c r="O252" s="22">
        <v>174586</v>
      </c>
      <c r="P252" s="22">
        <v>7365</v>
      </c>
      <c r="Q252" s="22">
        <v>71408</v>
      </c>
      <c r="R252" s="22">
        <v>37057</v>
      </c>
      <c r="S252" s="22">
        <v>21206</v>
      </c>
      <c r="T252" s="22">
        <v>21971</v>
      </c>
      <c r="U252" s="22">
        <v>762</v>
      </c>
      <c r="V252" s="22">
        <v>8973</v>
      </c>
      <c r="W252" s="22">
        <v>6481</v>
      </c>
      <c r="X252" s="22">
        <v>439</v>
      </c>
      <c r="Y252" s="22">
        <v>7869</v>
      </c>
      <c r="Z252" s="22">
        <v>7869</v>
      </c>
      <c r="AA252" s="22">
        <v>18711</v>
      </c>
      <c r="AB252" s="22">
        <v>2852</v>
      </c>
      <c r="AC252" s="22">
        <v>306</v>
      </c>
      <c r="AD252" s="22">
        <v>42339</v>
      </c>
      <c r="AE252" s="22">
        <v>8918</v>
      </c>
      <c r="AF252" s="22">
        <v>7033</v>
      </c>
      <c r="AG252" s="22">
        <v>16449</v>
      </c>
      <c r="AH252" s="22">
        <v>5082</v>
      </c>
      <c r="AI252" s="22">
        <v>21074</v>
      </c>
      <c r="AJ252" s="22">
        <v>8419</v>
      </c>
      <c r="AK252" s="22">
        <v>8980</v>
      </c>
      <c r="AL252" s="22">
        <v>17912</v>
      </c>
      <c r="AM252" s="24">
        <v>14570</v>
      </c>
    </row>
    <row r="253" spans="1:39" ht="15.75" thickBot="1">
      <c r="A253" s="36">
        <f t="shared" si="49"/>
        <v>2020</v>
      </c>
      <c r="B253" s="36">
        <f t="shared" si="50"/>
        <v>11</v>
      </c>
      <c r="C253" s="39">
        <v>44141</v>
      </c>
      <c r="D253" s="40" t="s">
        <v>35</v>
      </c>
      <c r="E253" s="37"/>
      <c r="F253" s="19">
        <v>599011</v>
      </c>
      <c r="G253" s="21"/>
      <c r="H253" s="19">
        <v>74464</v>
      </c>
      <c r="I253" s="22">
        <v>16753</v>
      </c>
      <c r="J253" s="22">
        <v>6659</v>
      </c>
      <c r="K253" s="22">
        <v>10094</v>
      </c>
      <c r="L253" s="22">
        <v>56475</v>
      </c>
      <c r="M253" s="23">
        <v>493836</v>
      </c>
      <c r="N253" s="22">
        <v>354727</v>
      </c>
      <c r="O253" s="22">
        <v>213431</v>
      </c>
      <c r="P253" s="22">
        <v>7144</v>
      </c>
      <c r="Q253" s="22">
        <v>59184</v>
      </c>
      <c r="R253" s="22">
        <v>40007</v>
      </c>
      <c r="S253" s="22">
        <v>15561</v>
      </c>
      <c r="T253" s="22">
        <v>19400</v>
      </c>
      <c r="U253" s="22">
        <v>1394</v>
      </c>
      <c r="V253" s="22">
        <v>7727</v>
      </c>
      <c r="W253" s="22">
        <v>5548</v>
      </c>
      <c r="X253" s="22">
        <v>650</v>
      </c>
      <c r="Y253" s="22">
        <v>8482</v>
      </c>
      <c r="Z253" s="22">
        <v>8464</v>
      </c>
      <c r="AA253" s="22">
        <v>16841</v>
      </c>
      <c r="AB253" s="22">
        <v>2423</v>
      </c>
      <c r="AC253" s="22">
        <v>326</v>
      </c>
      <c r="AD253" s="22">
        <v>39839</v>
      </c>
      <c r="AE253" s="22">
        <v>9920</v>
      </c>
      <c r="AF253" s="22">
        <v>6280</v>
      </c>
      <c r="AG253" s="22">
        <v>15965</v>
      </c>
      <c r="AH253" s="22">
        <v>4489</v>
      </c>
      <c r="AI253" s="22">
        <v>24246</v>
      </c>
      <c r="AJ253" s="22">
        <v>6776</v>
      </c>
      <c r="AK253" s="22">
        <v>12333</v>
      </c>
      <c r="AL253" s="22">
        <v>18072</v>
      </c>
      <c r="AM253" s="24">
        <v>29794</v>
      </c>
    </row>
    <row r="254" spans="1:39" ht="15.75" thickBot="1">
      <c r="A254" s="36">
        <f t="shared" si="49"/>
        <v>2020</v>
      </c>
      <c r="B254" s="36">
        <f t="shared" si="50"/>
        <v>12</v>
      </c>
      <c r="C254" s="39">
        <v>44171</v>
      </c>
      <c r="D254" s="40" t="s">
        <v>35</v>
      </c>
      <c r="E254" s="37"/>
      <c r="F254" s="19">
        <v>604657</v>
      </c>
      <c r="G254" s="21"/>
      <c r="H254" s="19">
        <v>113235</v>
      </c>
      <c r="I254" s="22">
        <v>55248</v>
      </c>
      <c r="J254" s="22">
        <v>31878</v>
      </c>
      <c r="K254" s="22">
        <v>23370</v>
      </c>
      <c r="L254" s="22">
        <v>56499</v>
      </c>
      <c r="M254" s="23">
        <v>477752</v>
      </c>
      <c r="N254" s="22">
        <v>343027</v>
      </c>
      <c r="O254" s="22">
        <v>216474</v>
      </c>
      <c r="P254" s="22">
        <v>6340</v>
      </c>
      <c r="Q254" s="22">
        <v>56335</v>
      </c>
      <c r="R254" s="22">
        <v>28286</v>
      </c>
      <c r="S254" s="22">
        <v>16182</v>
      </c>
      <c r="T254" s="22">
        <v>19411</v>
      </c>
      <c r="U254" s="22">
        <v>1475</v>
      </c>
      <c r="V254" s="22">
        <v>11678</v>
      </c>
      <c r="W254" s="22">
        <v>9133</v>
      </c>
      <c r="X254" s="22">
        <v>791</v>
      </c>
      <c r="Y254" s="22">
        <v>9158</v>
      </c>
      <c r="Z254" s="22">
        <v>9155</v>
      </c>
      <c r="AA254" s="22">
        <v>17490</v>
      </c>
      <c r="AB254" s="22">
        <v>2293</v>
      </c>
      <c r="AC254" s="22">
        <v>197</v>
      </c>
      <c r="AD254" s="22">
        <v>36693</v>
      </c>
      <c r="AE254" s="22">
        <v>9882</v>
      </c>
      <c r="AF254" s="22">
        <v>5061</v>
      </c>
      <c r="AG254" s="22">
        <v>14527</v>
      </c>
      <c r="AH254" s="22">
        <v>3097</v>
      </c>
      <c r="AI254" s="22">
        <v>21633</v>
      </c>
      <c r="AJ254" s="22">
        <v>7171</v>
      </c>
      <c r="AK254" s="22">
        <v>10695</v>
      </c>
      <c r="AL254" s="22">
        <v>15452</v>
      </c>
      <c r="AM254" s="24">
        <v>13324</v>
      </c>
    </row>
    <row r="255" spans="1:39" ht="15.75" thickBot="1">
      <c r="A255" s="36">
        <f t="shared" si="49"/>
        <v>2021</v>
      </c>
      <c r="B255" s="36">
        <f t="shared" si="50"/>
        <v>1</v>
      </c>
      <c r="C255" s="39">
        <v>44202</v>
      </c>
      <c r="D255" s="40" t="s">
        <v>35</v>
      </c>
      <c r="E255" s="37"/>
      <c r="F255" s="19">
        <v>565351</v>
      </c>
      <c r="G255" s="21"/>
      <c r="H255" s="19">
        <v>129707</v>
      </c>
      <c r="I255" s="22">
        <v>76519</v>
      </c>
      <c r="J255" s="22">
        <v>43440</v>
      </c>
      <c r="K255" s="22">
        <v>33079</v>
      </c>
      <c r="L255" s="22">
        <v>52499</v>
      </c>
      <c r="M255" s="23">
        <v>403106</v>
      </c>
      <c r="N255" s="22">
        <v>294178</v>
      </c>
      <c r="O255" s="22">
        <v>157169</v>
      </c>
      <c r="P255" s="22">
        <v>5531</v>
      </c>
      <c r="Q255" s="22">
        <v>60492</v>
      </c>
      <c r="R255" s="22">
        <v>29777</v>
      </c>
      <c r="S255" s="22">
        <v>17192</v>
      </c>
      <c r="T255" s="22">
        <v>24017</v>
      </c>
      <c r="U255" s="22">
        <v>412</v>
      </c>
      <c r="V255" s="22">
        <v>7219</v>
      </c>
      <c r="W255" s="22">
        <v>5260</v>
      </c>
      <c r="X255" s="22">
        <v>613</v>
      </c>
      <c r="Y255" s="22">
        <v>9165</v>
      </c>
      <c r="Z255" s="22">
        <v>9161</v>
      </c>
      <c r="AA255" s="22">
        <v>15656</v>
      </c>
      <c r="AB255" s="22">
        <v>2428</v>
      </c>
      <c r="AC255" s="22">
        <v>97</v>
      </c>
      <c r="AD255" s="22">
        <v>32162</v>
      </c>
      <c r="AE255" s="22">
        <v>8004</v>
      </c>
      <c r="AF255" s="22">
        <v>2455</v>
      </c>
      <c r="AG255" s="22">
        <v>13724</v>
      </c>
      <c r="AH255" s="22">
        <v>3794</v>
      </c>
      <c r="AI255" s="22">
        <v>16802</v>
      </c>
      <c r="AJ255" s="22">
        <v>4997</v>
      </c>
      <c r="AK255" s="22">
        <v>6990</v>
      </c>
      <c r="AL255" s="22">
        <v>12387</v>
      </c>
      <c r="AM255" s="24">
        <v>32297</v>
      </c>
    </row>
    <row r="256" spans="1:39" ht="15.75" thickBot="1">
      <c r="A256" s="36">
        <f t="shared" si="49"/>
        <v>2021</v>
      </c>
      <c r="B256" s="36">
        <f t="shared" si="50"/>
        <v>2</v>
      </c>
      <c r="C256" s="39">
        <v>44233</v>
      </c>
      <c r="D256" s="40" t="s">
        <v>35</v>
      </c>
      <c r="E256" s="37"/>
      <c r="F256" s="19">
        <v>586922</v>
      </c>
      <c r="G256" s="21"/>
      <c r="H256" s="19">
        <v>142564</v>
      </c>
      <c r="I256" s="22">
        <v>63591</v>
      </c>
      <c r="J256" s="22">
        <v>50808</v>
      </c>
      <c r="K256" s="22">
        <v>12783</v>
      </c>
      <c r="L256" s="22">
        <v>78115</v>
      </c>
      <c r="M256" s="23">
        <v>429252</v>
      </c>
      <c r="N256" s="22">
        <v>294752</v>
      </c>
      <c r="O256" s="22">
        <v>182183</v>
      </c>
      <c r="P256" s="22">
        <v>4682</v>
      </c>
      <c r="Q256" s="22">
        <v>52019</v>
      </c>
      <c r="R256" s="22">
        <v>20657</v>
      </c>
      <c r="S256" s="22">
        <v>10916</v>
      </c>
      <c r="T256" s="22">
        <v>24294</v>
      </c>
      <c r="U256" s="22">
        <v>368</v>
      </c>
      <c r="V256" s="22">
        <v>14931</v>
      </c>
      <c r="W256" s="22">
        <v>12111</v>
      </c>
      <c r="X256" s="22">
        <v>543</v>
      </c>
      <c r="Y256" s="22">
        <v>10554</v>
      </c>
      <c r="Z256" s="22">
        <v>10554</v>
      </c>
      <c r="AA256" s="22">
        <v>25186</v>
      </c>
      <c r="AB256" s="22">
        <v>1621</v>
      </c>
      <c r="AC256" s="22">
        <v>134</v>
      </c>
      <c r="AD256" s="22">
        <v>36294</v>
      </c>
      <c r="AE256" s="22">
        <v>9080</v>
      </c>
      <c r="AF256" s="22">
        <v>4082</v>
      </c>
      <c r="AG256" s="22">
        <v>13716</v>
      </c>
      <c r="AH256" s="22">
        <v>6221</v>
      </c>
      <c r="AI256" s="22">
        <v>17887</v>
      </c>
      <c r="AJ256" s="22">
        <v>6961</v>
      </c>
      <c r="AK256" s="22">
        <v>9671</v>
      </c>
      <c r="AL256" s="22">
        <v>10350</v>
      </c>
      <c r="AM256" s="24">
        <v>14554</v>
      </c>
    </row>
    <row r="257" spans="1:39" ht="15.75" thickBot="1">
      <c r="A257" s="36">
        <f t="shared" si="49"/>
        <v>2021</v>
      </c>
      <c r="B257" s="36">
        <f t="shared" si="50"/>
        <v>3</v>
      </c>
      <c r="C257" s="39">
        <v>44261</v>
      </c>
      <c r="D257" s="40" t="s">
        <v>35</v>
      </c>
      <c r="E257" s="37"/>
      <c r="F257" s="19">
        <v>619952</v>
      </c>
      <c r="G257" s="21"/>
      <c r="H257" s="19">
        <v>139720</v>
      </c>
      <c r="I257" s="22">
        <v>101304</v>
      </c>
      <c r="J257" s="22">
        <v>73339</v>
      </c>
      <c r="K257" s="22">
        <v>27965</v>
      </c>
      <c r="L257" s="22">
        <v>36971</v>
      </c>
      <c r="M257" s="23">
        <v>478133</v>
      </c>
      <c r="N257" s="22">
        <v>329023</v>
      </c>
      <c r="O257" s="22">
        <v>227758</v>
      </c>
      <c r="P257" s="22">
        <v>6123</v>
      </c>
      <c r="Q257" s="22">
        <v>45203</v>
      </c>
      <c r="R257" s="22">
        <v>9733</v>
      </c>
      <c r="S257" s="22">
        <v>16718</v>
      </c>
      <c r="T257" s="22">
        <v>23488</v>
      </c>
      <c r="U257" s="22">
        <v>1019</v>
      </c>
      <c r="V257" s="22">
        <v>13635</v>
      </c>
      <c r="W257" s="22">
        <v>10767</v>
      </c>
      <c r="X257" s="22">
        <v>678</v>
      </c>
      <c r="Y257" s="22">
        <v>9499</v>
      </c>
      <c r="Z257" s="22">
        <v>9459</v>
      </c>
      <c r="AA257" s="22">
        <v>25632</v>
      </c>
      <c r="AB257" s="22">
        <v>2528</v>
      </c>
      <c r="AC257" s="22">
        <v>342</v>
      </c>
      <c r="AD257" s="22">
        <v>34051</v>
      </c>
      <c r="AE257" s="22">
        <v>9617</v>
      </c>
      <c r="AF257" s="22">
        <v>2315</v>
      </c>
      <c r="AG257" s="22">
        <v>12854</v>
      </c>
      <c r="AH257" s="22">
        <v>5767</v>
      </c>
      <c r="AI257" s="22">
        <v>20364</v>
      </c>
      <c r="AJ257" s="22">
        <v>8344</v>
      </c>
      <c r="AK257" s="22">
        <v>18069</v>
      </c>
      <c r="AL257" s="22">
        <v>14949</v>
      </c>
      <c r="AM257" s="24">
        <v>2051</v>
      </c>
    </row>
    <row r="258" spans="1:39" ht="15.75" thickBot="1">
      <c r="A258" s="36">
        <f t="shared" si="49"/>
        <v>2021</v>
      </c>
      <c r="B258" s="36">
        <f t="shared" si="50"/>
        <v>4</v>
      </c>
      <c r="C258" s="39">
        <v>44292</v>
      </c>
      <c r="D258" s="40" t="s">
        <v>35</v>
      </c>
      <c r="E258" s="37"/>
      <c r="F258" s="19">
        <v>586720</v>
      </c>
      <c r="G258" s="21"/>
      <c r="H258" s="19">
        <v>152089</v>
      </c>
      <c r="I258" s="22">
        <v>74461</v>
      </c>
      <c r="J258" s="22">
        <v>63491</v>
      </c>
      <c r="K258" s="22">
        <v>10970</v>
      </c>
      <c r="L258" s="22">
        <v>76162</v>
      </c>
      <c r="M258" s="23">
        <v>431125</v>
      </c>
      <c r="N258" s="22">
        <v>293061</v>
      </c>
      <c r="O258" s="22">
        <v>194258</v>
      </c>
      <c r="P258" s="22">
        <v>4666</v>
      </c>
      <c r="Q258" s="22">
        <v>44665</v>
      </c>
      <c r="R258" s="22">
        <v>15619</v>
      </c>
      <c r="S258" s="22">
        <v>12751</v>
      </c>
      <c r="T258" s="22">
        <v>21101</v>
      </c>
      <c r="U258" s="22">
        <v>897</v>
      </c>
      <c r="V258" s="22">
        <v>14192</v>
      </c>
      <c r="W258" s="22">
        <v>11254</v>
      </c>
      <c r="X258" s="22">
        <v>773</v>
      </c>
      <c r="Y258" s="22">
        <v>10947</v>
      </c>
      <c r="Z258" s="22">
        <v>10943</v>
      </c>
      <c r="AA258" s="22">
        <v>26924</v>
      </c>
      <c r="AB258" s="22">
        <v>4148</v>
      </c>
      <c r="AC258" s="22">
        <v>0</v>
      </c>
      <c r="AD258" s="22">
        <v>34525</v>
      </c>
      <c r="AE258" s="22">
        <v>8157</v>
      </c>
      <c r="AF258" s="22">
        <v>1871</v>
      </c>
      <c r="AG258" s="22">
        <v>16504</v>
      </c>
      <c r="AH258" s="22">
        <v>5509</v>
      </c>
      <c r="AI258" s="22">
        <v>20462</v>
      </c>
      <c r="AJ258" s="22">
        <v>7679</v>
      </c>
      <c r="AK258" s="22">
        <v>3037</v>
      </c>
      <c r="AL258" s="22">
        <v>14478</v>
      </c>
      <c r="AM258" s="24">
        <v>3258</v>
      </c>
    </row>
    <row r="259" spans="1:39" ht="15.75" thickBot="1">
      <c r="A259" s="36">
        <f t="shared" si="49"/>
        <v>2021</v>
      </c>
      <c r="B259" s="36">
        <f t="shared" si="50"/>
        <v>5</v>
      </c>
      <c r="C259" s="39">
        <v>44322</v>
      </c>
      <c r="D259" s="40" t="s">
        <v>35</v>
      </c>
      <c r="E259" s="37"/>
      <c r="F259" s="19">
        <v>912359</v>
      </c>
      <c r="G259" s="21"/>
      <c r="H259" s="19">
        <v>357944</v>
      </c>
      <c r="I259" s="22">
        <v>313477</v>
      </c>
      <c r="J259" s="22">
        <v>293485</v>
      </c>
      <c r="K259" s="22">
        <v>19992</v>
      </c>
      <c r="L259" s="22">
        <v>42470</v>
      </c>
      <c r="M259" s="23">
        <v>539637</v>
      </c>
      <c r="N259" s="22">
        <v>364440</v>
      </c>
      <c r="O259" s="22">
        <v>219789</v>
      </c>
      <c r="P259" s="22">
        <v>4376</v>
      </c>
      <c r="Q259" s="22">
        <v>58042</v>
      </c>
      <c r="R259" s="22">
        <v>52392</v>
      </c>
      <c r="S259" s="22">
        <v>9380</v>
      </c>
      <c r="T259" s="22">
        <v>20460</v>
      </c>
      <c r="U259" s="22">
        <v>891</v>
      </c>
      <c r="V259" s="22">
        <v>15685</v>
      </c>
      <c r="W259" s="22">
        <v>13039</v>
      </c>
      <c r="X259" s="22">
        <v>934</v>
      </c>
      <c r="Y259" s="22">
        <v>8788</v>
      </c>
      <c r="Z259" s="22">
        <v>8785</v>
      </c>
      <c r="AA259" s="22">
        <v>35732</v>
      </c>
      <c r="AB259" s="22">
        <v>3367</v>
      </c>
      <c r="AC259" s="22">
        <v>3281</v>
      </c>
      <c r="AD259" s="22">
        <v>36748</v>
      </c>
      <c r="AE259" s="22">
        <v>8537</v>
      </c>
      <c r="AF259" s="22">
        <v>3352</v>
      </c>
      <c r="AG259" s="22">
        <v>15955</v>
      </c>
      <c r="AH259" s="22">
        <v>5650</v>
      </c>
      <c r="AI259" s="22">
        <v>19024</v>
      </c>
      <c r="AJ259" s="22">
        <v>9117</v>
      </c>
      <c r="AK259" s="22">
        <v>25911</v>
      </c>
      <c r="AL259" s="22">
        <v>15720</v>
      </c>
      <c r="AM259" s="24">
        <v>14532</v>
      </c>
    </row>
    <row r="260" spans="1:39" ht="15.75" thickBot="1">
      <c r="A260" s="36">
        <f t="shared" ref="A260:A320" si="51">YEAR(C260)</f>
        <v>2021</v>
      </c>
      <c r="B260" s="36">
        <f t="shared" ref="B260:B320" si="52">MONTH(C260)</f>
        <v>6</v>
      </c>
      <c r="C260" s="39">
        <v>44353</v>
      </c>
      <c r="D260" s="40" t="s">
        <v>35</v>
      </c>
      <c r="E260" s="37"/>
      <c r="F260" s="19">
        <v>844552</v>
      </c>
      <c r="G260" s="21"/>
      <c r="H260" s="19">
        <v>304919</v>
      </c>
      <c r="I260" s="22">
        <v>241873</v>
      </c>
      <c r="J260" s="22">
        <v>209848</v>
      </c>
      <c r="K260" s="22">
        <v>32025</v>
      </c>
      <c r="L260" s="22">
        <v>61479</v>
      </c>
      <c r="M260" s="23">
        <v>507863</v>
      </c>
      <c r="N260" s="22">
        <v>345929</v>
      </c>
      <c r="O260" s="22">
        <v>225816</v>
      </c>
      <c r="P260" s="22">
        <v>5673</v>
      </c>
      <c r="Q260" s="22">
        <v>55772</v>
      </c>
      <c r="R260" s="22">
        <v>21506</v>
      </c>
      <c r="S260" s="22">
        <v>16321</v>
      </c>
      <c r="T260" s="22">
        <v>20841</v>
      </c>
      <c r="U260" s="22">
        <v>1657</v>
      </c>
      <c r="V260" s="22">
        <v>14743</v>
      </c>
      <c r="W260" s="22">
        <v>11919</v>
      </c>
      <c r="X260" s="22">
        <v>992</v>
      </c>
      <c r="Y260" s="22">
        <v>8940</v>
      </c>
      <c r="Z260" s="22">
        <v>8928</v>
      </c>
      <c r="AA260" s="22">
        <v>31905</v>
      </c>
      <c r="AB260" s="22">
        <v>3049</v>
      </c>
      <c r="AC260" s="22">
        <v>252</v>
      </c>
      <c r="AD260" s="22">
        <v>38538</v>
      </c>
      <c r="AE260" s="22">
        <v>8331</v>
      </c>
      <c r="AF260" s="22">
        <v>3468</v>
      </c>
      <c r="AG260" s="22">
        <v>17540</v>
      </c>
      <c r="AH260" s="22">
        <v>5868</v>
      </c>
      <c r="AI260" s="22">
        <v>19332</v>
      </c>
      <c r="AJ260" s="22">
        <v>12056</v>
      </c>
      <c r="AK260" s="22">
        <v>16153</v>
      </c>
      <c r="AL260" s="22">
        <v>14316</v>
      </c>
      <c r="AM260" s="24">
        <v>31367</v>
      </c>
    </row>
    <row r="261" spans="1:39" ht="15.75" thickBot="1">
      <c r="A261" s="36">
        <f t="shared" si="51"/>
        <v>2021</v>
      </c>
      <c r="B261" s="36">
        <f t="shared" si="52"/>
        <v>7</v>
      </c>
      <c r="C261" s="39">
        <v>44383</v>
      </c>
      <c r="D261" s="40" t="s">
        <v>35</v>
      </c>
      <c r="E261" s="37"/>
      <c r="F261" s="19">
        <v>895244</v>
      </c>
      <c r="G261" s="21"/>
      <c r="H261" s="19">
        <v>239376</v>
      </c>
      <c r="I261" s="22">
        <v>191068</v>
      </c>
      <c r="J261" s="22">
        <v>169736</v>
      </c>
      <c r="K261" s="22">
        <v>21331</v>
      </c>
      <c r="L261" s="22">
        <v>46125</v>
      </c>
      <c r="M261" s="23">
        <v>595760</v>
      </c>
      <c r="N261" s="22">
        <v>428578</v>
      </c>
      <c r="O261" s="22">
        <v>261542</v>
      </c>
      <c r="P261" s="22">
        <v>8111</v>
      </c>
      <c r="Q261" s="22">
        <v>55582</v>
      </c>
      <c r="R261" s="22">
        <v>58856</v>
      </c>
      <c r="S261" s="22">
        <v>25422</v>
      </c>
      <c r="T261" s="22">
        <v>19065</v>
      </c>
      <c r="U261" s="22">
        <v>896</v>
      </c>
      <c r="V261" s="22">
        <v>11548</v>
      </c>
      <c r="W261" s="22">
        <v>9357</v>
      </c>
      <c r="X261" s="22">
        <v>1018</v>
      </c>
      <c r="Y261" s="22">
        <v>11493</v>
      </c>
      <c r="Z261" s="22">
        <v>11462</v>
      </c>
      <c r="AA261" s="22">
        <v>26651</v>
      </c>
      <c r="AB261" s="22">
        <v>3389</v>
      </c>
      <c r="AC261" s="22">
        <v>4678</v>
      </c>
      <c r="AD261" s="22">
        <v>42502</v>
      </c>
      <c r="AE261" s="22">
        <v>7960</v>
      </c>
      <c r="AF261" s="22">
        <v>7029</v>
      </c>
      <c r="AG261" s="22">
        <v>17567</v>
      </c>
      <c r="AH261" s="22">
        <v>7023</v>
      </c>
      <c r="AI261" s="22">
        <v>20411</v>
      </c>
      <c r="AJ261" s="22">
        <v>12375</v>
      </c>
      <c r="AK261" s="22">
        <v>18659</v>
      </c>
      <c r="AL261" s="22">
        <v>13562</v>
      </c>
      <c r="AM261" s="24">
        <v>59806</v>
      </c>
    </row>
    <row r="262" spans="1:39" ht="15.75" thickBot="1">
      <c r="A262" s="36">
        <f t="shared" si="51"/>
        <v>2021</v>
      </c>
      <c r="B262" s="36">
        <f t="shared" si="52"/>
        <v>8</v>
      </c>
      <c r="C262" s="39">
        <v>44414</v>
      </c>
      <c r="D262" s="40" t="s">
        <v>35</v>
      </c>
      <c r="E262" s="37"/>
      <c r="F262" s="19">
        <v>944358</v>
      </c>
      <c r="G262" s="21"/>
      <c r="H262" s="19">
        <v>285836</v>
      </c>
      <c r="I262" s="22">
        <v>205033</v>
      </c>
      <c r="J262" s="22">
        <v>173263</v>
      </c>
      <c r="K262" s="22">
        <v>31769</v>
      </c>
      <c r="L262" s="22">
        <v>78779</v>
      </c>
      <c r="M262" s="23">
        <v>580991</v>
      </c>
      <c r="N262" s="22">
        <v>411951</v>
      </c>
      <c r="O262" s="22">
        <v>279569</v>
      </c>
      <c r="P262" s="22">
        <v>11078</v>
      </c>
      <c r="Q262" s="22">
        <v>64455</v>
      </c>
      <c r="R262" s="22">
        <v>27649</v>
      </c>
      <c r="S262" s="22">
        <v>9550</v>
      </c>
      <c r="T262" s="22">
        <v>19650</v>
      </c>
      <c r="U262" s="22">
        <v>1655</v>
      </c>
      <c r="V262" s="22">
        <v>12488</v>
      </c>
      <c r="W262" s="22">
        <v>9888</v>
      </c>
      <c r="X262" s="22">
        <v>992</v>
      </c>
      <c r="Y262" s="22">
        <v>10108</v>
      </c>
      <c r="Z262" s="22">
        <v>10077</v>
      </c>
      <c r="AA262" s="22">
        <v>29136</v>
      </c>
      <c r="AB262" s="22">
        <v>2351</v>
      </c>
      <c r="AC262" s="22">
        <v>3423</v>
      </c>
      <c r="AD262" s="22">
        <v>43659</v>
      </c>
      <c r="AE262" s="22">
        <v>9965</v>
      </c>
      <c r="AF262" s="22">
        <v>5709</v>
      </c>
      <c r="AG262" s="22">
        <v>20649</v>
      </c>
      <c r="AH262" s="22">
        <v>5196</v>
      </c>
      <c r="AI262" s="22">
        <v>18642</v>
      </c>
      <c r="AJ262" s="22">
        <v>10898</v>
      </c>
      <c r="AK262" s="22">
        <v>21005</v>
      </c>
      <c r="AL262" s="22">
        <v>14684</v>
      </c>
      <c r="AM262" s="24">
        <v>77433</v>
      </c>
    </row>
    <row r="263" spans="1:39" ht="15.75" thickBot="1">
      <c r="A263" s="36">
        <f t="shared" si="51"/>
        <v>2021</v>
      </c>
      <c r="B263" s="36">
        <f t="shared" si="52"/>
        <v>9</v>
      </c>
      <c r="C263" s="39">
        <v>44445</v>
      </c>
      <c r="D263" s="40" t="s">
        <v>35</v>
      </c>
      <c r="E263" s="37"/>
      <c r="F263" s="19">
        <v>938150</v>
      </c>
      <c r="G263" s="21"/>
      <c r="H263" s="19">
        <v>211344</v>
      </c>
      <c r="I263" s="22">
        <v>159705</v>
      </c>
      <c r="J263" s="22">
        <v>135456</v>
      </c>
      <c r="K263" s="22">
        <v>24249</v>
      </c>
      <c r="L263" s="22">
        <v>50197</v>
      </c>
      <c r="M263" s="23">
        <v>586261</v>
      </c>
      <c r="N263" s="22">
        <v>418797</v>
      </c>
      <c r="O263" s="22">
        <v>275907</v>
      </c>
      <c r="P263" s="22">
        <v>13342</v>
      </c>
      <c r="Q263" s="22">
        <v>76576</v>
      </c>
      <c r="R263" s="22">
        <v>21294</v>
      </c>
      <c r="S263" s="22">
        <v>11126</v>
      </c>
      <c r="T263" s="22">
        <v>20551</v>
      </c>
      <c r="U263" s="22">
        <v>1593</v>
      </c>
      <c r="V263" s="22">
        <v>15148</v>
      </c>
      <c r="W263" s="22">
        <v>12459</v>
      </c>
      <c r="X263" s="22">
        <v>385</v>
      </c>
      <c r="Y263" s="22">
        <v>10923</v>
      </c>
      <c r="Z263" s="22">
        <v>10906</v>
      </c>
      <c r="AA263" s="22">
        <v>24134</v>
      </c>
      <c r="AB263" s="22">
        <v>2294</v>
      </c>
      <c r="AC263" s="22">
        <v>159</v>
      </c>
      <c r="AD263" s="22">
        <v>43386</v>
      </c>
      <c r="AE263" s="22">
        <v>10935</v>
      </c>
      <c r="AF263" s="22">
        <v>6855</v>
      </c>
      <c r="AG263" s="22">
        <v>15627</v>
      </c>
      <c r="AH263" s="22">
        <v>5879</v>
      </c>
      <c r="AI263" s="22">
        <v>27296</v>
      </c>
      <c r="AJ263" s="22">
        <v>9565</v>
      </c>
      <c r="AK263" s="22">
        <v>16919</v>
      </c>
      <c r="AL263" s="22">
        <v>15663</v>
      </c>
      <c r="AM263" s="24">
        <v>140343</v>
      </c>
    </row>
    <row r="264" spans="1:39" ht="15.75" thickBot="1">
      <c r="A264" s="36">
        <f t="shared" si="51"/>
        <v>2021</v>
      </c>
      <c r="B264" s="36">
        <f t="shared" si="52"/>
        <v>10</v>
      </c>
      <c r="C264" s="39">
        <v>44475</v>
      </c>
      <c r="D264" s="40" t="s">
        <v>35</v>
      </c>
      <c r="E264" s="37"/>
      <c r="F264" s="19">
        <v>987714</v>
      </c>
      <c r="G264" s="21"/>
      <c r="H264" s="19">
        <v>132408</v>
      </c>
      <c r="I264" s="22">
        <v>48777</v>
      </c>
      <c r="J264" s="22">
        <v>30703</v>
      </c>
      <c r="K264" s="22">
        <v>18074</v>
      </c>
      <c r="L264" s="22">
        <v>81179</v>
      </c>
      <c r="M264" s="23">
        <v>765942</v>
      </c>
      <c r="N264" s="22">
        <v>570903</v>
      </c>
      <c r="O264" s="22">
        <v>382478</v>
      </c>
      <c r="P264" s="22">
        <v>14995</v>
      </c>
      <c r="Q264" s="22">
        <v>80126</v>
      </c>
      <c r="R264" s="22">
        <v>30895</v>
      </c>
      <c r="S264" s="22">
        <v>40719</v>
      </c>
      <c r="T264" s="22">
        <v>21690</v>
      </c>
      <c r="U264" s="22">
        <v>1467</v>
      </c>
      <c r="V264" s="22">
        <v>19417</v>
      </c>
      <c r="W264" s="22">
        <v>15746</v>
      </c>
      <c r="X264" s="22">
        <v>532</v>
      </c>
      <c r="Y264" s="22">
        <v>16333</v>
      </c>
      <c r="Z264" s="22">
        <v>16308</v>
      </c>
      <c r="AA264" s="22">
        <v>39050</v>
      </c>
      <c r="AB264" s="22">
        <v>2618</v>
      </c>
      <c r="AC264" s="22">
        <v>558</v>
      </c>
      <c r="AD264" s="22">
        <v>43044</v>
      </c>
      <c r="AE264" s="22">
        <v>10664</v>
      </c>
      <c r="AF264" s="22">
        <v>7597</v>
      </c>
      <c r="AG264" s="22">
        <v>16062</v>
      </c>
      <c r="AH264" s="22">
        <v>5545</v>
      </c>
      <c r="AI264" s="22">
        <v>27802</v>
      </c>
      <c r="AJ264" s="22">
        <v>9978</v>
      </c>
      <c r="AK264" s="22">
        <v>16710</v>
      </c>
      <c r="AL264" s="22">
        <v>17528</v>
      </c>
      <c r="AM264" s="24">
        <v>88830</v>
      </c>
    </row>
    <row r="265" spans="1:39" ht="15.75" thickBot="1">
      <c r="A265" s="36">
        <f t="shared" si="51"/>
        <v>2021</v>
      </c>
      <c r="B265" s="36">
        <f t="shared" si="52"/>
        <v>11</v>
      </c>
      <c r="C265" s="39">
        <v>44506</v>
      </c>
      <c r="D265" s="40" t="s">
        <v>35</v>
      </c>
      <c r="E265" s="37"/>
      <c r="F265" s="19">
        <v>802475</v>
      </c>
      <c r="G265" s="21"/>
      <c r="H265" s="19">
        <v>115529</v>
      </c>
      <c r="I265" s="22">
        <v>57838</v>
      </c>
      <c r="J265" s="22">
        <v>39235</v>
      </c>
      <c r="K265" s="22">
        <v>18602</v>
      </c>
      <c r="L265" s="22">
        <v>55054</v>
      </c>
      <c r="M265" s="23">
        <v>638166</v>
      </c>
      <c r="N265" s="22">
        <v>466661</v>
      </c>
      <c r="O265" s="22">
        <v>310560</v>
      </c>
      <c r="P265" s="22">
        <v>11686</v>
      </c>
      <c r="Q265" s="22">
        <v>63265</v>
      </c>
      <c r="R265" s="22">
        <v>16045</v>
      </c>
      <c r="S265" s="22">
        <v>45024</v>
      </c>
      <c r="T265" s="22">
        <v>20081</v>
      </c>
      <c r="U265" s="22">
        <v>2163</v>
      </c>
      <c r="V265" s="22">
        <v>13349</v>
      </c>
      <c r="W265" s="22">
        <v>10857</v>
      </c>
      <c r="X265" s="22">
        <v>498</v>
      </c>
      <c r="Y265" s="22">
        <v>10697</v>
      </c>
      <c r="Z265" s="22">
        <v>10683</v>
      </c>
      <c r="AA265" s="22">
        <v>24925</v>
      </c>
      <c r="AB265" s="22">
        <v>2995</v>
      </c>
      <c r="AC265" s="22">
        <v>527</v>
      </c>
      <c r="AD265" s="22">
        <v>47939</v>
      </c>
      <c r="AE265" s="22">
        <v>10056</v>
      </c>
      <c r="AF265" s="22">
        <v>7222</v>
      </c>
      <c r="AG265" s="22">
        <v>18781</v>
      </c>
      <c r="AH265" s="22">
        <v>7405</v>
      </c>
      <c r="AI265" s="22">
        <v>22485</v>
      </c>
      <c r="AJ265" s="22">
        <v>9277</v>
      </c>
      <c r="AK265" s="22">
        <v>19762</v>
      </c>
      <c r="AL265" s="22">
        <v>16887</v>
      </c>
      <c r="AM265" s="24">
        <v>48002</v>
      </c>
    </row>
    <row r="266" spans="1:39" ht="15.75" thickBot="1">
      <c r="A266" s="36">
        <f t="shared" si="51"/>
        <v>2021</v>
      </c>
      <c r="B266" s="36">
        <f t="shared" si="52"/>
        <v>12</v>
      </c>
      <c r="C266" s="39">
        <v>44536</v>
      </c>
      <c r="D266" s="40" t="s">
        <v>35</v>
      </c>
      <c r="E266" s="37"/>
      <c r="F266" s="19">
        <v>851484</v>
      </c>
      <c r="G266" s="21"/>
      <c r="H266" s="19">
        <v>143509</v>
      </c>
      <c r="I266" s="22">
        <v>97155</v>
      </c>
      <c r="J266" s="22">
        <v>47568</v>
      </c>
      <c r="K266" s="22">
        <v>49587</v>
      </c>
      <c r="L266" s="22">
        <v>42887</v>
      </c>
      <c r="M266" s="23">
        <v>694599</v>
      </c>
      <c r="N266" s="22">
        <v>499667</v>
      </c>
      <c r="O266" s="22">
        <v>343323</v>
      </c>
      <c r="P266" s="22">
        <v>10751</v>
      </c>
      <c r="Q266" s="22">
        <v>78264</v>
      </c>
      <c r="R266" s="22">
        <v>33058</v>
      </c>
      <c r="S266" s="22">
        <v>10044</v>
      </c>
      <c r="T266" s="22">
        <v>24227</v>
      </c>
      <c r="U266" s="22">
        <v>996</v>
      </c>
      <c r="V266" s="22">
        <v>16275</v>
      </c>
      <c r="W266" s="22">
        <v>13741</v>
      </c>
      <c r="X266" s="22">
        <v>1072</v>
      </c>
      <c r="Y266" s="22">
        <v>11885</v>
      </c>
      <c r="Z266" s="22">
        <v>11884</v>
      </c>
      <c r="AA266" s="22">
        <v>35987</v>
      </c>
      <c r="AB266" s="22">
        <v>2567</v>
      </c>
      <c r="AC266" s="22">
        <v>233</v>
      </c>
      <c r="AD266" s="22">
        <v>46324</v>
      </c>
      <c r="AE266" s="22">
        <v>11848</v>
      </c>
      <c r="AF266" s="22">
        <v>6895</v>
      </c>
      <c r="AG266" s="22">
        <v>15616</v>
      </c>
      <c r="AH266" s="22">
        <v>5002</v>
      </c>
      <c r="AI266" s="22">
        <v>32805</v>
      </c>
      <c r="AJ266" s="22">
        <v>9635</v>
      </c>
      <c r="AK266" s="22">
        <v>21226</v>
      </c>
      <c r="AL266" s="22">
        <v>15926</v>
      </c>
      <c r="AM266" s="24">
        <v>12830</v>
      </c>
    </row>
    <row r="267" spans="1:39" ht="15.75" thickBot="1">
      <c r="A267" s="36">
        <f t="shared" si="51"/>
        <v>2022</v>
      </c>
      <c r="B267" s="36">
        <f t="shared" si="52"/>
        <v>1</v>
      </c>
      <c r="C267" s="39">
        <v>44567</v>
      </c>
      <c r="D267" s="40" t="s">
        <v>35</v>
      </c>
      <c r="E267" s="37"/>
      <c r="F267" s="19">
        <v>734460</v>
      </c>
      <c r="G267" s="21"/>
      <c r="H267" s="19">
        <v>192022</v>
      </c>
      <c r="I267" s="22">
        <v>129563</v>
      </c>
      <c r="J267" s="22">
        <v>124597</v>
      </c>
      <c r="K267" s="22">
        <v>4966</v>
      </c>
      <c r="L267" s="22">
        <v>61519</v>
      </c>
      <c r="M267" s="23">
        <v>518583</v>
      </c>
      <c r="N267" s="22">
        <v>337867</v>
      </c>
      <c r="O267" s="22">
        <v>228398</v>
      </c>
      <c r="P267" s="22">
        <v>7106</v>
      </c>
      <c r="Q267" s="22">
        <v>54888</v>
      </c>
      <c r="R267" s="22">
        <v>14506</v>
      </c>
      <c r="S267" s="22">
        <v>10714</v>
      </c>
      <c r="T267" s="22">
        <v>22255</v>
      </c>
      <c r="U267" s="22">
        <v>1003</v>
      </c>
      <c r="V267" s="22">
        <v>10489</v>
      </c>
      <c r="W267" s="22">
        <v>7772</v>
      </c>
      <c r="X267" s="22">
        <v>1031</v>
      </c>
      <c r="Y267" s="22">
        <v>11126</v>
      </c>
      <c r="Z267" s="22">
        <v>11059</v>
      </c>
      <c r="AA267" s="22">
        <v>40972</v>
      </c>
      <c r="AB267" s="22">
        <v>3045</v>
      </c>
      <c r="AC267" s="22">
        <v>150</v>
      </c>
      <c r="AD267" s="22">
        <v>39107</v>
      </c>
      <c r="AE267" s="22">
        <v>7955</v>
      </c>
      <c r="AF267" s="22">
        <v>5931</v>
      </c>
      <c r="AG267" s="22">
        <v>16726</v>
      </c>
      <c r="AH267" s="22">
        <v>5651</v>
      </c>
      <c r="AI267" s="22">
        <v>24182</v>
      </c>
      <c r="AJ267" s="22">
        <v>5254</v>
      </c>
      <c r="AK267" s="22">
        <v>30956</v>
      </c>
      <c r="AL267" s="22">
        <v>13401</v>
      </c>
      <c r="AM267" s="24">
        <v>23199</v>
      </c>
    </row>
    <row r="268" spans="1:39" ht="15.75" thickBot="1">
      <c r="A268" s="36">
        <f t="shared" si="51"/>
        <v>2022</v>
      </c>
      <c r="B268" s="36">
        <f t="shared" si="52"/>
        <v>2</v>
      </c>
      <c r="C268" s="39">
        <v>44598</v>
      </c>
      <c r="D268" s="40" t="s">
        <v>35</v>
      </c>
      <c r="E268" s="37"/>
      <c r="F268" s="19">
        <v>774044</v>
      </c>
      <c r="G268" s="21"/>
      <c r="H268" s="19">
        <v>127634</v>
      </c>
      <c r="I268" s="22">
        <v>83208</v>
      </c>
      <c r="J268" s="22">
        <v>72449</v>
      </c>
      <c r="K268" s="22">
        <v>10759</v>
      </c>
      <c r="L268" s="22">
        <v>42724</v>
      </c>
      <c r="M268" s="23">
        <v>626466</v>
      </c>
      <c r="N268" s="22">
        <v>446791</v>
      </c>
      <c r="O268" s="22">
        <v>293351</v>
      </c>
      <c r="P268" s="22">
        <v>7246</v>
      </c>
      <c r="Q268" s="22">
        <v>70674</v>
      </c>
      <c r="R268" s="22">
        <v>33794</v>
      </c>
      <c r="S268" s="22">
        <v>21820</v>
      </c>
      <c r="T268" s="22">
        <v>19907</v>
      </c>
      <c r="U268" s="22">
        <v>249</v>
      </c>
      <c r="V268" s="22">
        <v>17848</v>
      </c>
      <c r="W268" s="22">
        <v>15609</v>
      </c>
      <c r="X268" s="22">
        <v>691</v>
      </c>
      <c r="Y268" s="22">
        <v>11430</v>
      </c>
      <c r="Z268" s="22">
        <v>11430</v>
      </c>
      <c r="AA268" s="22">
        <v>25824</v>
      </c>
      <c r="AB268" s="22">
        <v>4127</v>
      </c>
      <c r="AC268" s="22">
        <v>178</v>
      </c>
      <c r="AD268" s="22">
        <v>38566</v>
      </c>
      <c r="AE268" s="22">
        <v>10314</v>
      </c>
      <c r="AF268" s="22">
        <v>6249</v>
      </c>
      <c r="AG268" s="22">
        <v>13268</v>
      </c>
      <c r="AH268" s="22">
        <v>5995</v>
      </c>
      <c r="AI268" s="22">
        <v>25495</v>
      </c>
      <c r="AJ268" s="22">
        <v>8041</v>
      </c>
      <c r="AK268" s="22">
        <v>35673</v>
      </c>
      <c r="AL268" s="22">
        <v>11555</v>
      </c>
      <c r="AM268" s="24">
        <v>17616</v>
      </c>
    </row>
    <row r="269" spans="1:39" ht="15.75" thickBot="1">
      <c r="A269" s="36">
        <f t="shared" si="51"/>
        <v>2022</v>
      </c>
      <c r="B269" s="36">
        <f t="shared" si="52"/>
        <v>3</v>
      </c>
      <c r="C269" s="39">
        <v>44626</v>
      </c>
      <c r="D269" s="40" t="s">
        <v>35</v>
      </c>
      <c r="E269" s="37"/>
      <c r="F269" s="19">
        <v>862809</v>
      </c>
      <c r="G269" s="21"/>
      <c r="H269" s="19">
        <v>234000</v>
      </c>
      <c r="I269" s="22">
        <v>173885</v>
      </c>
      <c r="J269" s="22">
        <v>165763</v>
      </c>
      <c r="K269" s="22">
        <v>8122</v>
      </c>
      <c r="L269" s="22">
        <v>57888</v>
      </c>
      <c r="M269" s="23">
        <v>626252</v>
      </c>
      <c r="N269" s="22">
        <v>431646</v>
      </c>
      <c r="O269" s="22">
        <v>304556</v>
      </c>
      <c r="P269" s="22">
        <v>7778</v>
      </c>
      <c r="Q269" s="22">
        <v>54173</v>
      </c>
      <c r="R269" s="22">
        <v>15566</v>
      </c>
      <c r="S269" s="22">
        <v>24697</v>
      </c>
      <c r="T269" s="22">
        <v>24876</v>
      </c>
      <c r="U269" s="22">
        <v>1792</v>
      </c>
      <c r="V269" s="22">
        <v>13634</v>
      </c>
      <c r="W269" s="22">
        <v>10542</v>
      </c>
      <c r="X269" s="22">
        <v>539</v>
      </c>
      <c r="Y269" s="22">
        <v>13307</v>
      </c>
      <c r="Z269" s="22">
        <v>13297</v>
      </c>
      <c r="AA269" s="22">
        <v>43670</v>
      </c>
      <c r="AB269" s="22">
        <v>4360</v>
      </c>
      <c r="AC269" s="22">
        <v>0</v>
      </c>
      <c r="AD269" s="22">
        <v>45901</v>
      </c>
      <c r="AE269" s="22">
        <v>10143</v>
      </c>
      <c r="AF269" s="22">
        <v>4448</v>
      </c>
      <c r="AG269" s="22">
        <v>15059</v>
      </c>
      <c r="AH269" s="22">
        <v>7731</v>
      </c>
      <c r="AI269" s="22">
        <v>28103</v>
      </c>
      <c r="AJ269" s="22">
        <v>11779</v>
      </c>
      <c r="AK269" s="22">
        <v>16638</v>
      </c>
      <c r="AL269" s="22">
        <v>14885</v>
      </c>
      <c r="AM269" s="24">
        <v>2014</v>
      </c>
    </row>
    <row r="270" spans="1:39" ht="15.75" thickBot="1">
      <c r="A270" s="36">
        <f t="shared" si="51"/>
        <v>2022</v>
      </c>
      <c r="B270" s="36">
        <f t="shared" si="52"/>
        <v>4</v>
      </c>
      <c r="C270" s="39">
        <v>44657</v>
      </c>
      <c r="D270" s="40" t="s">
        <v>35</v>
      </c>
      <c r="E270" s="37"/>
      <c r="F270" s="19">
        <v>861356</v>
      </c>
      <c r="G270" s="21"/>
      <c r="H270" s="19">
        <v>173440</v>
      </c>
      <c r="I270" s="22">
        <v>115661</v>
      </c>
      <c r="J270" s="22">
        <v>86913</v>
      </c>
      <c r="K270" s="22">
        <v>28748</v>
      </c>
      <c r="L270" s="22">
        <v>54911</v>
      </c>
      <c r="M270" s="23">
        <v>680855</v>
      </c>
      <c r="N270" s="22">
        <v>468085</v>
      </c>
      <c r="O270" s="22">
        <v>320189</v>
      </c>
      <c r="P270" s="22">
        <v>8455</v>
      </c>
      <c r="Q270" s="22">
        <v>65601</v>
      </c>
      <c r="R270" s="22">
        <v>33905</v>
      </c>
      <c r="S270" s="22">
        <v>12214</v>
      </c>
      <c r="T270" s="22">
        <v>27720</v>
      </c>
      <c r="U270" s="22">
        <v>610</v>
      </c>
      <c r="V270" s="22">
        <v>18160</v>
      </c>
      <c r="W270" s="22">
        <v>15969</v>
      </c>
      <c r="X270" s="22">
        <v>593</v>
      </c>
      <c r="Y270" s="22">
        <v>13793</v>
      </c>
      <c r="Z270" s="22">
        <v>13791</v>
      </c>
      <c r="AA270" s="22">
        <v>33838</v>
      </c>
      <c r="AB270" s="22">
        <v>2570</v>
      </c>
      <c r="AC270" s="22">
        <v>166</v>
      </c>
      <c r="AD270" s="22">
        <v>34607</v>
      </c>
      <c r="AE270" s="22">
        <v>9699</v>
      </c>
      <c r="AF270" s="22">
        <v>4631</v>
      </c>
      <c r="AG270" s="22">
        <v>12124</v>
      </c>
      <c r="AH270" s="22">
        <v>4833</v>
      </c>
      <c r="AI270" s="22">
        <v>27004</v>
      </c>
      <c r="AJ270" s="22">
        <v>11597</v>
      </c>
      <c r="AK270" s="22">
        <v>55670</v>
      </c>
      <c r="AL270" s="22">
        <v>14161</v>
      </c>
      <c r="AM270" s="24">
        <v>6626</v>
      </c>
    </row>
    <row r="271" spans="1:39" ht="15.75" thickBot="1">
      <c r="A271" s="36">
        <f t="shared" si="51"/>
        <v>2022</v>
      </c>
      <c r="B271" s="36">
        <f t="shared" si="52"/>
        <v>5</v>
      </c>
      <c r="C271" s="39">
        <v>44687</v>
      </c>
      <c r="D271" s="40" t="s">
        <v>35</v>
      </c>
      <c r="E271" s="37"/>
      <c r="F271" s="19">
        <v>1227972</v>
      </c>
      <c r="G271" s="21"/>
      <c r="H271" s="19">
        <v>560297</v>
      </c>
      <c r="I271" s="22">
        <v>492790</v>
      </c>
      <c r="J271" s="22">
        <v>469071</v>
      </c>
      <c r="K271" s="22">
        <v>23719</v>
      </c>
      <c r="L271" s="22">
        <v>65155</v>
      </c>
      <c r="M271" s="23">
        <v>662741</v>
      </c>
      <c r="N271" s="22">
        <v>452777</v>
      </c>
      <c r="O271" s="22">
        <v>282704</v>
      </c>
      <c r="P271" s="22">
        <v>8223</v>
      </c>
      <c r="Q271" s="22">
        <v>68458</v>
      </c>
      <c r="R271" s="22">
        <v>25646</v>
      </c>
      <c r="S271" s="22">
        <v>39678</v>
      </c>
      <c r="T271" s="22">
        <v>28068</v>
      </c>
      <c r="U271" s="22">
        <v>940</v>
      </c>
      <c r="V271" s="22">
        <v>12369</v>
      </c>
      <c r="W271" s="22">
        <v>9897</v>
      </c>
      <c r="X271" s="22">
        <v>929</v>
      </c>
      <c r="Y271" s="22">
        <v>13096</v>
      </c>
      <c r="Z271" s="22">
        <v>13095</v>
      </c>
      <c r="AA271" s="22">
        <v>38403</v>
      </c>
      <c r="AB271" s="22">
        <v>2488</v>
      </c>
      <c r="AC271" s="22">
        <v>10</v>
      </c>
      <c r="AD271" s="22">
        <v>43608</v>
      </c>
      <c r="AE271" s="22">
        <v>14428</v>
      </c>
      <c r="AF271" s="22">
        <v>2923</v>
      </c>
      <c r="AG271" s="22">
        <v>15845</v>
      </c>
      <c r="AH271" s="22">
        <v>7336</v>
      </c>
      <c r="AI271" s="22">
        <v>25439</v>
      </c>
      <c r="AJ271" s="22">
        <v>11071</v>
      </c>
      <c r="AK271" s="22">
        <v>44132</v>
      </c>
      <c r="AL271" s="22">
        <v>17480</v>
      </c>
      <c r="AM271" s="24">
        <v>4836</v>
      </c>
    </row>
    <row r="272" spans="1:39" ht="15.75" thickBot="1">
      <c r="A272" s="36">
        <f t="shared" si="51"/>
        <v>2022</v>
      </c>
      <c r="B272" s="36">
        <f t="shared" si="52"/>
        <v>6</v>
      </c>
      <c r="C272" s="39">
        <v>44718</v>
      </c>
      <c r="D272" s="40" t="s">
        <v>35</v>
      </c>
      <c r="E272" s="37"/>
      <c r="F272" s="19">
        <v>1291826</v>
      </c>
      <c r="G272" s="21"/>
      <c r="H272" s="19">
        <v>560799</v>
      </c>
      <c r="I272" s="22">
        <v>474114</v>
      </c>
      <c r="J272" s="22">
        <v>465625</v>
      </c>
      <c r="K272" s="22">
        <v>8489</v>
      </c>
      <c r="L272" s="22">
        <v>83410</v>
      </c>
      <c r="M272" s="23">
        <v>715055</v>
      </c>
      <c r="N272" s="22">
        <v>526435</v>
      </c>
      <c r="O272" s="22">
        <v>358269</v>
      </c>
      <c r="P272" s="22">
        <v>10395</v>
      </c>
      <c r="Q272" s="22">
        <v>63828</v>
      </c>
      <c r="R272" s="22">
        <v>46377</v>
      </c>
      <c r="S272" s="22">
        <v>10498</v>
      </c>
      <c r="T272" s="22">
        <v>37067</v>
      </c>
      <c r="U272" s="22">
        <v>839</v>
      </c>
      <c r="V272" s="22">
        <v>16349</v>
      </c>
      <c r="W272" s="22">
        <v>13544</v>
      </c>
      <c r="X272" s="22">
        <v>795</v>
      </c>
      <c r="Y272" s="22">
        <v>13882</v>
      </c>
      <c r="Z272" s="22">
        <v>13868</v>
      </c>
      <c r="AA272" s="22">
        <v>35681</v>
      </c>
      <c r="AB272" s="22">
        <v>4482</v>
      </c>
      <c r="AC272" s="22">
        <v>18</v>
      </c>
      <c r="AD272" s="22">
        <v>41865</v>
      </c>
      <c r="AE272" s="22">
        <v>10671</v>
      </c>
      <c r="AF272" s="22">
        <v>4404</v>
      </c>
      <c r="AG272" s="22">
        <v>16354</v>
      </c>
      <c r="AH272" s="22">
        <v>7089</v>
      </c>
      <c r="AI272" s="22">
        <v>26263</v>
      </c>
      <c r="AJ272" s="22">
        <v>10631</v>
      </c>
      <c r="AK272" s="22">
        <v>20609</v>
      </c>
      <c r="AL272" s="22">
        <v>17206</v>
      </c>
      <c r="AM272" s="24">
        <v>15638</v>
      </c>
    </row>
    <row r="273" spans="1:39" ht="15.75" thickBot="1">
      <c r="A273" s="36">
        <f t="shared" si="51"/>
        <v>2022</v>
      </c>
      <c r="B273" s="36">
        <f t="shared" si="52"/>
        <v>7</v>
      </c>
      <c r="C273" s="39">
        <v>44748</v>
      </c>
      <c r="D273" s="40" t="s">
        <v>35</v>
      </c>
      <c r="E273" s="37"/>
      <c r="F273" s="19">
        <v>1216425</v>
      </c>
      <c r="G273" s="21"/>
      <c r="H273" s="19">
        <v>500239</v>
      </c>
      <c r="I273" s="22">
        <v>456017</v>
      </c>
      <c r="J273" s="22">
        <v>441995</v>
      </c>
      <c r="K273" s="22">
        <v>14023</v>
      </c>
      <c r="L273" s="22">
        <v>41596</v>
      </c>
      <c r="M273" s="23">
        <v>658107</v>
      </c>
      <c r="N273" s="22">
        <v>467517</v>
      </c>
      <c r="O273" s="22">
        <v>249999</v>
      </c>
      <c r="P273" s="22">
        <v>19893</v>
      </c>
      <c r="Q273" s="22">
        <v>80892</v>
      </c>
      <c r="R273" s="22">
        <v>56679</v>
      </c>
      <c r="S273" s="22">
        <v>31080</v>
      </c>
      <c r="T273" s="22">
        <v>28975</v>
      </c>
      <c r="U273" s="22">
        <v>956</v>
      </c>
      <c r="V273" s="22">
        <v>12257</v>
      </c>
      <c r="W273" s="22">
        <v>8470</v>
      </c>
      <c r="X273" s="22">
        <v>953</v>
      </c>
      <c r="Y273" s="22">
        <v>11591</v>
      </c>
      <c r="Z273" s="22">
        <v>11572</v>
      </c>
      <c r="AA273" s="22">
        <v>26016</v>
      </c>
      <c r="AB273" s="22">
        <v>3390</v>
      </c>
      <c r="AC273" s="22">
        <v>0</v>
      </c>
      <c r="AD273" s="22">
        <v>44268</v>
      </c>
      <c r="AE273" s="22">
        <v>13217</v>
      </c>
      <c r="AF273" s="22">
        <v>6519</v>
      </c>
      <c r="AG273" s="22">
        <v>14855</v>
      </c>
      <c r="AH273" s="22">
        <v>7057</v>
      </c>
      <c r="AI273" s="22">
        <v>23315</v>
      </c>
      <c r="AJ273" s="22">
        <v>9220</v>
      </c>
      <c r="AK273" s="22">
        <v>39300</v>
      </c>
      <c r="AL273" s="22">
        <v>19324</v>
      </c>
      <c r="AM273" s="24">
        <v>57983</v>
      </c>
    </row>
    <row r="274" spans="1:39" ht="15.75" thickBot="1">
      <c r="A274" s="36">
        <f t="shared" si="51"/>
        <v>2022</v>
      </c>
      <c r="B274" s="36">
        <f t="shared" si="52"/>
        <v>8</v>
      </c>
      <c r="C274" s="39">
        <v>44779</v>
      </c>
      <c r="D274" s="40" t="s">
        <v>35</v>
      </c>
      <c r="E274" s="37"/>
      <c r="F274" s="19">
        <v>1183016</v>
      </c>
      <c r="G274" s="21"/>
      <c r="H274" s="19">
        <v>494821</v>
      </c>
      <c r="I274" s="22">
        <v>434706</v>
      </c>
      <c r="J274" s="22">
        <v>419535</v>
      </c>
      <c r="K274" s="22">
        <v>15171</v>
      </c>
      <c r="L274" s="22">
        <v>56968</v>
      </c>
      <c r="M274" s="23">
        <v>659702</v>
      </c>
      <c r="N274" s="22">
        <v>425203</v>
      </c>
      <c r="O274" s="22">
        <v>223314</v>
      </c>
      <c r="P274" s="22">
        <v>16486</v>
      </c>
      <c r="Q274" s="22">
        <v>78663</v>
      </c>
      <c r="R274" s="22">
        <v>42185</v>
      </c>
      <c r="S274" s="22">
        <v>34245</v>
      </c>
      <c r="T274" s="22">
        <v>30311</v>
      </c>
      <c r="U274" s="22">
        <v>975</v>
      </c>
      <c r="V274" s="22">
        <v>14184</v>
      </c>
      <c r="W274" s="22">
        <v>11610</v>
      </c>
      <c r="X274" s="22">
        <v>850</v>
      </c>
      <c r="Y274" s="22">
        <v>13046</v>
      </c>
      <c r="Z274" s="22">
        <v>13037</v>
      </c>
      <c r="AA274" s="22">
        <v>35817</v>
      </c>
      <c r="AB274" s="22">
        <v>4681</v>
      </c>
      <c r="AC274" s="22">
        <v>71</v>
      </c>
      <c r="AD274" s="22">
        <v>51937</v>
      </c>
      <c r="AE274" s="22">
        <v>14725</v>
      </c>
      <c r="AF274" s="22">
        <v>7607</v>
      </c>
      <c r="AG274" s="22">
        <v>18386</v>
      </c>
      <c r="AH274" s="22">
        <v>7138</v>
      </c>
      <c r="AI274" s="22">
        <v>27092</v>
      </c>
      <c r="AJ274" s="22">
        <v>8847</v>
      </c>
      <c r="AK274" s="22">
        <v>60156</v>
      </c>
      <c r="AL274" s="22">
        <v>16842</v>
      </c>
      <c r="AM274" s="24">
        <v>28210</v>
      </c>
    </row>
    <row r="275" spans="1:39" ht="15.75" thickBot="1">
      <c r="A275" s="36">
        <f t="shared" si="51"/>
        <v>2022</v>
      </c>
      <c r="B275" s="36">
        <f t="shared" si="52"/>
        <v>9</v>
      </c>
      <c r="C275" s="39">
        <v>44810</v>
      </c>
      <c r="D275" s="40" t="s">
        <v>35</v>
      </c>
      <c r="E275" s="37"/>
      <c r="F275" s="19">
        <v>893412</v>
      </c>
      <c r="G275" s="21"/>
      <c r="H275" s="19">
        <v>293483</v>
      </c>
      <c r="I275" s="22">
        <v>228186</v>
      </c>
      <c r="J275" s="22">
        <v>225304</v>
      </c>
      <c r="K275" s="22">
        <v>2882</v>
      </c>
      <c r="L275" s="22">
        <v>62336</v>
      </c>
      <c r="M275" s="23">
        <v>594066</v>
      </c>
      <c r="N275" s="22">
        <v>392505</v>
      </c>
      <c r="O275" s="22">
        <v>205271</v>
      </c>
      <c r="P275" s="22">
        <v>12749</v>
      </c>
      <c r="Q275" s="22">
        <v>84441</v>
      </c>
      <c r="R275" s="22">
        <v>24451</v>
      </c>
      <c r="S275" s="22">
        <v>39667</v>
      </c>
      <c r="T275" s="22">
        <v>25927</v>
      </c>
      <c r="U275" s="22">
        <v>997</v>
      </c>
      <c r="V275" s="22">
        <v>15454</v>
      </c>
      <c r="W275" s="22">
        <v>13145</v>
      </c>
      <c r="X275" s="22">
        <v>888</v>
      </c>
      <c r="Y275" s="22">
        <v>13009</v>
      </c>
      <c r="Z275" s="22">
        <v>12994</v>
      </c>
      <c r="AA275" s="22">
        <v>33850</v>
      </c>
      <c r="AB275" s="22">
        <v>4409</v>
      </c>
      <c r="AC275" s="22">
        <v>182</v>
      </c>
      <c r="AD275" s="22">
        <v>45646</v>
      </c>
      <c r="AE275" s="22">
        <v>12524</v>
      </c>
      <c r="AF275" s="22">
        <v>6226</v>
      </c>
      <c r="AG275" s="22">
        <v>16396</v>
      </c>
      <c r="AH275" s="22">
        <v>6644</v>
      </c>
      <c r="AI275" s="22">
        <v>25214</v>
      </c>
      <c r="AJ275" s="22">
        <v>8926</v>
      </c>
      <c r="AK275" s="22">
        <v>35695</v>
      </c>
      <c r="AL275" s="22">
        <v>17290</v>
      </c>
      <c r="AM275" s="24">
        <v>5445</v>
      </c>
    </row>
    <row r="276" spans="1:39" ht="15.75" thickBot="1">
      <c r="A276" s="36">
        <f t="shared" si="51"/>
        <v>2022</v>
      </c>
      <c r="B276" s="36">
        <f t="shared" si="52"/>
        <v>10</v>
      </c>
      <c r="C276" s="39">
        <v>44840</v>
      </c>
      <c r="D276" s="40" t="s">
        <v>35</v>
      </c>
      <c r="E276" s="37"/>
      <c r="F276" s="19">
        <v>750941</v>
      </c>
      <c r="G276" s="21"/>
      <c r="H276" s="19">
        <v>121450</v>
      </c>
      <c r="I276" s="22">
        <v>54780</v>
      </c>
      <c r="J276" s="22">
        <v>35338</v>
      </c>
      <c r="K276" s="22">
        <v>19442</v>
      </c>
      <c r="L276" s="22">
        <v>63842</v>
      </c>
      <c r="M276" s="23">
        <v>628722</v>
      </c>
      <c r="N276" s="22">
        <v>415752</v>
      </c>
      <c r="O276" s="22">
        <v>256380</v>
      </c>
      <c r="P276" s="22">
        <v>10251</v>
      </c>
      <c r="Q276" s="22">
        <v>72143</v>
      </c>
      <c r="R276" s="22">
        <v>27917</v>
      </c>
      <c r="S276" s="22">
        <v>18804</v>
      </c>
      <c r="T276" s="22">
        <v>30258</v>
      </c>
      <c r="U276" s="22">
        <v>2167</v>
      </c>
      <c r="V276" s="22">
        <v>11534</v>
      </c>
      <c r="W276" s="22">
        <v>9035</v>
      </c>
      <c r="X276" s="22">
        <v>406</v>
      </c>
      <c r="Y276" s="22">
        <v>14389</v>
      </c>
      <c r="Z276" s="22">
        <v>14385</v>
      </c>
      <c r="AA276" s="22">
        <v>36072</v>
      </c>
      <c r="AB276" s="22">
        <v>4028</v>
      </c>
      <c r="AC276" s="22">
        <v>83</v>
      </c>
      <c r="AD276" s="22">
        <v>49490</v>
      </c>
      <c r="AE276" s="22">
        <v>10374</v>
      </c>
      <c r="AF276" s="22">
        <v>7365</v>
      </c>
      <c r="AG276" s="22">
        <v>18433</v>
      </c>
      <c r="AH276" s="22">
        <v>6355</v>
      </c>
      <c r="AI276" s="22">
        <v>29579</v>
      </c>
      <c r="AJ276" s="22">
        <v>6693</v>
      </c>
      <c r="AK276" s="22">
        <v>40482</v>
      </c>
      <c r="AL276" s="22">
        <v>18046</v>
      </c>
      <c r="AM276" s="24">
        <v>0</v>
      </c>
    </row>
    <row r="277" spans="1:39" ht="15.75" thickBot="1">
      <c r="A277" s="36">
        <f t="shared" si="51"/>
        <v>2022</v>
      </c>
      <c r="B277" s="36">
        <f t="shared" si="52"/>
        <v>11</v>
      </c>
      <c r="C277" s="39">
        <v>44871</v>
      </c>
      <c r="D277" s="40" t="s">
        <v>35</v>
      </c>
      <c r="E277" s="37"/>
      <c r="F277" s="19">
        <v>615946</v>
      </c>
      <c r="G277" s="21"/>
      <c r="H277" s="19">
        <v>42769</v>
      </c>
      <c r="I277" s="22">
        <v>5155</v>
      </c>
      <c r="J277" s="22">
        <v>2322</v>
      </c>
      <c r="K277" s="22">
        <v>2833</v>
      </c>
      <c r="L277" s="22">
        <v>35409</v>
      </c>
      <c r="M277" s="23">
        <v>572263</v>
      </c>
      <c r="N277" s="22">
        <v>392523</v>
      </c>
      <c r="O277" s="22">
        <v>218178</v>
      </c>
      <c r="P277" s="22">
        <v>13063</v>
      </c>
      <c r="Q277" s="22">
        <v>89835</v>
      </c>
      <c r="R277" s="22">
        <v>32347</v>
      </c>
      <c r="S277" s="22">
        <v>17598</v>
      </c>
      <c r="T277" s="22">
        <v>21501</v>
      </c>
      <c r="U277" s="22">
        <v>1074</v>
      </c>
      <c r="V277" s="22">
        <v>9171</v>
      </c>
      <c r="W277" s="22">
        <v>7538</v>
      </c>
      <c r="X277" s="22">
        <v>263</v>
      </c>
      <c r="Y277" s="22">
        <v>11488</v>
      </c>
      <c r="Z277" s="22">
        <v>11467</v>
      </c>
      <c r="AA277" s="22">
        <v>30443</v>
      </c>
      <c r="AB277" s="22">
        <v>3705</v>
      </c>
      <c r="AC277" s="22">
        <v>0</v>
      </c>
      <c r="AD277" s="22">
        <v>39701</v>
      </c>
      <c r="AE277" s="22">
        <v>9879</v>
      </c>
      <c r="AF277" s="22">
        <v>5975</v>
      </c>
      <c r="AG277" s="22">
        <v>17739</v>
      </c>
      <c r="AH277" s="22">
        <v>3118</v>
      </c>
      <c r="AI277" s="22">
        <v>24043</v>
      </c>
      <c r="AJ277" s="22">
        <v>6697</v>
      </c>
      <c r="AK277" s="22">
        <v>36112</v>
      </c>
      <c r="AL277" s="22">
        <v>17043</v>
      </c>
      <c r="AM277" s="24">
        <v>241</v>
      </c>
    </row>
    <row r="278" spans="1:39" ht="15.75" thickBot="1">
      <c r="A278" s="36">
        <f t="shared" si="51"/>
        <v>2022</v>
      </c>
      <c r="B278" s="36">
        <f t="shared" si="52"/>
        <v>12</v>
      </c>
      <c r="C278" s="39">
        <v>44901</v>
      </c>
      <c r="D278" s="40" t="s">
        <v>35</v>
      </c>
      <c r="E278" s="37"/>
      <c r="F278" s="19">
        <v>771307</v>
      </c>
      <c r="G278" s="21"/>
      <c r="H278" s="19">
        <v>153066</v>
      </c>
      <c r="I278" s="22">
        <v>101499</v>
      </c>
      <c r="J278" s="22">
        <v>96607</v>
      </c>
      <c r="K278" s="22">
        <v>4892</v>
      </c>
      <c r="L278" s="22">
        <v>48547</v>
      </c>
      <c r="M278" s="23">
        <v>617253</v>
      </c>
      <c r="N278" s="22">
        <v>419755</v>
      </c>
      <c r="O278" s="22">
        <v>236622</v>
      </c>
      <c r="P278" s="22">
        <v>9485</v>
      </c>
      <c r="Q278" s="22">
        <v>75399</v>
      </c>
      <c r="R278" s="22">
        <v>49125</v>
      </c>
      <c r="S278" s="22">
        <v>24720</v>
      </c>
      <c r="T278" s="22">
        <v>24403</v>
      </c>
      <c r="U278" s="22">
        <v>1158</v>
      </c>
      <c r="V278" s="22">
        <v>13317</v>
      </c>
      <c r="W278" s="22">
        <v>10723</v>
      </c>
      <c r="X278" s="22">
        <v>507</v>
      </c>
      <c r="Y278" s="22">
        <v>14589</v>
      </c>
      <c r="Z278" s="22">
        <v>14583</v>
      </c>
      <c r="AA278" s="22">
        <v>28853</v>
      </c>
      <c r="AB278" s="22">
        <v>2504</v>
      </c>
      <c r="AC278" s="22">
        <v>101</v>
      </c>
      <c r="AD278" s="22">
        <v>54087</v>
      </c>
      <c r="AE278" s="22">
        <v>11836</v>
      </c>
      <c r="AF278" s="22">
        <v>9065</v>
      </c>
      <c r="AG278" s="22">
        <v>18844</v>
      </c>
      <c r="AH278" s="22">
        <v>4142</v>
      </c>
      <c r="AI278" s="22">
        <v>27940</v>
      </c>
      <c r="AJ278" s="22">
        <v>7682</v>
      </c>
      <c r="AK278" s="22">
        <v>29980</v>
      </c>
      <c r="AL278" s="22">
        <v>16778</v>
      </c>
      <c r="AM278" s="24">
        <v>936</v>
      </c>
    </row>
    <row r="279" spans="1:39" ht="15.75" thickBot="1">
      <c r="A279" s="36">
        <f t="shared" si="51"/>
        <v>2023</v>
      </c>
      <c r="B279" s="36">
        <f t="shared" si="52"/>
        <v>1</v>
      </c>
      <c r="C279" s="39">
        <v>44932</v>
      </c>
      <c r="D279" s="40" t="s">
        <v>35</v>
      </c>
      <c r="E279" s="37"/>
      <c r="F279" s="19">
        <v>710712</v>
      </c>
      <c r="G279" s="21"/>
      <c r="H279" s="19">
        <v>198219</v>
      </c>
      <c r="I279" s="22">
        <v>112108</v>
      </c>
      <c r="J279" s="22">
        <v>107060</v>
      </c>
      <c r="K279" s="22">
        <v>5049</v>
      </c>
      <c r="L279" s="22">
        <v>83918</v>
      </c>
      <c r="M279" s="23">
        <v>511198</v>
      </c>
      <c r="N279" s="22">
        <v>354252</v>
      </c>
      <c r="O279" s="22">
        <v>170795</v>
      </c>
      <c r="P279" s="22">
        <v>4406</v>
      </c>
      <c r="Q279" s="22">
        <v>77163</v>
      </c>
      <c r="R279" s="22">
        <v>31191</v>
      </c>
      <c r="S279" s="22">
        <v>34041</v>
      </c>
      <c r="T279" s="22">
        <v>36656</v>
      </c>
      <c r="U279" s="22">
        <v>630</v>
      </c>
      <c r="V279" s="22">
        <v>9875</v>
      </c>
      <c r="W279" s="22">
        <v>7691</v>
      </c>
      <c r="X279" s="22">
        <v>690</v>
      </c>
      <c r="Y279" s="22">
        <v>11932</v>
      </c>
      <c r="Z279" s="22">
        <v>11931</v>
      </c>
      <c r="AA279" s="22">
        <v>33557</v>
      </c>
      <c r="AB279" s="22">
        <v>3869</v>
      </c>
      <c r="AC279" s="22">
        <v>71</v>
      </c>
      <c r="AD279" s="22">
        <v>38744</v>
      </c>
      <c r="AE279" s="22">
        <v>13263</v>
      </c>
      <c r="AF279" s="22">
        <v>3341</v>
      </c>
      <c r="AG279" s="22">
        <v>13083</v>
      </c>
      <c r="AH279" s="22">
        <v>4778</v>
      </c>
      <c r="AI279" s="22">
        <v>24446</v>
      </c>
      <c r="AJ279" s="22">
        <v>3964</v>
      </c>
      <c r="AK279" s="22">
        <v>17822</v>
      </c>
      <c r="AL279" s="22">
        <v>11347</v>
      </c>
      <c r="AM279" s="24">
        <v>1068</v>
      </c>
    </row>
    <row r="280" spans="1:39" ht="15.75" thickBot="1">
      <c r="A280" s="36">
        <f t="shared" si="51"/>
        <v>2023</v>
      </c>
      <c r="B280" s="36">
        <f t="shared" si="52"/>
        <v>2</v>
      </c>
      <c r="C280" s="39">
        <v>44963</v>
      </c>
      <c r="D280" s="40" t="s">
        <v>35</v>
      </c>
      <c r="E280" s="37"/>
      <c r="F280" s="19">
        <v>706206</v>
      </c>
      <c r="G280" s="21"/>
      <c r="H280" s="19">
        <v>169849</v>
      </c>
      <c r="I280" s="22">
        <v>122779</v>
      </c>
      <c r="J280" s="22">
        <v>104677</v>
      </c>
      <c r="K280" s="22">
        <v>18102</v>
      </c>
      <c r="L280" s="22">
        <v>45282</v>
      </c>
      <c r="M280" s="23">
        <v>533360</v>
      </c>
      <c r="N280" s="22">
        <v>369166</v>
      </c>
      <c r="O280" s="22">
        <v>219373</v>
      </c>
      <c r="P280" s="22">
        <v>6100</v>
      </c>
      <c r="Q280" s="22">
        <v>64517</v>
      </c>
      <c r="R280" s="22">
        <v>34352</v>
      </c>
      <c r="S280" s="22">
        <v>19319</v>
      </c>
      <c r="T280" s="22">
        <v>25505</v>
      </c>
      <c r="U280" s="22">
        <v>624</v>
      </c>
      <c r="V280" s="22">
        <v>9026</v>
      </c>
      <c r="W280" s="22">
        <v>7191</v>
      </c>
      <c r="X280" s="22">
        <v>561</v>
      </c>
      <c r="Y280" s="22">
        <v>9834</v>
      </c>
      <c r="Z280" s="22">
        <v>9804</v>
      </c>
      <c r="AA280" s="22">
        <v>34252</v>
      </c>
      <c r="AB280" s="22">
        <v>2426</v>
      </c>
      <c r="AC280" s="22">
        <v>48</v>
      </c>
      <c r="AD280" s="22">
        <v>36830</v>
      </c>
      <c r="AE280" s="22">
        <v>9839</v>
      </c>
      <c r="AF280" s="22">
        <v>4977</v>
      </c>
      <c r="AG280" s="22">
        <v>16075</v>
      </c>
      <c r="AH280" s="22">
        <v>3470</v>
      </c>
      <c r="AI280" s="22">
        <v>23987</v>
      </c>
      <c r="AJ280" s="22">
        <v>6242</v>
      </c>
      <c r="AK280" s="22">
        <v>27267</v>
      </c>
      <c r="AL280" s="22">
        <v>13098</v>
      </c>
      <c r="AM280" s="24">
        <v>2208</v>
      </c>
    </row>
    <row r="281" spans="1:39" ht="15.75" thickBot="1">
      <c r="A281" s="36">
        <f t="shared" si="51"/>
        <v>2023</v>
      </c>
      <c r="B281" s="36">
        <f t="shared" si="52"/>
        <v>3</v>
      </c>
      <c r="C281" s="39">
        <v>44991</v>
      </c>
      <c r="D281" s="40" t="s">
        <v>35</v>
      </c>
      <c r="E281" s="37"/>
      <c r="F281" s="19">
        <v>893721</v>
      </c>
      <c r="G281" s="21"/>
      <c r="H281" s="19">
        <v>228341</v>
      </c>
      <c r="I281" s="22">
        <v>148936</v>
      </c>
      <c r="J281" s="22">
        <v>127900</v>
      </c>
      <c r="K281" s="22">
        <v>21036</v>
      </c>
      <c r="L281" s="22">
        <v>76948</v>
      </c>
      <c r="M281" s="23">
        <v>659962</v>
      </c>
      <c r="N281" s="22">
        <v>444791</v>
      </c>
      <c r="O281" s="22">
        <v>271645</v>
      </c>
      <c r="P281" s="22">
        <v>8319</v>
      </c>
      <c r="Q281" s="22">
        <v>73309</v>
      </c>
      <c r="R281" s="22">
        <v>21473</v>
      </c>
      <c r="S281" s="22">
        <v>29446</v>
      </c>
      <c r="T281" s="22">
        <v>40599</v>
      </c>
      <c r="U281" s="22">
        <v>1408</v>
      </c>
      <c r="V281" s="22">
        <v>19666</v>
      </c>
      <c r="W281" s="22">
        <v>16781</v>
      </c>
      <c r="X281" s="22">
        <v>473</v>
      </c>
      <c r="Y281" s="22">
        <v>11185</v>
      </c>
      <c r="Z281" s="22">
        <v>11042</v>
      </c>
      <c r="AA281" s="22">
        <v>34466</v>
      </c>
      <c r="AB281" s="22">
        <v>3494</v>
      </c>
      <c r="AC281" s="22">
        <v>342</v>
      </c>
      <c r="AD281" s="22">
        <v>45841</v>
      </c>
      <c r="AE281" s="22">
        <v>11224</v>
      </c>
      <c r="AF281" s="22">
        <v>4207</v>
      </c>
      <c r="AG281" s="22">
        <v>17888</v>
      </c>
      <c r="AH281" s="22">
        <v>4195</v>
      </c>
      <c r="AI281" s="22">
        <v>26850</v>
      </c>
      <c r="AJ281" s="22">
        <v>5685</v>
      </c>
      <c r="AK281" s="22">
        <v>45530</v>
      </c>
      <c r="AL281" s="22">
        <v>20231</v>
      </c>
      <c r="AM281" s="24">
        <v>5134</v>
      </c>
    </row>
    <row r="282" spans="1:39" ht="15.75" thickBot="1">
      <c r="A282" s="36">
        <f t="shared" si="51"/>
        <v>2023</v>
      </c>
      <c r="B282" s="36">
        <f t="shared" si="52"/>
        <v>4</v>
      </c>
      <c r="C282" s="39">
        <v>45022</v>
      </c>
      <c r="D282" s="40" t="s">
        <v>35</v>
      </c>
      <c r="E282" s="37"/>
      <c r="F282" s="19">
        <v>633691</v>
      </c>
      <c r="G282" s="21"/>
      <c r="H282" s="19">
        <v>107468</v>
      </c>
      <c r="I282" s="22">
        <v>53833</v>
      </c>
      <c r="J282" s="22">
        <v>45926</v>
      </c>
      <c r="K282" s="22">
        <v>7908</v>
      </c>
      <c r="L282" s="22">
        <v>50574</v>
      </c>
      <c r="M282" s="23">
        <v>525073</v>
      </c>
      <c r="N282" s="22">
        <v>343464</v>
      </c>
      <c r="O282" s="22">
        <v>196388</v>
      </c>
      <c r="P282" s="22">
        <v>9311</v>
      </c>
      <c r="Q282" s="22">
        <v>63521</v>
      </c>
      <c r="R282" s="22">
        <v>31616</v>
      </c>
      <c r="S282" s="22">
        <v>20809</v>
      </c>
      <c r="T282" s="22">
        <v>21819</v>
      </c>
      <c r="U282" s="22">
        <v>991</v>
      </c>
      <c r="V282" s="22">
        <v>11084</v>
      </c>
      <c r="W282" s="22">
        <v>9278</v>
      </c>
      <c r="X282" s="22">
        <v>434</v>
      </c>
      <c r="Y282" s="22">
        <v>9134</v>
      </c>
      <c r="Z282" s="22">
        <v>9129</v>
      </c>
      <c r="AA282" s="22">
        <v>34203</v>
      </c>
      <c r="AB282" s="22">
        <v>3101</v>
      </c>
      <c r="AC282" s="22">
        <v>4</v>
      </c>
      <c r="AD282" s="22">
        <v>35378</v>
      </c>
      <c r="AE282" s="22">
        <v>9227</v>
      </c>
      <c r="AF282" s="22">
        <v>5028</v>
      </c>
      <c r="AG282" s="22">
        <v>13119</v>
      </c>
      <c r="AH282" s="22">
        <v>4735</v>
      </c>
      <c r="AI282" s="22">
        <v>22869</v>
      </c>
      <c r="AJ282" s="22">
        <v>7750</v>
      </c>
      <c r="AK282" s="22">
        <v>41081</v>
      </c>
      <c r="AL282" s="22">
        <v>15579</v>
      </c>
      <c r="AM282" s="24">
        <v>865</v>
      </c>
    </row>
    <row r="283" spans="1:39" ht="15.75" thickBot="1">
      <c r="A283" s="36">
        <f t="shared" si="51"/>
        <v>2023</v>
      </c>
      <c r="B283" s="36">
        <f t="shared" si="52"/>
        <v>5</v>
      </c>
      <c r="C283" s="39">
        <v>45052</v>
      </c>
      <c r="D283" s="40" t="s">
        <v>35</v>
      </c>
      <c r="E283" s="37"/>
      <c r="F283" s="19">
        <v>882014</v>
      </c>
      <c r="G283" s="21"/>
      <c r="H283" s="19">
        <v>279584</v>
      </c>
      <c r="I283" s="22">
        <v>220821</v>
      </c>
      <c r="J283" s="22">
        <v>188647</v>
      </c>
      <c r="K283" s="22">
        <v>32173</v>
      </c>
      <c r="L283" s="22">
        <v>56072</v>
      </c>
      <c r="M283" s="23">
        <v>600623</v>
      </c>
      <c r="N283" s="22">
        <v>425493</v>
      </c>
      <c r="O283" s="22">
        <v>235024</v>
      </c>
      <c r="P283" s="22">
        <v>7321</v>
      </c>
      <c r="Q283" s="22">
        <v>78679</v>
      </c>
      <c r="R283" s="22">
        <v>38872</v>
      </c>
      <c r="S283" s="22">
        <v>33280</v>
      </c>
      <c r="T283" s="22">
        <v>32318</v>
      </c>
      <c r="U283" s="22">
        <v>1364</v>
      </c>
      <c r="V283" s="22">
        <v>11011</v>
      </c>
      <c r="W283" s="22">
        <v>9247</v>
      </c>
      <c r="X283" s="22">
        <v>629</v>
      </c>
      <c r="Y283" s="22">
        <v>11439</v>
      </c>
      <c r="Z283" s="22">
        <v>11412</v>
      </c>
      <c r="AA283" s="22">
        <v>27243</v>
      </c>
      <c r="AB283" s="22">
        <v>4213</v>
      </c>
      <c r="AC283" s="22">
        <v>60</v>
      </c>
      <c r="AD283" s="22">
        <v>34798</v>
      </c>
      <c r="AE283" s="22">
        <v>10985</v>
      </c>
      <c r="AF283" s="22">
        <v>3039</v>
      </c>
      <c r="AG283" s="22">
        <v>14030</v>
      </c>
      <c r="AH283" s="22">
        <v>3753</v>
      </c>
      <c r="AI283" s="22">
        <v>26207</v>
      </c>
      <c r="AJ283" s="22">
        <v>7062</v>
      </c>
      <c r="AK283" s="22">
        <v>30277</v>
      </c>
      <c r="AL283" s="22">
        <v>20827</v>
      </c>
      <c r="AM283" s="24">
        <v>76</v>
      </c>
    </row>
    <row r="284" spans="1:39" ht="15.75" thickBot="1">
      <c r="A284" s="36">
        <f t="shared" si="51"/>
        <v>2023</v>
      </c>
      <c r="B284" s="36">
        <f t="shared" si="52"/>
        <v>6</v>
      </c>
      <c r="C284" s="39">
        <v>45083</v>
      </c>
      <c r="D284" s="40" t="s">
        <v>35</v>
      </c>
      <c r="E284" s="37"/>
      <c r="F284" s="19">
        <v>754249</v>
      </c>
      <c r="G284" s="21"/>
      <c r="H284" s="19">
        <v>217988</v>
      </c>
      <c r="I284" s="22">
        <v>140877</v>
      </c>
      <c r="J284" s="22">
        <v>102223</v>
      </c>
      <c r="K284" s="22">
        <v>38653</v>
      </c>
      <c r="L284" s="22">
        <v>73966</v>
      </c>
      <c r="M284" s="23">
        <v>534985</v>
      </c>
      <c r="N284" s="22">
        <v>376153</v>
      </c>
      <c r="O284" s="22">
        <v>196859</v>
      </c>
      <c r="P284" s="22">
        <v>10983</v>
      </c>
      <c r="Q284" s="22">
        <v>65963</v>
      </c>
      <c r="R284" s="22">
        <v>39856</v>
      </c>
      <c r="S284" s="22">
        <v>22910</v>
      </c>
      <c r="T284" s="22">
        <v>39583</v>
      </c>
      <c r="U284" s="22">
        <v>1309</v>
      </c>
      <c r="V284" s="22">
        <v>10189</v>
      </c>
      <c r="W284" s="22">
        <v>7293</v>
      </c>
      <c r="X284" s="22">
        <v>729</v>
      </c>
      <c r="Y284" s="22">
        <v>9547</v>
      </c>
      <c r="Z284" s="22">
        <v>9538</v>
      </c>
      <c r="AA284" s="22">
        <v>29748</v>
      </c>
      <c r="AB284" s="22">
        <v>3378</v>
      </c>
      <c r="AC284" s="22">
        <v>67</v>
      </c>
      <c r="AD284" s="22">
        <v>34266</v>
      </c>
      <c r="AE284" s="22">
        <v>9005</v>
      </c>
      <c r="AF284" s="22">
        <v>4360</v>
      </c>
      <c r="AG284" s="22">
        <v>14052</v>
      </c>
      <c r="AH284" s="22">
        <v>3816</v>
      </c>
      <c r="AI284" s="22">
        <v>20812</v>
      </c>
      <c r="AJ284" s="22">
        <v>7333</v>
      </c>
      <c r="AK284" s="22">
        <v>22459</v>
      </c>
      <c r="AL284" s="22">
        <v>18994</v>
      </c>
      <c r="AM284" s="24">
        <v>8</v>
      </c>
    </row>
    <row r="285" spans="1:39" ht="15.75" thickBot="1">
      <c r="A285" s="36">
        <f t="shared" si="51"/>
        <v>2023</v>
      </c>
      <c r="B285" s="36">
        <f t="shared" si="52"/>
        <v>7</v>
      </c>
      <c r="C285" s="39">
        <v>45113</v>
      </c>
      <c r="D285" s="40" t="s">
        <v>35</v>
      </c>
      <c r="E285" s="37"/>
      <c r="F285" s="19">
        <v>651473</v>
      </c>
      <c r="G285" s="21"/>
      <c r="H285" s="19">
        <v>188282</v>
      </c>
      <c r="I285" s="22">
        <v>141423</v>
      </c>
      <c r="J285" s="22">
        <v>98704</v>
      </c>
      <c r="K285" s="22">
        <v>42719</v>
      </c>
      <c r="L285" s="22">
        <v>44036</v>
      </c>
      <c r="M285" s="23">
        <v>461884</v>
      </c>
      <c r="N285" s="22">
        <v>309993</v>
      </c>
      <c r="O285" s="22">
        <v>153981</v>
      </c>
      <c r="P285" s="22">
        <v>13334</v>
      </c>
      <c r="Q285" s="22">
        <v>54681</v>
      </c>
      <c r="R285" s="22">
        <v>44973</v>
      </c>
      <c r="S285" s="22">
        <v>18112</v>
      </c>
      <c r="T285" s="22">
        <v>24911</v>
      </c>
      <c r="U285" s="22">
        <v>926</v>
      </c>
      <c r="V285" s="22">
        <v>7633</v>
      </c>
      <c r="W285" s="22">
        <v>6016</v>
      </c>
      <c r="X285" s="22">
        <v>470</v>
      </c>
      <c r="Y285" s="22">
        <v>9110</v>
      </c>
      <c r="Z285" s="22">
        <v>9071</v>
      </c>
      <c r="AA285" s="22">
        <v>24008</v>
      </c>
      <c r="AB285" s="22">
        <v>3770</v>
      </c>
      <c r="AC285" s="22">
        <v>92</v>
      </c>
      <c r="AD285" s="22">
        <v>34857</v>
      </c>
      <c r="AE285" s="22">
        <v>10046</v>
      </c>
      <c r="AF285" s="22">
        <v>4887</v>
      </c>
      <c r="AG285" s="22">
        <v>14421</v>
      </c>
      <c r="AH285" s="22">
        <v>3164</v>
      </c>
      <c r="AI285" s="22">
        <v>19717</v>
      </c>
      <c r="AJ285" s="22">
        <v>5937</v>
      </c>
      <c r="AK285" s="22">
        <v>25807</v>
      </c>
      <c r="AL285" s="22">
        <v>19565</v>
      </c>
      <c r="AM285" s="24">
        <v>688</v>
      </c>
    </row>
    <row r="286" spans="1:39" ht="15.75" thickBot="1">
      <c r="A286" s="36">
        <f t="shared" si="51"/>
        <v>2023</v>
      </c>
      <c r="B286" s="36">
        <f t="shared" si="52"/>
        <v>8</v>
      </c>
      <c r="C286" s="39">
        <v>45144</v>
      </c>
      <c r="D286" s="40" t="s">
        <v>35</v>
      </c>
      <c r="E286" s="37"/>
      <c r="F286" s="19">
        <v>827748</v>
      </c>
      <c r="G286" s="21"/>
      <c r="H286" s="19">
        <v>196182</v>
      </c>
      <c r="I286" s="22">
        <v>130258</v>
      </c>
      <c r="J286" s="22">
        <v>104978</v>
      </c>
      <c r="K286" s="22">
        <v>25280</v>
      </c>
      <c r="L286" s="22">
        <v>62321</v>
      </c>
      <c r="M286" s="23">
        <v>627247</v>
      </c>
      <c r="N286" s="22">
        <v>420211</v>
      </c>
      <c r="O286" s="22">
        <v>234879</v>
      </c>
      <c r="P286" s="22">
        <v>19637</v>
      </c>
      <c r="Q286" s="22">
        <v>63799</v>
      </c>
      <c r="R286" s="22">
        <v>30567</v>
      </c>
      <c r="S286" s="22">
        <v>42483</v>
      </c>
      <c r="T286" s="22">
        <v>28846</v>
      </c>
      <c r="U286" s="22">
        <v>1132</v>
      </c>
      <c r="V286" s="22">
        <v>13711</v>
      </c>
      <c r="W286" s="22">
        <v>11105</v>
      </c>
      <c r="X286" s="22">
        <v>689</v>
      </c>
      <c r="Y286" s="22">
        <v>9914</v>
      </c>
      <c r="Z286" s="22">
        <v>9893</v>
      </c>
      <c r="AA286" s="22">
        <v>26439</v>
      </c>
      <c r="AB286" s="22">
        <v>4009</v>
      </c>
      <c r="AC286" s="22">
        <v>65</v>
      </c>
      <c r="AD286" s="22">
        <v>38653</v>
      </c>
      <c r="AE286" s="22">
        <v>9697</v>
      </c>
      <c r="AF286" s="22">
        <v>6907</v>
      </c>
      <c r="AG286" s="22">
        <v>15259</v>
      </c>
      <c r="AH286" s="22">
        <v>3209</v>
      </c>
      <c r="AI286" s="22">
        <v>23949</v>
      </c>
      <c r="AJ286" s="22">
        <v>7550</v>
      </c>
      <c r="AK286" s="22">
        <v>62048</v>
      </c>
      <c r="AL286" s="22">
        <v>18879</v>
      </c>
      <c r="AM286" s="24">
        <v>3820</v>
      </c>
    </row>
    <row r="287" spans="1:39" ht="15.75" thickBot="1">
      <c r="A287" s="36">
        <f t="shared" si="51"/>
        <v>2023</v>
      </c>
      <c r="B287" s="36">
        <f t="shared" si="52"/>
        <v>9</v>
      </c>
      <c r="C287" s="39">
        <v>45175</v>
      </c>
      <c r="D287" s="40" t="s">
        <v>35</v>
      </c>
      <c r="E287" s="37"/>
      <c r="F287" s="19">
        <v>854225</v>
      </c>
      <c r="G287" s="21"/>
      <c r="H287" s="19">
        <v>237883</v>
      </c>
      <c r="I287" s="22">
        <v>142642</v>
      </c>
      <c r="J287" s="22">
        <v>96270</v>
      </c>
      <c r="K287" s="22">
        <v>46372</v>
      </c>
      <c r="L287" s="22">
        <v>92471</v>
      </c>
      <c r="M287" s="23">
        <v>608749</v>
      </c>
      <c r="N287" s="22">
        <v>418308</v>
      </c>
      <c r="O287" s="22">
        <v>218384</v>
      </c>
      <c r="P287" s="22">
        <v>22225</v>
      </c>
      <c r="Q287" s="22">
        <v>74716</v>
      </c>
      <c r="R287" s="22">
        <v>53835</v>
      </c>
      <c r="S287" s="22">
        <v>21407</v>
      </c>
      <c r="T287" s="22">
        <v>27741</v>
      </c>
      <c r="U287" s="22">
        <v>936</v>
      </c>
      <c r="V287" s="22">
        <v>9199</v>
      </c>
      <c r="W287" s="22">
        <v>6885</v>
      </c>
      <c r="X287" s="22">
        <v>894</v>
      </c>
      <c r="Y287" s="22">
        <v>8474</v>
      </c>
      <c r="Z287" s="22">
        <v>8466</v>
      </c>
      <c r="AA287" s="22">
        <v>23432</v>
      </c>
      <c r="AB287" s="22">
        <v>4688</v>
      </c>
      <c r="AC287" s="22">
        <v>34</v>
      </c>
      <c r="AD287" s="22">
        <v>41833</v>
      </c>
      <c r="AE287" s="22">
        <v>9964</v>
      </c>
      <c r="AF287" s="22">
        <v>8747</v>
      </c>
      <c r="AG287" s="22">
        <v>14425</v>
      </c>
      <c r="AH287" s="22">
        <v>2525</v>
      </c>
      <c r="AI287" s="22">
        <v>24475</v>
      </c>
      <c r="AJ287" s="22">
        <v>7791</v>
      </c>
      <c r="AK287" s="22">
        <v>45712</v>
      </c>
      <c r="AL287" s="22">
        <v>22973</v>
      </c>
      <c r="AM287" s="24">
        <v>5376</v>
      </c>
    </row>
    <row r="288" spans="1:39" ht="15.75" thickBot="1">
      <c r="A288" s="36">
        <f t="shared" si="51"/>
        <v>2023</v>
      </c>
      <c r="B288" s="36">
        <f t="shared" si="52"/>
        <v>10</v>
      </c>
      <c r="C288" s="39">
        <v>45205</v>
      </c>
      <c r="D288" s="40" t="s">
        <v>35</v>
      </c>
      <c r="E288" s="37"/>
      <c r="F288" s="19">
        <v>763777</v>
      </c>
      <c r="G288" s="21"/>
      <c r="H288" s="19">
        <v>172409</v>
      </c>
      <c r="I288" s="22">
        <v>71915</v>
      </c>
      <c r="J288" s="22">
        <v>51007</v>
      </c>
      <c r="K288" s="22">
        <v>20908</v>
      </c>
      <c r="L288" s="22">
        <v>96766</v>
      </c>
      <c r="M288" s="23">
        <v>590704</v>
      </c>
      <c r="N288" s="22">
        <v>397129</v>
      </c>
      <c r="O288" s="22">
        <v>191875</v>
      </c>
      <c r="P288" s="22">
        <v>11555</v>
      </c>
      <c r="Q288" s="22">
        <v>61848</v>
      </c>
      <c r="R288" s="22">
        <v>51208</v>
      </c>
      <c r="S288" s="22">
        <v>51302</v>
      </c>
      <c r="T288" s="22">
        <v>29341</v>
      </c>
      <c r="U288" s="22">
        <v>1748</v>
      </c>
      <c r="V288" s="22">
        <v>7535</v>
      </c>
      <c r="W288" s="22">
        <v>5427</v>
      </c>
      <c r="X288" s="22">
        <v>280</v>
      </c>
      <c r="Y288" s="22">
        <v>13060</v>
      </c>
      <c r="Z288" s="22">
        <v>12824</v>
      </c>
      <c r="AA288" s="22">
        <v>37857</v>
      </c>
      <c r="AB288" s="22">
        <v>2509</v>
      </c>
      <c r="AC288" s="22">
        <v>4</v>
      </c>
      <c r="AD288" s="22">
        <v>41589</v>
      </c>
      <c r="AE288" s="22">
        <v>12110</v>
      </c>
      <c r="AF288" s="22">
        <v>5827</v>
      </c>
      <c r="AG288" s="22">
        <v>15577</v>
      </c>
      <c r="AH288" s="22">
        <v>3698</v>
      </c>
      <c r="AI288" s="22">
        <v>23732</v>
      </c>
      <c r="AJ288" s="22">
        <v>7191</v>
      </c>
      <c r="AK288" s="22">
        <v>38699</v>
      </c>
      <c r="AL288" s="22">
        <v>19370</v>
      </c>
      <c r="AM288" s="24">
        <v>0</v>
      </c>
    </row>
    <row r="289" spans="1:39" ht="15.75" thickBot="1">
      <c r="A289" s="36">
        <f t="shared" si="51"/>
        <v>2023</v>
      </c>
      <c r="B289" s="36">
        <f t="shared" si="52"/>
        <v>11</v>
      </c>
      <c r="C289" s="39">
        <v>45236</v>
      </c>
      <c r="D289" s="40" t="s">
        <v>35</v>
      </c>
      <c r="E289" s="37"/>
      <c r="F289" s="19">
        <v>756414</v>
      </c>
      <c r="G289" s="21"/>
      <c r="H289" s="19">
        <v>147587</v>
      </c>
      <c r="I289" s="22">
        <v>60172</v>
      </c>
      <c r="J289" s="22">
        <v>28197</v>
      </c>
      <c r="K289" s="22">
        <v>31975</v>
      </c>
      <c r="L289" s="22">
        <v>83121</v>
      </c>
      <c r="M289" s="23">
        <v>607961</v>
      </c>
      <c r="N289" s="22">
        <v>431032</v>
      </c>
      <c r="O289" s="22">
        <v>243907</v>
      </c>
      <c r="P289" s="22">
        <v>11235</v>
      </c>
      <c r="Q289" s="22">
        <v>70875</v>
      </c>
      <c r="R289" s="22">
        <v>57935</v>
      </c>
      <c r="S289" s="22">
        <v>19840</v>
      </c>
      <c r="T289" s="22">
        <v>27241</v>
      </c>
      <c r="U289" s="22">
        <v>1442</v>
      </c>
      <c r="V289" s="22">
        <v>10237</v>
      </c>
      <c r="W289" s="22">
        <v>7717</v>
      </c>
      <c r="X289" s="22">
        <v>1022</v>
      </c>
      <c r="Y289" s="22">
        <v>11819</v>
      </c>
      <c r="Z289" s="22">
        <v>11808</v>
      </c>
      <c r="AA289" s="22">
        <v>26273</v>
      </c>
      <c r="AB289" s="22">
        <v>3182</v>
      </c>
      <c r="AC289" s="22">
        <v>1</v>
      </c>
      <c r="AD289" s="22">
        <v>41701</v>
      </c>
      <c r="AE289" s="22">
        <v>11317</v>
      </c>
      <c r="AF289" s="22">
        <v>10035</v>
      </c>
      <c r="AG289" s="22">
        <v>14070</v>
      </c>
      <c r="AH289" s="22">
        <v>2383</v>
      </c>
      <c r="AI289" s="22">
        <v>21395</v>
      </c>
      <c r="AJ289" s="22">
        <v>5879</v>
      </c>
      <c r="AK289" s="22">
        <v>37747</v>
      </c>
      <c r="AL289" s="22">
        <v>16228</v>
      </c>
      <c r="AM289" s="24">
        <v>487</v>
      </c>
    </row>
    <row r="290" spans="1:39" ht="15.75" thickBot="1">
      <c r="A290" s="36">
        <f t="shared" si="51"/>
        <v>2023</v>
      </c>
      <c r="B290" s="36">
        <f t="shared" si="52"/>
        <v>12</v>
      </c>
      <c r="C290" s="39">
        <v>45266</v>
      </c>
      <c r="D290" s="40" t="s">
        <v>35</v>
      </c>
      <c r="E290" s="37"/>
      <c r="F290" s="19">
        <v>785900</v>
      </c>
      <c r="G290" s="21"/>
      <c r="H290" s="19">
        <v>125747</v>
      </c>
      <c r="I290" s="22">
        <v>59831</v>
      </c>
      <c r="J290" s="22">
        <v>54156</v>
      </c>
      <c r="K290" s="22">
        <v>5675</v>
      </c>
      <c r="L290" s="22">
        <v>59772</v>
      </c>
      <c r="M290" s="23">
        <v>658247</v>
      </c>
      <c r="N290" s="22">
        <v>469469</v>
      </c>
      <c r="O290" s="22">
        <v>299546</v>
      </c>
      <c r="P290" s="22">
        <v>8161</v>
      </c>
      <c r="Q290" s="22">
        <v>55869</v>
      </c>
      <c r="R290" s="22">
        <v>46733</v>
      </c>
      <c r="S290" s="22">
        <v>24613</v>
      </c>
      <c r="T290" s="22">
        <v>34547</v>
      </c>
      <c r="U290" s="22">
        <v>1753</v>
      </c>
      <c r="V290" s="22">
        <v>11959</v>
      </c>
      <c r="W290" s="22">
        <v>9271</v>
      </c>
      <c r="X290" s="22">
        <v>793</v>
      </c>
      <c r="Y290" s="22">
        <v>13109</v>
      </c>
      <c r="Z290" s="22">
        <v>13104</v>
      </c>
      <c r="AA290" s="22">
        <v>34459</v>
      </c>
      <c r="AB290" s="22">
        <v>1897</v>
      </c>
      <c r="AC290" s="22">
        <v>4</v>
      </c>
      <c r="AD290" s="22">
        <v>51366</v>
      </c>
      <c r="AE290" s="22">
        <v>9640</v>
      </c>
      <c r="AF290" s="22">
        <v>7688</v>
      </c>
      <c r="AG290" s="22">
        <v>16988</v>
      </c>
      <c r="AH290" s="22">
        <v>5545</v>
      </c>
      <c r="AI290" s="22">
        <v>19808</v>
      </c>
      <c r="AJ290" s="22">
        <v>5461</v>
      </c>
      <c r="AK290" s="22">
        <v>31635</v>
      </c>
      <c r="AL290" s="22">
        <v>16536</v>
      </c>
      <c r="AM290" s="24">
        <v>1179</v>
      </c>
    </row>
    <row r="291" spans="1:39" ht="15.75" thickBot="1">
      <c r="A291" s="36">
        <f t="shared" si="51"/>
        <v>2024</v>
      </c>
      <c r="B291" s="36">
        <f t="shared" si="52"/>
        <v>1</v>
      </c>
      <c r="C291" s="39">
        <v>45297</v>
      </c>
      <c r="D291" s="40" t="s">
        <v>35</v>
      </c>
      <c r="E291" s="37"/>
      <c r="F291" s="19">
        <v>680254</v>
      </c>
      <c r="G291" s="21"/>
      <c r="H291" s="19">
        <v>163188</v>
      </c>
      <c r="I291" s="22">
        <v>57727</v>
      </c>
      <c r="J291" s="22">
        <v>50988</v>
      </c>
      <c r="K291" s="22">
        <v>6739</v>
      </c>
      <c r="L291" s="22">
        <v>101066</v>
      </c>
      <c r="M291" s="23">
        <v>515959</v>
      </c>
      <c r="N291" s="22">
        <v>378441</v>
      </c>
      <c r="O291" s="22">
        <v>201568</v>
      </c>
      <c r="P291" s="22">
        <v>7415</v>
      </c>
      <c r="Q291" s="22">
        <v>77108</v>
      </c>
      <c r="R291" s="22">
        <v>31398</v>
      </c>
      <c r="S291" s="22">
        <v>28861</v>
      </c>
      <c r="T291" s="22">
        <v>32091</v>
      </c>
      <c r="U291" s="22">
        <v>895</v>
      </c>
      <c r="V291" s="22">
        <v>7507</v>
      </c>
      <c r="W291" s="22">
        <v>5725</v>
      </c>
      <c r="X291" s="22">
        <v>433</v>
      </c>
      <c r="Y291" s="22">
        <v>10928</v>
      </c>
      <c r="Z291" s="22">
        <v>10829</v>
      </c>
      <c r="AA291" s="22">
        <v>28981</v>
      </c>
      <c r="AB291" s="22">
        <v>1417</v>
      </c>
      <c r="AC291" s="22">
        <v>4</v>
      </c>
      <c r="AD291" s="22">
        <v>42898</v>
      </c>
      <c r="AE291" s="22">
        <v>11782</v>
      </c>
      <c r="AF291" s="22">
        <v>5259</v>
      </c>
      <c r="AG291" s="22">
        <v>14790</v>
      </c>
      <c r="AH291" s="22">
        <v>3834</v>
      </c>
      <c r="AI291" s="22">
        <v>24223</v>
      </c>
      <c r="AJ291" s="22">
        <v>3535</v>
      </c>
      <c r="AK291" s="22">
        <v>3918</v>
      </c>
      <c r="AL291" s="22">
        <v>12779</v>
      </c>
      <c r="AM291" s="24">
        <v>424</v>
      </c>
    </row>
    <row r="292" spans="1:39" ht="15.75" thickBot="1">
      <c r="A292" s="36">
        <f t="shared" si="51"/>
        <v>2024</v>
      </c>
      <c r="B292" s="36">
        <f t="shared" si="52"/>
        <v>2</v>
      </c>
      <c r="C292" s="39">
        <v>45328</v>
      </c>
      <c r="D292" s="40" t="s">
        <v>35</v>
      </c>
      <c r="E292" s="37"/>
      <c r="F292" s="19">
        <v>748379</v>
      </c>
      <c r="G292" s="21"/>
      <c r="H292" s="19">
        <v>206862</v>
      </c>
      <c r="I292" s="22">
        <v>129948</v>
      </c>
      <c r="J292" s="22">
        <v>114035</v>
      </c>
      <c r="K292" s="22">
        <v>15912</v>
      </c>
      <c r="L292" s="22">
        <v>74036</v>
      </c>
      <c r="M292" s="23">
        <v>537298</v>
      </c>
      <c r="N292" s="22">
        <v>357664</v>
      </c>
      <c r="O292" s="22">
        <v>214791</v>
      </c>
      <c r="P292" s="22">
        <v>8488</v>
      </c>
      <c r="Q292" s="22">
        <v>56703</v>
      </c>
      <c r="R292" s="22">
        <v>27952</v>
      </c>
      <c r="S292" s="22">
        <v>24203</v>
      </c>
      <c r="T292" s="22">
        <v>25526</v>
      </c>
      <c r="U292" s="22">
        <v>1487</v>
      </c>
      <c r="V292" s="22">
        <v>8755</v>
      </c>
      <c r="W292" s="22">
        <v>6991</v>
      </c>
      <c r="X292" s="22">
        <v>517</v>
      </c>
      <c r="Y292" s="22">
        <v>8851</v>
      </c>
      <c r="Z292" s="22">
        <v>8848</v>
      </c>
      <c r="AA292" s="22">
        <v>31083</v>
      </c>
      <c r="AB292" s="22">
        <v>2641</v>
      </c>
      <c r="AC292" s="22">
        <v>0</v>
      </c>
      <c r="AD292" s="22">
        <v>36241</v>
      </c>
      <c r="AE292" s="22">
        <v>11058</v>
      </c>
      <c r="AF292" s="22">
        <v>5119</v>
      </c>
      <c r="AG292" s="22">
        <v>12294</v>
      </c>
      <c r="AH292" s="22">
        <v>4661</v>
      </c>
      <c r="AI292" s="22">
        <v>20925</v>
      </c>
      <c r="AJ292" s="22">
        <v>4877</v>
      </c>
      <c r="AK292" s="22">
        <v>51391</v>
      </c>
      <c r="AL292" s="22">
        <v>12866</v>
      </c>
      <c r="AM292" s="24">
        <v>3542</v>
      </c>
    </row>
    <row r="293" spans="1:39" ht="15.75" thickBot="1">
      <c r="A293" s="36">
        <f t="shared" si="51"/>
        <v>2024</v>
      </c>
      <c r="B293" s="36">
        <f t="shared" si="52"/>
        <v>3</v>
      </c>
      <c r="C293" s="39">
        <v>45357</v>
      </c>
      <c r="D293" s="40" t="s">
        <v>35</v>
      </c>
      <c r="E293" s="37"/>
      <c r="F293" s="19">
        <v>676587</v>
      </c>
      <c r="G293" s="21"/>
      <c r="H293" s="19">
        <v>218079</v>
      </c>
      <c r="I293" s="22">
        <v>139439</v>
      </c>
      <c r="J293" s="22">
        <v>116788</v>
      </c>
      <c r="K293" s="22">
        <v>22651</v>
      </c>
      <c r="L293" s="22">
        <v>74358</v>
      </c>
      <c r="M293" s="23">
        <v>456325</v>
      </c>
      <c r="N293" s="22">
        <v>289261</v>
      </c>
      <c r="O293" s="22">
        <v>178489</v>
      </c>
      <c r="P293" s="22">
        <v>5875</v>
      </c>
      <c r="Q293" s="22">
        <v>49170</v>
      </c>
      <c r="R293" s="22">
        <v>14337</v>
      </c>
      <c r="S293" s="22">
        <v>18383</v>
      </c>
      <c r="T293" s="22">
        <v>23008</v>
      </c>
      <c r="U293" s="22">
        <v>1591</v>
      </c>
      <c r="V293" s="22">
        <v>9698</v>
      </c>
      <c r="W293" s="22">
        <v>7736</v>
      </c>
      <c r="X293" s="22">
        <v>751</v>
      </c>
      <c r="Y293" s="22">
        <v>11972</v>
      </c>
      <c r="Z293" s="22">
        <v>11970</v>
      </c>
      <c r="AA293" s="22">
        <v>23217</v>
      </c>
      <c r="AB293" s="22">
        <v>3575</v>
      </c>
      <c r="AC293" s="22">
        <v>5</v>
      </c>
      <c r="AD293" s="22">
        <v>35210</v>
      </c>
      <c r="AE293" s="22">
        <v>9405</v>
      </c>
      <c r="AF293" s="22">
        <v>3750</v>
      </c>
      <c r="AG293" s="22">
        <v>16332</v>
      </c>
      <c r="AH293" s="22">
        <v>2922</v>
      </c>
      <c r="AI293" s="22">
        <v>20376</v>
      </c>
      <c r="AJ293" s="22">
        <v>5273</v>
      </c>
      <c r="AK293" s="22">
        <v>40846</v>
      </c>
      <c r="AL293" s="22">
        <v>14550</v>
      </c>
      <c r="AM293" s="24">
        <v>1856</v>
      </c>
    </row>
    <row r="294" spans="1:39" ht="15.75" thickBot="1">
      <c r="A294" s="36">
        <f t="shared" si="51"/>
        <v>2024</v>
      </c>
      <c r="B294" s="36">
        <f t="shared" si="52"/>
        <v>4</v>
      </c>
      <c r="C294" s="39">
        <v>45388</v>
      </c>
      <c r="D294" s="40" t="s">
        <v>35</v>
      </c>
      <c r="E294" s="37"/>
      <c r="F294" s="19">
        <v>800682</v>
      </c>
      <c r="G294" s="21"/>
      <c r="H294" s="19">
        <v>245587</v>
      </c>
      <c r="I294" s="22">
        <v>149447</v>
      </c>
      <c r="J294" s="22">
        <v>120840</v>
      </c>
      <c r="K294" s="22">
        <v>28608</v>
      </c>
      <c r="L294" s="22">
        <v>88398</v>
      </c>
      <c r="M294" s="23">
        <v>554310</v>
      </c>
      <c r="N294" s="22">
        <v>344281</v>
      </c>
      <c r="O294" s="22">
        <v>206199</v>
      </c>
      <c r="P294" s="22">
        <v>6550</v>
      </c>
      <c r="Q294" s="22">
        <v>53799</v>
      </c>
      <c r="R294" s="22">
        <v>25943</v>
      </c>
      <c r="S294" s="22">
        <v>18158</v>
      </c>
      <c r="T294" s="22">
        <v>33632</v>
      </c>
      <c r="U294" s="22">
        <v>1028</v>
      </c>
      <c r="V294" s="22">
        <v>13279</v>
      </c>
      <c r="W294" s="22">
        <v>11229</v>
      </c>
      <c r="X294" s="22">
        <v>252</v>
      </c>
      <c r="Y294" s="22">
        <v>10857</v>
      </c>
      <c r="Z294" s="22">
        <v>10857</v>
      </c>
      <c r="AA294" s="22">
        <v>30570</v>
      </c>
      <c r="AB294" s="22">
        <v>3228</v>
      </c>
      <c r="AC294" s="22">
        <v>5</v>
      </c>
      <c r="AD294" s="22">
        <v>38626</v>
      </c>
      <c r="AE294" s="22">
        <v>9064</v>
      </c>
      <c r="AF294" s="22">
        <v>4232</v>
      </c>
      <c r="AG294" s="22">
        <v>17806</v>
      </c>
      <c r="AH294" s="22">
        <v>4747</v>
      </c>
      <c r="AI294" s="22">
        <v>23635</v>
      </c>
      <c r="AJ294" s="22">
        <v>6520</v>
      </c>
      <c r="AK294" s="22">
        <v>65210</v>
      </c>
      <c r="AL294" s="22">
        <v>16819</v>
      </c>
      <c r="AM294" s="24">
        <v>321</v>
      </c>
    </row>
    <row r="295" spans="1:39" ht="15.75" thickBot="1">
      <c r="A295" s="36">
        <f t="shared" si="51"/>
        <v>2024</v>
      </c>
      <c r="B295" s="36">
        <f t="shared" si="52"/>
        <v>5</v>
      </c>
      <c r="C295" s="39">
        <v>45418</v>
      </c>
      <c r="D295" s="40" t="s">
        <v>35</v>
      </c>
      <c r="E295" s="37"/>
      <c r="F295" s="19">
        <v>946066</v>
      </c>
      <c r="G295" s="21"/>
      <c r="H295" s="19">
        <v>344273</v>
      </c>
      <c r="I295" s="22">
        <v>286239</v>
      </c>
      <c r="J295" s="22">
        <v>230983</v>
      </c>
      <c r="K295" s="22">
        <v>55256</v>
      </c>
      <c r="L295" s="22">
        <v>51839</v>
      </c>
      <c r="M295" s="23">
        <v>565469</v>
      </c>
      <c r="N295" s="22">
        <v>391375</v>
      </c>
      <c r="O295" s="22">
        <v>221450</v>
      </c>
      <c r="P295" s="22">
        <v>5322</v>
      </c>
      <c r="Q295" s="22">
        <v>57175</v>
      </c>
      <c r="R295" s="22">
        <v>55637</v>
      </c>
      <c r="S295" s="22">
        <v>23898</v>
      </c>
      <c r="T295" s="22">
        <v>27892</v>
      </c>
      <c r="U295" s="22">
        <v>1090</v>
      </c>
      <c r="V295" s="22">
        <v>8413</v>
      </c>
      <c r="W295" s="22">
        <v>6286</v>
      </c>
      <c r="X295" s="22">
        <v>444</v>
      </c>
      <c r="Y295" s="22">
        <v>12611</v>
      </c>
      <c r="Z295" s="22">
        <v>12607</v>
      </c>
      <c r="AA295" s="22">
        <v>32346</v>
      </c>
      <c r="AB295" s="22">
        <v>3740</v>
      </c>
      <c r="AC295" s="22">
        <v>2</v>
      </c>
      <c r="AD295" s="22">
        <v>37673</v>
      </c>
      <c r="AE295" s="22">
        <v>7944</v>
      </c>
      <c r="AF295" s="22">
        <v>3460</v>
      </c>
      <c r="AG295" s="22">
        <v>16715</v>
      </c>
      <c r="AH295" s="22">
        <v>5898</v>
      </c>
      <c r="AI295" s="22">
        <v>22118</v>
      </c>
      <c r="AJ295" s="22">
        <v>5492</v>
      </c>
      <c r="AK295" s="22">
        <v>32022</v>
      </c>
      <c r="AL295" s="22">
        <v>18143</v>
      </c>
      <c r="AM295" s="24">
        <v>35793</v>
      </c>
    </row>
    <row r="296" spans="1:39" ht="15.75" thickBot="1">
      <c r="A296" s="36">
        <f t="shared" si="51"/>
        <v>2024</v>
      </c>
      <c r="B296" s="36">
        <f t="shared" si="52"/>
        <v>6</v>
      </c>
      <c r="C296" s="39">
        <v>45449</v>
      </c>
      <c r="D296" s="40" t="s">
        <v>35</v>
      </c>
      <c r="E296" s="37"/>
      <c r="F296" s="19">
        <v>975844</v>
      </c>
      <c r="G296" s="21"/>
      <c r="H296" s="19">
        <v>400265</v>
      </c>
      <c r="I296" s="22">
        <v>333417</v>
      </c>
      <c r="J296" s="22">
        <v>303226</v>
      </c>
      <c r="K296" s="22">
        <v>30191</v>
      </c>
      <c r="L296" s="22">
        <v>59882</v>
      </c>
      <c r="M296" s="23">
        <v>558989</v>
      </c>
      <c r="N296" s="22">
        <v>393901</v>
      </c>
      <c r="O296" s="22">
        <v>214566</v>
      </c>
      <c r="P296" s="22">
        <v>3400</v>
      </c>
      <c r="Q296" s="22">
        <v>62452</v>
      </c>
      <c r="R296" s="22">
        <v>58919</v>
      </c>
      <c r="S296" s="22">
        <v>26414</v>
      </c>
      <c r="T296" s="22">
        <v>28150</v>
      </c>
      <c r="U296" s="22">
        <v>1255</v>
      </c>
      <c r="V296" s="22">
        <v>9107</v>
      </c>
      <c r="W296" s="22">
        <v>7134</v>
      </c>
      <c r="X296" s="22">
        <v>1174</v>
      </c>
      <c r="Y296" s="22">
        <v>12405</v>
      </c>
      <c r="Z296" s="22">
        <v>12402</v>
      </c>
      <c r="AA296" s="22">
        <v>25616</v>
      </c>
      <c r="AB296" s="22">
        <v>3713</v>
      </c>
      <c r="AC296" s="22">
        <v>3</v>
      </c>
      <c r="AD296" s="22">
        <v>33020</v>
      </c>
      <c r="AE296" s="22">
        <v>8102</v>
      </c>
      <c r="AF296" s="22">
        <v>2471</v>
      </c>
      <c r="AG296" s="22">
        <v>15518</v>
      </c>
      <c r="AH296" s="22">
        <v>4386</v>
      </c>
      <c r="AI296" s="22">
        <v>21433</v>
      </c>
      <c r="AJ296" s="22">
        <v>4626</v>
      </c>
      <c r="AK296" s="22">
        <v>35906</v>
      </c>
      <c r="AL296" s="22">
        <v>16831</v>
      </c>
      <c r="AM296" s="24">
        <v>15980</v>
      </c>
    </row>
    <row r="297" spans="1:39" ht="15.75" thickBot="1">
      <c r="A297" s="36">
        <f t="shared" si="51"/>
        <v>2024</v>
      </c>
      <c r="B297" s="36">
        <f t="shared" si="52"/>
        <v>7</v>
      </c>
      <c r="C297" s="39">
        <v>45479</v>
      </c>
      <c r="D297" s="40" t="s">
        <v>35</v>
      </c>
      <c r="E297" s="37"/>
      <c r="F297" s="19">
        <v>978454</v>
      </c>
      <c r="G297" s="21"/>
      <c r="H297" s="19">
        <v>425580</v>
      </c>
      <c r="I297" s="22">
        <v>336187</v>
      </c>
      <c r="J297" s="22">
        <v>309015</v>
      </c>
      <c r="K297" s="22">
        <v>27172</v>
      </c>
      <c r="L297" s="22">
        <v>81422</v>
      </c>
      <c r="M297" s="23">
        <v>541954</v>
      </c>
      <c r="N297" s="22">
        <v>342571</v>
      </c>
      <c r="O297" s="22">
        <v>175737</v>
      </c>
      <c r="P297" s="22">
        <v>3427</v>
      </c>
      <c r="Q297" s="22">
        <v>70557</v>
      </c>
      <c r="R297" s="22">
        <v>45941</v>
      </c>
      <c r="S297" s="22">
        <v>17362</v>
      </c>
      <c r="T297" s="22">
        <v>29547</v>
      </c>
      <c r="U297" s="22">
        <v>955</v>
      </c>
      <c r="V297" s="22">
        <v>10271</v>
      </c>
      <c r="W297" s="22">
        <v>6682</v>
      </c>
      <c r="X297" s="22">
        <v>737</v>
      </c>
      <c r="Y297" s="22">
        <v>14137</v>
      </c>
      <c r="Z297" s="22">
        <v>14114</v>
      </c>
      <c r="AA297" s="22">
        <v>27222</v>
      </c>
      <c r="AB297" s="22">
        <v>3649</v>
      </c>
      <c r="AC297" s="22">
        <v>3</v>
      </c>
      <c r="AD297" s="22">
        <v>43168</v>
      </c>
      <c r="AE297" s="22">
        <v>9508</v>
      </c>
      <c r="AF297" s="22">
        <v>5538</v>
      </c>
      <c r="AG297" s="22">
        <v>18510</v>
      </c>
      <c r="AH297" s="22">
        <v>6741</v>
      </c>
      <c r="AI297" s="22">
        <v>23564</v>
      </c>
      <c r="AJ297" s="22">
        <v>4715</v>
      </c>
      <c r="AK297" s="22">
        <v>51417</v>
      </c>
      <c r="AL297" s="22">
        <v>19543</v>
      </c>
      <c r="AM297" s="24">
        <v>10375</v>
      </c>
    </row>
    <row r="298" spans="1:39" ht="15.75" thickBot="1">
      <c r="A298" s="36">
        <f t="shared" si="51"/>
        <v>2024</v>
      </c>
      <c r="B298" s="36">
        <f t="shared" si="52"/>
        <v>8</v>
      </c>
      <c r="C298" s="39">
        <v>45510</v>
      </c>
      <c r="D298" s="40" t="s">
        <v>35</v>
      </c>
      <c r="E298" s="37"/>
      <c r="F298" s="19">
        <v>976674</v>
      </c>
      <c r="G298" s="21"/>
      <c r="H298" s="19">
        <v>357089</v>
      </c>
      <c r="I298" s="22">
        <v>227691</v>
      </c>
      <c r="J298" s="22">
        <v>171894</v>
      </c>
      <c r="K298" s="22">
        <v>55797</v>
      </c>
      <c r="L298" s="22">
        <v>120694</v>
      </c>
      <c r="M298" s="23">
        <v>595232</v>
      </c>
      <c r="N298" s="22">
        <v>407484</v>
      </c>
      <c r="O298" s="22">
        <v>225745</v>
      </c>
      <c r="P298" s="22">
        <v>11688</v>
      </c>
      <c r="Q298" s="22">
        <v>62206</v>
      </c>
      <c r="R298" s="22">
        <v>40577</v>
      </c>
      <c r="S298" s="22">
        <v>31611</v>
      </c>
      <c r="T298" s="22">
        <v>35656</v>
      </c>
      <c r="U298" s="22">
        <v>744</v>
      </c>
      <c r="V298" s="22">
        <v>10886</v>
      </c>
      <c r="W298" s="22">
        <v>8422</v>
      </c>
      <c r="X298" s="22">
        <v>469</v>
      </c>
      <c r="Y298" s="22">
        <v>11757</v>
      </c>
      <c r="Z298" s="22">
        <v>11748</v>
      </c>
      <c r="AA298" s="22">
        <v>19093</v>
      </c>
      <c r="AB298" s="22">
        <v>3722</v>
      </c>
      <c r="AC298" s="22">
        <v>0</v>
      </c>
      <c r="AD298" s="22">
        <v>45065</v>
      </c>
      <c r="AE298" s="22">
        <v>10280</v>
      </c>
      <c r="AF298" s="22">
        <v>6196</v>
      </c>
      <c r="AG298" s="22">
        <v>18787</v>
      </c>
      <c r="AH298" s="22">
        <v>6729</v>
      </c>
      <c r="AI298" s="22">
        <v>21401</v>
      </c>
      <c r="AJ298" s="22">
        <v>5233</v>
      </c>
      <c r="AK298" s="22">
        <v>49960</v>
      </c>
      <c r="AL298" s="22">
        <v>19417</v>
      </c>
      <c r="AM298" s="24">
        <v>24220</v>
      </c>
    </row>
    <row r="299" spans="1:39" ht="15.75" thickBot="1">
      <c r="A299" s="36">
        <f t="shared" si="51"/>
        <v>2024</v>
      </c>
      <c r="B299" s="36">
        <f t="shared" si="52"/>
        <v>9</v>
      </c>
      <c r="C299" s="39">
        <v>45541</v>
      </c>
      <c r="D299" s="40" t="s">
        <v>35</v>
      </c>
      <c r="E299" s="37"/>
      <c r="F299" s="19">
        <v>861370</v>
      </c>
      <c r="G299" s="21"/>
      <c r="H299" s="19">
        <v>241455</v>
      </c>
      <c r="I299" s="22">
        <v>144010</v>
      </c>
      <c r="J299" s="22">
        <v>107707</v>
      </c>
      <c r="K299" s="22">
        <v>36303</v>
      </c>
      <c r="L299" s="22">
        <v>89412</v>
      </c>
      <c r="M299" s="23">
        <v>607563</v>
      </c>
      <c r="N299" s="22">
        <v>416855</v>
      </c>
      <c r="O299" s="22">
        <v>205021</v>
      </c>
      <c r="P299" s="22">
        <v>13112</v>
      </c>
      <c r="Q299" s="22">
        <v>77618</v>
      </c>
      <c r="R299" s="22">
        <v>58236</v>
      </c>
      <c r="S299" s="22">
        <v>31993</v>
      </c>
      <c r="T299" s="22">
        <v>30875</v>
      </c>
      <c r="U299" s="22">
        <v>1323</v>
      </c>
      <c r="V299" s="22">
        <v>10530</v>
      </c>
      <c r="W299" s="22">
        <v>7078</v>
      </c>
      <c r="X299" s="22">
        <v>578</v>
      </c>
      <c r="Y299" s="22">
        <v>14979</v>
      </c>
      <c r="Z299" s="22">
        <v>14971</v>
      </c>
      <c r="AA299" s="22">
        <v>31100</v>
      </c>
      <c r="AB299" s="22">
        <v>3141</v>
      </c>
      <c r="AC299" s="22">
        <v>53</v>
      </c>
      <c r="AD299" s="22">
        <v>48997</v>
      </c>
      <c r="AE299" s="22">
        <v>12267</v>
      </c>
      <c r="AF299" s="22">
        <v>6581</v>
      </c>
      <c r="AG299" s="22">
        <v>19191</v>
      </c>
      <c r="AH299" s="22">
        <v>4957</v>
      </c>
      <c r="AI299" s="22">
        <v>22007</v>
      </c>
      <c r="AJ299" s="22">
        <v>4735</v>
      </c>
      <c r="AK299" s="22">
        <v>33350</v>
      </c>
      <c r="AL299" s="22">
        <v>19916</v>
      </c>
      <c r="AM299" s="24">
        <v>11924</v>
      </c>
    </row>
    <row r="300" spans="1:39" ht="15.75" thickBot="1">
      <c r="A300" s="36">
        <f t="shared" si="51"/>
        <v>2024</v>
      </c>
      <c r="B300" s="36">
        <f t="shared" si="52"/>
        <v>10</v>
      </c>
      <c r="C300" s="39">
        <v>45571</v>
      </c>
      <c r="D300" s="40" t="s">
        <v>35</v>
      </c>
      <c r="E300" s="37"/>
      <c r="F300" s="19">
        <v>993523</v>
      </c>
      <c r="G300" s="21"/>
      <c r="H300" s="19">
        <v>324809</v>
      </c>
      <c r="I300" s="22">
        <v>212616</v>
      </c>
      <c r="J300" s="22">
        <v>174812</v>
      </c>
      <c r="K300" s="22">
        <v>37803</v>
      </c>
      <c r="L300" s="22">
        <v>105011</v>
      </c>
      <c r="M300" s="23">
        <v>650711</v>
      </c>
      <c r="N300" s="22">
        <v>419980</v>
      </c>
      <c r="O300" s="22">
        <v>223352</v>
      </c>
      <c r="P300" s="22">
        <v>11977</v>
      </c>
      <c r="Q300" s="22">
        <v>88901</v>
      </c>
      <c r="R300" s="22">
        <v>40506</v>
      </c>
      <c r="S300" s="22">
        <v>18980</v>
      </c>
      <c r="T300" s="22">
        <v>36264</v>
      </c>
      <c r="U300" s="22">
        <v>673</v>
      </c>
      <c r="V300" s="22">
        <v>11558</v>
      </c>
      <c r="W300" s="22">
        <v>9578</v>
      </c>
      <c r="X300" s="22">
        <v>501</v>
      </c>
      <c r="Y300" s="22">
        <v>13656</v>
      </c>
      <c r="Z300" s="22">
        <v>13654</v>
      </c>
      <c r="AA300" s="22">
        <v>24455</v>
      </c>
      <c r="AB300" s="22">
        <v>2857</v>
      </c>
      <c r="AC300" s="22">
        <v>48</v>
      </c>
      <c r="AD300" s="22">
        <v>55660</v>
      </c>
      <c r="AE300" s="22">
        <v>12365</v>
      </c>
      <c r="AF300" s="22">
        <v>8876</v>
      </c>
      <c r="AG300" s="22">
        <v>20241</v>
      </c>
      <c r="AH300" s="22">
        <v>5608</v>
      </c>
      <c r="AI300" s="22">
        <v>25351</v>
      </c>
      <c r="AJ300" s="22">
        <v>8040</v>
      </c>
      <c r="AK300" s="22">
        <v>64708</v>
      </c>
      <c r="AL300" s="22">
        <v>23225</v>
      </c>
      <c r="AM300" s="24">
        <v>17281</v>
      </c>
    </row>
    <row r="301" spans="1:39" ht="15.75" thickBot="1">
      <c r="A301" s="36">
        <f t="shared" si="51"/>
        <v>2024</v>
      </c>
      <c r="B301" s="36">
        <f t="shared" si="52"/>
        <v>11</v>
      </c>
      <c r="C301" s="39">
        <v>45602</v>
      </c>
      <c r="D301" s="40" t="s">
        <v>35</v>
      </c>
      <c r="E301" s="37"/>
      <c r="F301" s="19">
        <v>891586</v>
      </c>
      <c r="G301" s="21"/>
      <c r="H301" s="19">
        <v>183468</v>
      </c>
      <c r="I301" s="22">
        <v>104930</v>
      </c>
      <c r="J301" s="22">
        <v>65692</v>
      </c>
      <c r="K301" s="22">
        <v>39238</v>
      </c>
      <c r="L301" s="22">
        <v>73300</v>
      </c>
      <c r="M301" s="23">
        <v>696849</v>
      </c>
      <c r="N301" s="22">
        <v>484602</v>
      </c>
      <c r="O301" s="22">
        <v>267374</v>
      </c>
      <c r="P301" s="22">
        <v>11534</v>
      </c>
      <c r="Q301" s="22">
        <v>85998</v>
      </c>
      <c r="R301" s="22">
        <v>59308</v>
      </c>
      <c r="S301" s="22">
        <v>28159</v>
      </c>
      <c r="T301" s="22">
        <v>32228</v>
      </c>
      <c r="U301" s="22">
        <v>2029</v>
      </c>
      <c r="V301" s="22">
        <v>8954</v>
      </c>
      <c r="W301" s="22">
        <v>7362</v>
      </c>
      <c r="X301" s="22">
        <v>230</v>
      </c>
      <c r="Y301" s="22">
        <v>11415</v>
      </c>
      <c r="Z301" s="22">
        <v>10671</v>
      </c>
      <c r="AA301" s="22">
        <v>33203</v>
      </c>
      <c r="AB301" s="22">
        <v>2188</v>
      </c>
      <c r="AC301" s="22">
        <v>2</v>
      </c>
      <c r="AD301" s="22">
        <v>40422</v>
      </c>
      <c r="AE301" s="22">
        <v>9094</v>
      </c>
      <c r="AF301" s="22">
        <v>7970</v>
      </c>
      <c r="AG301" s="22">
        <v>15698</v>
      </c>
      <c r="AH301" s="22">
        <v>4435</v>
      </c>
      <c r="AI301" s="22">
        <v>23476</v>
      </c>
      <c r="AJ301" s="22">
        <v>6844</v>
      </c>
      <c r="AK301" s="22">
        <v>61204</v>
      </c>
      <c r="AL301" s="22">
        <v>22280</v>
      </c>
      <c r="AM301" s="24">
        <v>10508</v>
      </c>
    </row>
    <row r="302" spans="1:39" ht="15.75" thickBot="1">
      <c r="A302" s="36">
        <f t="shared" si="51"/>
        <v>2024</v>
      </c>
      <c r="B302" s="36">
        <f t="shared" si="52"/>
        <v>12</v>
      </c>
      <c r="C302" s="39">
        <v>45632</v>
      </c>
      <c r="D302" s="40" t="s">
        <v>35</v>
      </c>
      <c r="E302" s="37"/>
      <c r="F302" s="19">
        <v>723579</v>
      </c>
      <c r="G302" s="21"/>
      <c r="H302" s="19">
        <v>157093</v>
      </c>
      <c r="I302" s="22">
        <v>86315</v>
      </c>
      <c r="J302" s="22">
        <v>55644</v>
      </c>
      <c r="K302" s="22">
        <v>30671</v>
      </c>
      <c r="L302" s="22">
        <v>66813</v>
      </c>
      <c r="M302" s="23">
        <v>564299</v>
      </c>
      <c r="N302" s="22">
        <v>356419</v>
      </c>
      <c r="O302" s="22">
        <v>218239</v>
      </c>
      <c r="P302" s="22">
        <v>7836</v>
      </c>
      <c r="Q302" s="22">
        <v>53646</v>
      </c>
      <c r="R302" s="22">
        <v>32444</v>
      </c>
      <c r="S302" s="22">
        <v>19151</v>
      </c>
      <c r="T302" s="22">
        <v>25104</v>
      </c>
      <c r="U302" s="22">
        <v>2243</v>
      </c>
      <c r="V302" s="22">
        <v>9384</v>
      </c>
      <c r="W302" s="22">
        <v>6743</v>
      </c>
      <c r="X302" s="22">
        <v>782</v>
      </c>
      <c r="Y302" s="22">
        <v>14012</v>
      </c>
      <c r="Z302" s="22">
        <v>13095</v>
      </c>
      <c r="AA302" s="22">
        <v>28686</v>
      </c>
      <c r="AB302" s="22">
        <v>2890</v>
      </c>
      <c r="AC302" s="22">
        <v>103</v>
      </c>
      <c r="AD302" s="22">
        <v>40912</v>
      </c>
      <c r="AE302" s="22">
        <v>9009</v>
      </c>
      <c r="AF302" s="22">
        <v>3233</v>
      </c>
      <c r="AG302" s="22">
        <v>16617</v>
      </c>
      <c r="AH302" s="22">
        <v>4421</v>
      </c>
      <c r="AI302" s="22">
        <v>22714</v>
      </c>
      <c r="AJ302" s="22">
        <v>6243</v>
      </c>
      <c r="AK302" s="22">
        <v>59502</v>
      </c>
      <c r="AL302" s="22">
        <v>20409</v>
      </c>
      <c r="AM302" s="24">
        <v>1345</v>
      </c>
    </row>
    <row r="303" spans="1:39" ht="15.75" thickBot="1">
      <c r="A303" s="36">
        <f t="shared" si="51"/>
        <v>2025</v>
      </c>
      <c r="B303" s="36">
        <f t="shared" si="52"/>
        <v>1</v>
      </c>
      <c r="C303" s="39">
        <v>45663</v>
      </c>
      <c r="D303" s="40" t="s">
        <v>35</v>
      </c>
      <c r="E303" s="37"/>
      <c r="F303" s="19">
        <v>755907</v>
      </c>
      <c r="G303" s="21"/>
      <c r="H303" s="19">
        <v>179819</v>
      </c>
      <c r="I303" s="22">
        <v>89538</v>
      </c>
      <c r="J303" s="22">
        <v>67815</v>
      </c>
      <c r="K303" s="22">
        <v>21723</v>
      </c>
      <c r="L303" s="22">
        <v>85280</v>
      </c>
      <c r="M303" s="23">
        <v>575011</v>
      </c>
      <c r="N303" s="22">
        <v>423930</v>
      </c>
      <c r="O303" s="22">
        <v>219717</v>
      </c>
      <c r="P303" s="22">
        <v>5921</v>
      </c>
      <c r="Q303" s="22">
        <v>84174</v>
      </c>
      <c r="R303" s="22">
        <v>55896</v>
      </c>
      <c r="S303" s="22">
        <v>26988</v>
      </c>
      <c r="T303" s="22">
        <v>31235</v>
      </c>
      <c r="U303" s="22">
        <v>1131</v>
      </c>
      <c r="V303" s="22">
        <v>7714</v>
      </c>
      <c r="W303" s="22">
        <v>6653</v>
      </c>
      <c r="X303" s="22">
        <v>789</v>
      </c>
      <c r="Y303" s="22">
        <v>9750</v>
      </c>
      <c r="Z303" s="22">
        <v>9750</v>
      </c>
      <c r="AA303" s="22">
        <v>30023</v>
      </c>
      <c r="AB303" s="22">
        <v>2611</v>
      </c>
      <c r="AC303" s="22">
        <v>5</v>
      </c>
      <c r="AD303" s="22">
        <v>36775</v>
      </c>
      <c r="AE303" s="22">
        <v>9600</v>
      </c>
      <c r="AF303" s="22">
        <v>3242</v>
      </c>
      <c r="AG303" s="22">
        <v>14136</v>
      </c>
      <c r="AH303" s="22">
        <v>4932</v>
      </c>
      <c r="AI303" s="22">
        <v>23347</v>
      </c>
      <c r="AJ303" s="22">
        <v>3259</v>
      </c>
      <c r="AK303" s="22">
        <v>19952</v>
      </c>
      <c r="AL303" s="22">
        <v>15727</v>
      </c>
      <c r="AM303" s="24">
        <v>0</v>
      </c>
    </row>
    <row r="304" spans="1:39" ht="15.75" thickBot="1">
      <c r="A304" s="36">
        <f t="shared" si="51"/>
        <v>2025</v>
      </c>
      <c r="B304" s="36">
        <f t="shared" si="52"/>
        <v>2</v>
      </c>
      <c r="C304" s="39">
        <v>45694</v>
      </c>
      <c r="D304" s="40" t="s">
        <v>35</v>
      </c>
      <c r="E304" s="37"/>
      <c r="F304" s="19">
        <v>815489</v>
      </c>
      <c r="G304" s="21"/>
      <c r="H304" s="19">
        <v>212487</v>
      </c>
      <c r="I304" s="22">
        <v>121759</v>
      </c>
      <c r="J304" s="22">
        <v>82194</v>
      </c>
      <c r="K304" s="22">
        <v>39565</v>
      </c>
      <c r="L304" s="22">
        <v>86139</v>
      </c>
      <c r="M304" s="23">
        <v>601673</v>
      </c>
      <c r="N304" s="22">
        <v>434758</v>
      </c>
      <c r="O304" s="22">
        <v>279741</v>
      </c>
      <c r="P304" s="22">
        <v>10280</v>
      </c>
      <c r="Q304" s="22">
        <v>72574</v>
      </c>
      <c r="R304" s="22">
        <v>32414</v>
      </c>
      <c r="S304" s="22">
        <v>9420</v>
      </c>
      <c r="T304" s="22">
        <v>30328</v>
      </c>
      <c r="U304" s="22">
        <v>1692</v>
      </c>
      <c r="V304" s="22">
        <v>9763</v>
      </c>
      <c r="W304" s="22">
        <v>7711</v>
      </c>
      <c r="X304" s="22">
        <v>749</v>
      </c>
      <c r="Y304" s="22">
        <v>9539</v>
      </c>
      <c r="Z304" s="22">
        <v>9522</v>
      </c>
      <c r="AA304" s="22">
        <v>27075</v>
      </c>
      <c r="AB304" s="22">
        <v>3137</v>
      </c>
      <c r="AC304" s="22">
        <v>128</v>
      </c>
      <c r="AD304" s="22">
        <v>37807</v>
      </c>
      <c r="AE304" s="22">
        <v>10015</v>
      </c>
      <c r="AF304" s="22">
        <v>3121</v>
      </c>
      <c r="AG304" s="22">
        <v>14906</v>
      </c>
      <c r="AH304" s="22">
        <v>5379</v>
      </c>
      <c r="AI304" s="22">
        <v>22283</v>
      </c>
      <c r="AJ304" s="22">
        <v>6491</v>
      </c>
      <c r="AK304" s="22">
        <v>34844</v>
      </c>
      <c r="AL304" s="22">
        <v>13408</v>
      </c>
      <c r="AM304" s="24">
        <v>511</v>
      </c>
    </row>
    <row r="305" spans="1:39" ht="15.75" thickBot="1">
      <c r="A305" s="36">
        <f t="shared" si="51"/>
        <v>2025</v>
      </c>
      <c r="B305" s="36">
        <f t="shared" si="52"/>
        <v>3</v>
      </c>
      <c r="C305" s="39">
        <v>45722</v>
      </c>
      <c r="D305" s="40" t="s">
        <v>35</v>
      </c>
      <c r="E305" s="37"/>
      <c r="F305" s="19">
        <v>782317</v>
      </c>
      <c r="G305" s="21"/>
      <c r="H305" s="19">
        <v>190775</v>
      </c>
      <c r="I305" s="22">
        <v>97210</v>
      </c>
      <c r="J305" s="22">
        <v>68683</v>
      </c>
      <c r="K305" s="22">
        <v>28527</v>
      </c>
      <c r="L305" s="22">
        <v>87430</v>
      </c>
      <c r="M305" s="23">
        <v>590430</v>
      </c>
      <c r="N305" s="22">
        <v>431067</v>
      </c>
      <c r="O305" s="22">
        <v>263176</v>
      </c>
      <c r="P305" s="22">
        <v>6898</v>
      </c>
      <c r="Q305" s="22">
        <v>77307</v>
      </c>
      <c r="R305" s="22">
        <v>21223</v>
      </c>
      <c r="S305" s="22">
        <v>28429</v>
      </c>
      <c r="T305" s="22">
        <v>34033</v>
      </c>
      <c r="U305" s="22">
        <v>2179</v>
      </c>
      <c r="V305" s="22">
        <v>8443</v>
      </c>
      <c r="W305" s="22">
        <v>6602</v>
      </c>
      <c r="X305" s="22">
        <v>414</v>
      </c>
      <c r="Y305" s="22">
        <v>10269</v>
      </c>
      <c r="Z305" s="22">
        <v>10268</v>
      </c>
      <c r="AA305" s="22">
        <v>33167</v>
      </c>
      <c r="AB305" s="22">
        <v>3094</v>
      </c>
      <c r="AC305" s="22">
        <v>5</v>
      </c>
      <c r="AD305" s="22">
        <v>40192</v>
      </c>
      <c r="AE305" s="22">
        <v>10419</v>
      </c>
      <c r="AF305" s="22">
        <v>3430</v>
      </c>
      <c r="AG305" s="22">
        <v>15669</v>
      </c>
      <c r="AH305" s="22">
        <v>6284</v>
      </c>
      <c r="AI305" s="22">
        <v>21746</v>
      </c>
      <c r="AJ305" s="22">
        <v>4985</v>
      </c>
      <c r="AK305" s="22">
        <v>21592</v>
      </c>
      <c r="AL305" s="22">
        <v>13277</v>
      </c>
      <c r="AM305" s="24">
        <v>365</v>
      </c>
    </row>
    <row r="306" spans="1:39" ht="15.75" thickBot="1">
      <c r="A306" s="36">
        <f t="shared" si="51"/>
        <v>2025</v>
      </c>
      <c r="B306" s="36">
        <f t="shared" si="52"/>
        <v>4</v>
      </c>
      <c r="C306" s="39">
        <v>45753</v>
      </c>
      <c r="D306" s="40" t="s">
        <v>35</v>
      </c>
      <c r="E306" s="37"/>
      <c r="F306" s="19">
        <v>804458</v>
      </c>
      <c r="G306" s="21"/>
      <c r="H306" s="19">
        <v>213644</v>
      </c>
      <c r="I306" s="22">
        <v>140682</v>
      </c>
      <c r="J306" s="22">
        <v>111674</v>
      </c>
      <c r="K306" s="22">
        <v>29008</v>
      </c>
      <c r="L306" s="22">
        <v>66889</v>
      </c>
      <c r="M306" s="23">
        <v>589740</v>
      </c>
      <c r="N306" s="22">
        <v>382163</v>
      </c>
      <c r="O306" s="22">
        <v>238439</v>
      </c>
      <c r="P306" s="22">
        <v>10856</v>
      </c>
      <c r="Q306" s="22">
        <v>59619</v>
      </c>
      <c r="R306" s="22">
        <v>25060</v>
      </c>
      <c r="S306" s="22">
        <v>13710</v>
      </c>
      <c r="T306" s="22">
        <v>34478</v>
      </c>
      <c r="U306" s="22">
        <v>1592</v>
      </c>
      <c r="V306" s="22">
        <v>10511</v>
      </c>
      <c r="W306" s="22">
        <v>8913</v>
      </c>
      <c r="X306" s="22">
        <v>568</v>
      </c>
      <c r="Y306" s="22">
        <v>8793</v>
      </c>
      <c r="Z306" s="22">
        <v>8786</v>
      </c>
      <c r="AA306" s="22">
        <v>26015</v>
      </c>
      <c r="AB306" s="22">
        <v>2925</v>
      </c>
      <c r="AC306" s="22">
        <v>7</v>
      </c>
      <c r="AD306" s="22">
        <v>38602</v>
      </c>
      <c r="AE306" s="22">
        <v>7184</v>
      </c>
      <c r="AF306" s="22">
        <v>3124</v>
      </c>
      <c r="AG306" s="22">
        <v>18444</v>
      </c>
      <c r="AH306" s="22">
        <v>5961</v>
      </c>
      <c r="AI306" s="22">
        <v>24530</v>
      </c>
      <c r="AJ306" s="22">
        <v>4779</v>
      </c>
      <c r="AK306" s="22">
        <v>73980</v>
      </c>
      <c r="AL306" s="22">
        <v>15275</v>
      </c>
      <c r="AM306" s="24">
        <v>0</v>
      </c>
    </row>
    <row r="307" spans="1:39" ht="15.75" thickBot="1">
      <c r="A307" s="36">
        <f t="shared" si="51"/>
        <v>2025</v>
      </c>
      <c r="B307" s="36">
        <f t="shared" si="52"/>
        <v>5</v>
      </c>
      <c r="C307" s="39">
        <v>45783</v>
      </c>
      <c r="D307" s="40" t="s">
        <v>35</v>
      </c>
      <c r="E307" s="37"/>
      <c r="F307" s="19">
        <v>950367</v>
      </c>
      <c r="G307" s="21"/>
      <c r="H307" s="19">
        <v>307969</v>
      </c>
      <c r="I307" s="22">
        <v>223244</v>
      </c>
      <c r="J307" s="22">
        <v>180874</v>
      </c>
      <c r="K307" s="22">
        <v>42370</v>
      </c>
      <c r="L307" s="22">
        <v>79499</v>
      </c>
      <c r="M307" s="23">
        <v>639529</v>
      </c>
      <c r="N307" s="22">
        <v>458484</v>
      </c>
      <c r="O307" s="22">
        <v>295546</v>
      </c>
      <c r="P307" s="22">
        <v>13902</v>
      </c>
      <c r="Q307" s="22">
        <v>58767</v>
      </c>
      <c r="R307" s="22">
        <v>35152</v>
      </c>
      <c r="S307" s="22">
        <v>13768</v>
      </c>
      <c r="T307" s="22">
        <v>41348</v>
      </c>
      <c r="U307" s="22">
        <v>1765</v>
      </c>
      <c r="V307" s="22">
        <v>11890</v>
      </c>
      <c r="W307" s="22">
        <v>9895</v>
      </c>
      <c r="X307" s="22">
        <v>755</v>
      </c>
      <c r="Y307" s="22">
        <v>8963</v>
      </c>
      <c r="Z307" s="22">
        <v>8872</v>
      </c>
      <c r="AA307" s="22">
        <v>33314</v>
      </c>
      <c r="AB307" s="22">
        <v>3993</v>
      </c>
      <c r="AC307" s="22">
        <v>0</v>
      </c>
      <c r="AD307" s="22">
        <v>38236</v>
      </c>
      <c r="AE307" s="22">
        <v>7997</v>
      </c>
      <c r="AF307" s="22">
        <v>2554</v>
      </c>
      <c r="AG307" s="22">
        <v>17656</v>
      </c>
      <c r="AH307" s="22">
        <v>6501</v>
      </c>
      <c r="AI307" s="22">
        <v>21268</v>
      </c>
      <c r="AJ307" s="22">
        <v>7252</v>
      </c>
      <c r="AK307" s="22">
        <v>40748</v>
      </c>
      <c r="AL307" s="22">
        <v>12860</v>
      </c>
      <c r="AM307" s="24">
        <v>2300</v>
      </c>
    </row>
    <row r="308" spans="1:39" ht="15.75" thickBot="1">
      <c r="A308" s="36">
        <f t="shared" si="51"/>
        <v>2025</v>
      </c>
      <c r="B308" s="36">
        <f t="shared" si="52"/>
        <v>6</v>
      </c>
      <c r="C308" s="39">
        <v>45814</v>
      </c>
      <c r="D308" s="40" t="s">
        <v>35</v>
      </c>
      <c r="E308" s="37"/>
      <c r="F308" s="19">
        <v>1148417</v>
      </c>
      <c r="G308" s="21"/>
      <c r="H308" s="19">
        <v>505260</v>
      </c>
      <c r="I308" s="22">
        <v>395329</v>
      </c>
      <c r="J308" s="22">
        <v>341777</v>
      </c>
      <c r="K308" s="22">
        <v>53551</v>
      </c>
      <c r="L308" s="22">
        <v>105439</v>
      </c>
      <c r="M308" s="23">
        <v>629658</v>
      </c>
      <c r="N308" s="22">
        <v>439287</v>
      </c>
      <c r="O308" s="22">
        <v>260994</v>
      </c>
      <c r="P308" s="22">
        <v>7448</v>
      </c>
      <c r="Q308" s="22">
        <v>68297</v>
      </c>
      <c r="R308" s="22">
        <v>37286</v>
      </c>
      <c r="S308" s="22">
        <v>29795</v>
      </c>
      <c r="T308" s="22">
        <v>35469</v>
      </c>
      <c r="U308" s="22">
        <v>1249</v>
      </c>
      <c r="V308" s="22">
        <v>9590</v>
      </c>
      <c r="W308" s="22">
        <v>7313</v>
      </c>
      <c r="X308" s="22">
        <v>530</v>
      </c>
      <c r="Y308" s="22">
        <v>9460</v>
      </c>
      <c r="Z308" s="22">
        <v>9439</v>
      </c>
      <c r="AA308" s="22">
        <v>26710</v>
      </c>
      <c r="AB308" s="22">
        <v>3064</v>
      </c>
      <c r="AC308" s="22">
        <v>69</v>
      </c>
      <c r="AD308" s="22">
        <v>39888</v>
      </c>
      <c r="AE308" s="22">
        <v>8439</v>
      </c>
      <c r="AF308" s="22">
        <v>2822</v>
      </c>
      <c r="AG308" s="22">
        <v>19196</v>
      </c>
      <c r="AH308" s="22">
        <v>5165</v>
      </c>
      <c r="AI308" s="22">
        <v>18496</v>
      </c>
      <c r="AJ308" s="22">
        <v>6385</v>
      </c>
      <c r="AK308" s="22">
        <v>57953</v>
      </c>
      <c r="AL308" s="22">
        <v>16975</v>
      </c>
      <c r="AM308" s="24">
        <v>13205</v>
      </c>
    </row>
    <row r="309" spans="1:39" ht="15.75" thickBot="1">
      <c r="A309" s="36">
        <f t="shared" si="51"/>
        <v>2025</v>
      </c>
      <c r="B309" s="36">
        <f t="shared" si="52"/>
        <v>7</v>
      </c>
      <c r="C309" s="39">
        <v>45844</v>
      </c>
      <c r="D309" s="40" t="s">
        <v>35</v>
      </c>
      <c r="E309" s="37"/>
      <c r="F309" s="19">
        <v>979647</v>
      </c>
      <c r="G309" s="21"/>
      <c r="H309" s="19">
        <v>348770</v>
      </c>
      <c r="I309" s="22">
        <v>299802</v>
      </c>
      <c r="J309" s="22">
        <v>245985</v>
      </c>
      <c r="K309" s="22">
        <v>53817</v>
      </c>
      <c r="L309" s="22">
        <v>45416</v>
      </c>
      <c r="M309" s="23">
        <v>610142</v>
      </c>
      <c r="N309" s="22">
        <v>428146</v>
      </c>
      <c r="O309" s="22">
        <v>251023</v>
      </c>
      <c r="P309" s="22">
        <v>10351</v>
      </c>
      <c r="Q309" s="22">
        <v>68720</v>
      </c>
      <c r="R309" s="22">
        <v>33535</v>
      </c>
      <c r="S309" s="22">
        <v>18314</v>
      </c>
      <c r="T309" s="22">
        <v>46203</v>
      </c>
      <c r="U309" s="22">
        <v>1568</v>
      </c>
      <c r="V309" s="22">
        <v>8788</v>
      </c>
      <c r="W309" s="22">
        <v>7412</v>
      </c>
      <c r="X309" s="22">
        <v>760</v>
      </c>
      <c r="Y309" s="22">
        <v>8210</v>
      </c>
      <c r="Z309" s="22">
        <v>8131</v>
      </c>
      <c r="AA309" s="22">
        <v>30899</v>
      </c>
      <c r="AB309" s="22">
        <v>2955</v>
      </c>
      <c r="AC309" s="22">
        <v>21</v>
      </c>
      <c r="AD309" s="22">
        <v>40111</v>
      </c>
      <c r="AE309" s="22">
        <v>7921</v>
      </c>
      <c r="AF309" s="22">
        <v>4583</v>
      </c>
      <c r="AG309" s="22">
        <v>20742</v>
      </c>
      <c r="AH309" s="22">
        <v>3888</v>
      </c>
      <c r="AI309" s="22">
        <v>20788</v>
      </c>
      <c r="AJ309" s="22">
        <v>7025</v>
      </c>
      <c r="AK309" s="22">
        <v>48410</v>
      </c>
      <c r="AL309" s="22">
        <v>12462</v>
      </c>
      <c r="AM309" s="24">
        <v>20107</v>
      </c>
    </row>
    <row r="310" spans="1:39" ht="15.75" thickBot="1">
      <c r="A310" s="36">
        <f t="shared" si="51"/>
        <v>2025</v>
      </c>
      <c r="B310" s="36">
        <f t="shared" si="52"/>
        <v>8</v>
      </c>
      <c r="C310" s="39">
        <v>45875</v>
      </c>
      <c r="D310" s="40" t="s">
        <v>35</v>
      </c>
      <c r="E310" s="37"/>
      <c r="F310" s="19">
        <v>1175964</v>
      </c>
      <c r="G310" s="21"/>
      <c r="H310" s="19">
        <v>477360</v>
      </c>
      <c r="I310" s="22">
        <v>358321</v>
      </c>
      <c r="J310" s="22">
        <v>318970</v>
      </c>
      <c r="K310" s="22">
        <v>39351</v>
      </c>
      <c r="L310" s="22">
        <v>115621</v>
      </c>
      <c r="M310" s="23">
        <v>683192</v>
      </c>
      <c r="N310" s="22">
        <v>499706</v>
      </c>
      <c r="O310" s="22">
        <v>311237</v>
      </c>
      <c r="P310" s="22">
        <v>5896</v>
      </c>
      <c r="Q310" s="22">
        <v>75916</v>
      </c>
      <c r="R310" s="22">
        <v>50437</v>
      </c>
      <c r="S310" s="22">
        <v>19173</v>
      </c>
      <c r="T310" s="22">
        <v>37048</v>
      </c>
      <c r="U310" s="22">
        <v>1470</v>
      </c>
      <c r="V310" s="22">
        <v>11863</v>
      </c>
      <c r="W310" s="22">
        <v>10262</v>
      </c>
      <c r="X310" s="22">
        <v>739</v>
      </c>
      <c r="Y310" s="22">
        <v>7650</v>
      </c>
      <c r="Z310" s="22">
        <v>7516</v>
      </c>
      <c r="AA310" s="22">
        <v>24544</v>
      </c>
      <c r="AB310" s="22">
        <v>2907</v>
      </c>
      <c r="AC310" s="22">
        <v>33</v>
      </c>
      <c r="AD310" s="22">
        <v>49894</v>
      </c>
      <c r="AE310" s="22">
        <v>11440</v>
      </c>
      <c r="AF310" s="22">
        <v>7688</v>
      </c>
      <c r="AG310" s="22">
        <v>20988</v>
      </c>
      <c r="AH310" s="22">
        <v>4105</v>
      </c>
      <c r="AI310" s="22">
        <v>20880</v>
      </c>
      <c r="AJ310" s="22">
        <v>7045</v>
      </c>
      <c r="AK310" s="22">
        <v>39021</v>
      </c>
      <c r="AL310" s="22">
        <v>17441</v>
      </c>
      <c r="AM310" s="24">
        <v>14645</v>
      </c>
    </row>
    <row r="311" spans="1:39" ht="15.75" thickBot="1">
      <c r="A311" s="36">
        <f t="shared" si="51"/>
        <v>2025</v>
      </c>
      <c r="B311" s="36">
        <f t="shared" si="52"/>
        <v>9</v>
      </c>
      <c r="C311" s="39">
        <v>45906</v>
      </c>
      <c r="D311" s="40" t="s">
        <v>35</v>
      </c>
      <c r="E311" s="37"/>
      <c r="F311" s="19">
        <v>1056866</v>
      </c>
      <c r="G311" s="21"/>
      <c r="H311" s="19">
        <v>416485</v>
      </c>
      <c r="I311" s="22">
        <v>309828</v>
      </c>
      <c r="J311" s="22">
        <v>250230</v>
      </c>
      <c r="K311" s="22">
        <v>59597</v>
      </c>
      <c r="L311" s="22">
        <v>103585</v>
      </c>
      <c r="M311" s="23">
        <v>628218</v>
      </c>
      <c r="N311" s="22">
        <v>436279</v>
      </c>
      <c r="O311" s="22">
        <v>255609</v>
      </c>
      <c r="P311" s="22">
        <v>9843</v>
      </c>
      <c r="Q311" s="22">
        <v>83811</v>
      </c>
      <c r="R311" s="22">
        <v>30263</v>
      </c>
      <c r="S311" s="22">
        <v>18494</v>
      </c>
      <c r="T311" s="22">
        <v>38260</v>
      </c>
      <c r="U311" s="22">
        <v>980</v>
      </c>
      <c r="V311" s="22">
        <v>11337</v>
      </c>
      <c r="W311" s="22">
        <v>8949</v>
      </c>
      <c r="X311" s="22">
        <v>274</v>
      </c>
      <c r="Y311" s="22">
        <v>7347</v>
      </c>
      <c r="Z311" s="22">
        <v>7316</v>
      </c>
      <c r="AA311" s="22">
        <v>30340</v>
      </c>
      <c r="AB311" s="22">
        <v>3459</v>
      </c>
      <c r="AC311" s="22">
        <v>41</v>
      </c>
      <c r="AD311" s="22">
        <v>58415</v>
      </c>
      <c r="AE311" s="22">
        <v>9512</v>
      </c>
      <c r="AF311" s="22">
        <v>9855</v>
      </c>
      <c r="AG311" s="22">
        <v>26466</v>
      </c>
      <c r="AH311" s="22">
        <v>7355</v>
      </c>
      <c r="AI311" s="22">
        <v>22754</v>
      </c>
      <c r="AJ311" s="22">
        <v>10385</v>
      </c>
      <c r="AK311" s="22">
        <v>18578</v>
      </c>
      <c r="AL311" s="22">
        <v>28028</v>
      </c>
      <c r="AM311" s="24">
        <v>10644</v>
      </c>
    </row>
    <row r="312" spans="1:39" ht="15.75" thickBot="1">
      <c r="A312" s="36">
        <f t="shared" si="51"/>
        <v>2025</v>
      </c>
      <c r="B312" s="36">
        <f t="shared" si="52"/>
        <v>10</v>
      </c>
      <c r="C312" s="39">
        <v>45936</v>
      </c>
      <c r="D312" s="40" t="s">
        <v>35</v>
      </c>
      <c r="E312" s="37"/>
      <c r="F312" s="19">
        <v>918750</v>
      </c>
      <c r="G312" s="21"/>
      <c r="H312" s="19">
        <v>319354</v>
      </c>
      <c r="I312" s="22">
        <v>263368</v>
      </c>
      <c r="J312" s="22">
        <v>227662</v>
      </c>
      <c r="K312" s="22">
        <v>35706</v>
      </c>
      <c r="L312" s="22">
        <v>53798</v>
      </c>
      <c r="M312" s="23">
        <v>594435</v>
      </c>
      <c r="N312" s="22">
        <v>413831</v>
      </c>
      <c r="O312" s="22">
        <v>226005</v>
      </c>
      <c r="P312" s="22">
        <v>8510</v>
      </c>
      <c r="Q312" s="22">
        <v>92995</v>
      </c>
      <c r="R312" s="22">
        <v>31669</v>
      </c>
      <c r="S312" s="22">
        <v>17359</v>
      </c>
      <c r="T312" s="22">
        <v>37294</v>
      </c>
      <c r="U312" s="22">
        <v>1753</v>
      </c>
      <c r="V312" s="22">
        <v>8897</v>
      </c>
      <c r="W312" s="22">
        <v>7192</v>
      </c>
      <c r="X312" s="22">
        <v>528</v>
      </c>
      <c r="Y312" s="22">
        <v>9188</v>
      </c>
      <c r="Z312" s="22">
        <v>9086</v>
      </c>
      <c r="AA312" s="22">
        <v>21590</v>
      </c>
      <c r="AB312" s="22">
        <v>4127</v>
      </c>
      <c r="AC312" s="22">
        <v>26</v>
      </c>
      <c r="AD312" s="22">
        <v>53733</v>
      </c>
      <c r="AE312" s="22">
        <v>10788</v>
      </c>
      <c r="AF312" s="22">
        <v>8371</v>
      </c>
      <c r="AG312" s="22">
        <v>20244</v>
      </c>
      <c r="AH312" s="22">
        <v>5359</v>
      </c>
      <c r="AI312" s="22">
        <v>22064</v>
      </c>
      <c r="AJ312" s="22">
        <v>8033</v>
      </c>
      <c r="AK312" s="22">
        <v>36799</v>
      </c>
      <c r="AL312" s="22">
        <v>13865</v>
      </c>
      <c r="AM312" s="24">
        <v>2859</v>
      </c>
    </row>
    <row r="313" spans="1:39" ht="15.75" thickBot="1">
      <c r="A313" s="36">
        <f t="shared" si="51"/>
        <v>2025</v>
      </c>
      <c r="B313" s="36">
        <f t="shared" si="52"/>
        <v>11</v>
      </c>
      <c r="C313" s="39">
        <v>45967</v>
      </c>
      <c r="D313" s="40" t="s">
        <v>35</v>
      </c>
      <c r="E313" s="37"/>
      <c r="F313" s="19">
        <v>946705</v>
      </c>
      <c r="G313" s="21"/>
      <c r="H313" s="19">
        <v>160829</v>
      </c>
      <c r="I313" s="22">
        <v>88367</v>
      </c>
      <c r="J313" s="22">
        <v>51138</v>
      </c>
      <c r="K313" s="22">
        <v>37229</v>
      </c>
      <c r="L313" s="22">
        <v>69469</v>
      </c>
      <c r="M313" s="23">
        <v>783405</v>
      </c>
      <c r="N313" s="22">
        <v>593604</v>
      </c>
      <c r="O313" s="22">
        <v>375110</v>
      </c>
      <c r="P313" s="22">
        <v>12094</v>
      </c>
      <c r="Q313" s="22">
        <v>116676</v>
      </c>
      <c r="R313" s="22">
        <v>35205</v>
      </c>
      <c r="S313" s="22">
        <v>20541</v>
      </c>
      <c r="T313" s="22">
        <v>33977</v>
      </c>
      <c r="U313" s="22">
        <v>1610</v>
      </c>
      <c r="V313" s="22">
        <v>19080</v>
      </c>
      <c r="W313" s="22">
        <v>16144</v>
      </c>
      <c r="X313" s="22">
        <v>479</v>
      </c>
      <c r="Y313" s="22">
        <v>6741</v>
      </c>
      <c r="Z313" s="22">
        <v>6685</v>
      </c>
      <c r="AA313" s="22">
        <v>35011</v>
      </c>
      <c r="AB313" s="22">
        <v>3174</v>
      </c>
      <c r="AC313" s="22">
        <v>4905</v>
      </c>
      <c r="AD313" s="22">
        <v>53473</v>
      </c>
      <c r="AE313" s="22">
        <v>9493</v>
      </c>
      <c r="AF313" s="22">
        <v>6705</v>
      </c>
      <c r="AG313" s="22">
        <v>19961</v>
      </c>
      <c r="AH313" s="22">
        <v>8752</v>
      </c>
      <c r="AI313" s="22">
        <v>20196</v>
      </c>
      <c r="AJ313" s="22">
        <v>10145</v>
      </c>
      <c r="AK313" s="22">
        <v>20062</v>
      </c>
      <c r="AL313" s="22">
        <v>14925</v>
      </c>
      <c r="AM313" s="24">
        <v>382</v>
      </c>
    </row>
    <row r="314" spans="1:39" ht="15.75" thickBot="1">
      <c r="A314" s="36">
        <f t="shared" si="51"/>
        <v>2025</v>
      </c>
      <c r="B314" s="36">
        <f t="shared" si="52"/>
        <v>12</v>
      </c>
      <c r="C314" s="39">
        <v>45997</v>
      </c>
      <c r="D314" s="40" t="s">
        <v>35</v>
      </c>
      <c r="E314" s="37"/>
      <c r="F314" s="19">
        <v>869602</v>
      </c>
      <c r="G314" s="21"/>
      <c r="H314" s="19">
        <v>240530</v>
      </c>
      <c r="I314" s="22">
        <v>117544</v>
      </c>
      <c r="J314" s="22">
        <v>74948</v>
      </c>
      <c r="K314" s="22">
        <v>42596</v>
      </c>
      <c r="L314" s="22">
        <v>120133</v>
      </c>
      <c r="M314" s="23">
        <v>622804</v>
      </c>
      <c r="N314" s="22">
        <v>453479</v>
      </c>
      <c r="O314" s="22">
        <v>293700</v>
      </c>
      <c r="P314" s="22">
        <v>7527</v>
      </c>
      <c r="Q314" s="22">
        <v>55844</v>
      </c>
      <c r="R314" s="22">
        <v>20480</v>
      </c>
      <c r="S314" s="22">
        <v>35109</v>
      </c>
      <c r="T314" s="22">
        <v>40819</v>
      </c>
      <c r="U314" s="22">
        <v>2697</v>
      </c>
      <c r="V314" s="22">
        <v>11991</v>
      </c>
      <c r="W314" s="22">
        <v>9501</v>
      </c>
      <c r="X314" s="22">
        <v>485</v>
      </c>
      <c r="Y314" s="22">
        <v>7228</v>
      </c>
      <c r="Z314" s="22">
        <v>7149</v>
      </c>
      <c r="AA314" s="22">
        <v>32317</v>
      </c>
      <c r="AB314" s="22">
        <v>2911</v>
      </c>
      <c r="AC314" s="22">
        <v>926</v>
      </c>
      <c r="AD314" s="22">
        <v>42153</v>
      </c>
      <c r="AE314" s="22">
        <v>7612</v>
      </c>
      <c r="AF314" s="22">
        <v>6416</v>
      </c>
      <c r="AG314" s="22">
        <v>17432</v>
      </c>
      <c r="AH314" s="22">
        <v>5879</v>
      </c>
      <c r="AI314" s="22">
        <v>21009</v>
      </c>
      <c r="AJ314" s="22">
        <v>8657</v>
      </c>
      <c r="AK314" s="22">
        <v>18314</v>
      </c>
      <c r="AL314" s="22">
        <v>20637</v>
      </c>
      <c r="AM314" s="24">
        <v>230</v>
      </c>
    </row>
    <row r="315" spans="1:39" ht="15.75" thickBot="1">
      <c r="A315" s="36">
        <f t="shared" si="51"/>
        <v>2026</v>
      </c>
      <c r="B315" s="36">
        <f t="shared" si="52"/>
        <v>1</v>
      </c>
      <c r="C315" s="39">
        <v>46028</v>
      </c>
      <c r="D315" s="40" t="s">
        <v>35</v>
      </c>
      <c r="E315" s="37"/>
      <c r="F315" s="19">
        <v>819080</v>
      </c>
      <c r="G315" s="21"/>
      <c r="H315" s="19">
        <v>238910</v>
      </c>
      <c r="I315" s="22">
        <v>143420</v>
      </c>
      <c r="J315" s="22">
        <v>122686</v>
      </c>
      <c r="K315" s="22">
        <v>20734</v>
      </c>
      <c r="L315" s="22">
        <v>93060</v>
      </c>
      <c r="M315" s="23">
        <v>575848</v>
      </c>
      <c r="N315" s="22">
        <v>427032</v>
      </c>
      <c r="O315" s="22">
        <v>256018</v>
      </c>
      <c r="P315" s="22">
        <v>4715</v>
      </c>
      <c r="Q315" s="22">
        <v>87257</v>
      </c>
      <c r="R315" s="22">
        <v>28957</v>
      </c>
      <c r="S315" s="22">
        <v>9658</v>
      </c>
      <c r="T315" s="22">
        <v>40427</v>
      </c>
      <c r="U315" s="22">
        <v>285</v>
      </c>
      <c r="V315" s="22">
        <v>11924</v>
      </c>
      <c r="W315" s="22">
        <v>10696</v>
      </c>
      <c r="X315" s="22">
        <v>192</v>
      </c>
      <c r="Y315" s="22">
        <v>6130</v>
      </c>
      <c r="Z315" s="22">
        <v>6127</v>
      </c>
      <c r="AA315" s="22">
        <v>24569</v>
      </c>
      <c r="AB315" s="22">
        <v>2824</v>
      </c>
      <c r="AC315" s="22">
        <v>9</v>
      </c>
      <c r="AD315" s="22">
        <v>37272</v>
      </c>
      <c r="AE315" s="22">
        <v>9310</v>
      </c>
      <c r="AF315" s="22">
        <v>4769</v>
      </c>
      <c r="AG315" s="22">
        <v>15000</v>
      </c>
      <c r="AH315" s="22">
        <v>5364</v>
      </c>
      <c r="AI315" s="22">
        <v>20295</v>
      </c>
      <c r="AJ315" s="22">
        <v>8148</v>
      </c>
      <c r="AK315" s="22">
        <v>24238</v>
      </c>
      <c r="AL315" s="22">
        <v>12928</v>
      </c>
      <c r="AM315" s="24">
        <v>617</v>
      </c>
    </row>
    <row r="316" spans="1:39" ht="15.75" thickBot="1">
      <c r="A316" s="36">
        <f t="shared" si="51"/>
        <v>2026</v>
      </c>
      <c r="B316" s="36">
        <f t="shared" si="52"/>
        <v>2</v>
      </c>
      <c r="C316" s="39">
        <v>46059</v>
      </c>
      <c r="D316" s="40" t="s">
        <v>35</v>
      </c>
      <c r="E316" s="37"/>
      <c r="F316" s="19">
        <v>855225</v>
      </c>
      <c r="G316" s="21"/>
      <c r="H316" s="19">
        <v>227085</v>
      </c>
      <c r="I316" s="22">
        <v>183650</v>
      </c>
      <c r="J316" s="22">
        <v>121145</v>
      </c>
      <c r="K316" s="22">
        <v>62505</v>
      </c>
      <c r="L316" s="22">
        <v>41691</v>
      </c>
      <c r="M316" s="23">
        <v>614667</v>
      </c>
      <c r="N316" s="22">
        <v>448334</v>
      </c>
      <c r="O316" s="22">
        <v>297235</v>
      </c>
      <c r="P316" s="22">
        <v>7220</v>
      </c>
      <c r="Q316" s="22">
        <v>58266</v>
      </c>
      <c r="R316" s="22">
        <v>22584</v>
      </c>
      <c r="S316" s="22">
        <v>21145</v>
      </c>
      <c r="T316" s="22">
        <v>41885</v>
      </c>
      <c r="U316" s="22">
        <v>2056</v>
      </c>
      <c r="V316" s="22">
        <v>17560</v>
      </c>
      <c r="W316" s="22">
        <v>14492</v>
      </c>
      <c r="X316" s="22">
        <v>578</v>
      </c>
      <c r="Y316" s="22">
        <v>6178</v>
      </c>
      <c r="Z316" s="22">
        <v>6172</v>
      </c>
      <c r="AA316" s="22">
        <v>35186</v>
      </c>
      <c r="AB316" s="22">
        <v>3148</v>
      </c>
      <c r="AC316" s="22">
        <v>16</v>
      </c>
      <c r="AD316" s="22">
        <v>36788</v>
      </c>
      <c r="AE316" s="22">
        <v>9264</v>
      </c>
      <c r="AF316" s="22">
        <v>4332</v>
      </c>
      <c r="AG316" s="22">
        <v>15060</v>
      </c>
      <c r="AH316" s="22">
        <v>4662</v>
      </c>
      <c r="AI316" s="22">
        <v>20139</v>
      </c>
      <c r="AJ316" s="22">
        <v>5311</v>
      </c>
      <c r="AK316" s="22">
        <v>28615</v>
      </c>
      <c r="AL316" s="22">
        <v>10758</v>
      </c>
      <c r="AM316" s="24">
        <v>232</v>
      </c>
    </row>
    <row r="317" spans="1:39" ht="15.75" thickBot="1">
      <c r="A317" s="36">
        <f t="shared" si="51"/>
        <v>2026</v>
      </c>
      <c r="B317" s="36">
        <f t="shared" si="52"/>
        <v>3</v>
      </c>
      <c r="C317" s="39">
        <v>46087</v>
      </c>
      <c r="D317" s="40" t="s">
        <v>35</v>
      </c>
      <c r="E317" s="37"/>
      <c r="F317" s="19">
        <v>911467</v>
      </c>
      <c r="G317" s="21"/>
      <c r="H317" s="19">
        <v>250118</v>
      </c>
      <c r="I317" s="22">
        <v>126598</v>
      </c>
      <c r="J317" s="22">
        <v>102838</v>
      </c>
      <c r="K317" s="22">
        <v>23760</v>
      </c>
      <c r="L317" s="22">
        <v>121429</v>
      </c>
      <c r="M317" s="23">
        <v>657412</v>
      </c>
      <c r="N317" s="22">
        <v>441365</v>
      </c>
      <c r="O317" s="22">
        <v>289130</v>
      </c>
      <c r="P317" s="22">
        <v>8027</v>
      </c>
      <c r="Q317" s="22">
        <v>74991</v>
      </c>
      <c r="R317" s="22">
        <v>25194</v>
      </c>
      <c r="S317" s="22">
        <v>3046</v>
      </c>
      <c r="T317" s="22">
        <v>40978</v>
      </c>
      <c r="U317" s="22">
        <v>2525</v>
      </c>
      <c r="V317" s="22">
        <v>16690</v>
      </c>
      <c r="W317" s="22">
        <v>13195</v>
      </c>
      <c r="X317" s="22">
        <v>253</v>
      </c>
      <c r="Y317" s="22">
        <v>5861</v>
      </c>
      <c r="Z317" s="22">
        <v>5861</v>
      </c>
      <c r="AA317" s="22">
        <v>33019</v>
      </c>
      <c r="AB317" s="22">
        <v>4366</v>
      </c>
      <c r="AC317" s="22">
        <v>28</v>
      </c>
      <c r="AD317" s="22">
        <v>43465</v>
      </c>
      <c r="AE317" s="22">
        <v>11825</v>
      </c>
      <c r="AF317" s="22">
        <v>4748</v>
      </c>
      <c r="AG317" s="22">
        <v>18115</v>
      </c>
      <c r="AH317" s="22">
        <v>5622</v>
      </c>
      <c r="AI317" s="22">
        <v>21749</v>
      </c>
      <c r="AJ317" s="22">
        <v>10249</v>
      </c>
      <c r="AK317" s="22">
        <v>62591</v>
      </c>
      <c r="AL317" s="22">
        <v>15251</v>
      </c>
      <c r="AM317" s="24">
        <v>614</v>
      </c>
    </row>
    <row r="318" spans="1:39" ht="15.75" thickBot="1">
      <c r="A318" s="36">
        <f t="shared" si="51"/>
        <v>2026</v>
      </c>
      <c r="B318" s="36">
        <f t="shared" si="52"/>
        <v>4</v>
      </c>
      <c r="C318" s="39">
        <v>46118</v>
      </c>
      <c r="D318" s="40" t="s">
        <v>35</v>
      </c>
      <c r="E318" s="37"/>
      <c r="F318" s="19">
        <v>713260</v>
      </c>
      <c r="G318" s="21"/>
      <c r="H318" s="19">
        <v>177213</v>
      </c>
      <c r="I318" s="22">
        <v>111580</v>
      </c>
      <c r="J318" s="22">
        <v>73731</v>
      </c>
      <c r="K318" s="22">
        <v>37849</v>
      </c>
      <c r="L318" s="22">
        <v>63615</v>
      </c>
      <c r="M318" s="23">
        <v>529253</v>
      </c>
      <c r="N318" s="22">
        <v>334333</v>
      </c>
      <c r="O318" s="22">
        <v>193852</v>
      </c>
      <c r="P318" s="22">
        <v>3917</v>
      </c>
      <c r="Q318" s="22">
        <v>63204</v>
      </c>
      <c r="R318" s="22">
        <v>16102</v>
      </c>
      <c r="S318" s="22">
        <v>16160</v>
      </c>
      <c r="T318" s="22">
        <v>41098</v>
      </c>
      <c r="U318" s="22">
        <v>1210</v>
      </c>
      <c r="V318" s="22">
        <v>13561</v>
      </c>
      <c r="W318" s="22">
        <v>10462</v>
      </c>
      <c r="X318" s="22">
        <v>330</v>
      </c>
      <c r="Y318" s="22">
        <v>7688</v>
      </c>
      <c r="Z318" s="22">
        <v>7659</v>
      </c>
      <c r="AA318" s="22">
        <v>32602</v>
      </c>
      <c r="AB318" s="22">
        <v>3729</v>
      </c>
      <c r="AC318" s="22">
        <v>40</v>
      </c>
      <c r="AD318" s="22">
        <v>42096</v>
      </c>
      <c r="AE318" s="22">
        <v>10485</v>
      </c>
      <c r="AF318" s="22">
        <v>3041</v>
      </c>
      <c r="AG318" s="22">
        <v>17870</v>
      </c>
      <c r="AH318" s="22">
        <v>7738</v>
      </c>
      <c r="AI318" s="22">
        <v>24344</v>
      </c>
      <c r="AJ318" s="22">
        <v>11224</v>
      </c>
      <c r="AK318" s="22">
        <v>45048</v>
      </c>
      <c r="AL318" s="22">
        <v>13049</v>
      </c>
      <c r="AM318" s="24">
        <v>1148</v>
      </c>
    </row>
    <row r="319" spans="1:39" ht="15.75" thickBot="1">
      <c r="A319" s="36">
        <f t="shared" si="51"/>
        <v>2026</v>
      </c>
      <c r="B319" s="36">
        <f t="shared" si="52"/>
        <v>5</v>
      </c>
      <c r="C319" s="39">
        <v>46149</v>
      </c>
      <c r="D319" s="40" t="s">
        <v>35</v>
      </c>
      <c r="E319" s="37"/>
      <c r="F319" s="25">
        <v>1050444</v>
      </c>
      <c r="G319" s="26"/>
      <c r="H319" s="25">
        <v>383195</v>
      </c>
      <c r="I319" s="27">
        <v>298949</v>
      </c>
      <c r="J319" s="27">
        <v>262116</v>
      </c>
      <c r="K319" s="27">
        <v>36832</v>
      </c>
      <c r="L319" s="27">
        <v>82110</v>
      </c>
      <c r="M319" s="28">
        <v>653320</v>
      </c>
      <c r="N319" s="27">
        <v>462977</v>
      </c>
      <c r="O319" s="27">
        <v>273354</v>
      </c>
      <c r="P319" s="27">
        <v>7056</v>
      </c>
      <c r="Q319" s="27">
        <v>74916</v>
      </c>
      <c r="R319" s="27">
        <v>44998</v>
      </c>
      <c r="S319" s="27">
        <v>15227</v>
      </c>
      <c r="T319" s="27">
        <v>47427</v>
      </c>
      <c r="U319" s="27">
        <v>1283</v>
      </c>
      <c r="V319" s="27">
        <v>19483</v>
      </c>
      <c r="W319" s="27">
        <v>15423</v>
      </c>
      <c r="X319" s="27">
        <v>844</v>
      </c>
      <c r="Y319" s="27">
        <v>6519</v>
      </c>
      <c r="Z319" s="27">
        <v>6514</v>
      </c>
      <c r="AA319" s="27">
        <v>33755</v>
      </c>
      <c r="AB319" s="27">
        <v>4004</v>
      </c>
      <c r="AC319" s="27">
        <v>8</v>
      </c>
      <c r="AD319" s="27">
        <v>42796</v>
      </c>
      <c r="AE319" s="27">
        <v>9819</v>
      </c>
      <c r="AF319" s="27">
        <v>4342</v>
      </c>
      <c r="AG319" s="27">
        <v>18734</v>
      </c>
      <c r="AH319" s="27">
        <v>7531</v>
      </c>
      <c r="AI319" s="27">
        <v>23274</v>
      </c>
      <c r="AJ319" s="27">
        <v>7574</v>
      </c>
      <c r="AK319" s="27">
        <v>40315</v>
      </c>
      <c r="AL319" s="27">
        <v>10488</v>
      </c>
      <c r="AM319" s="29">
        <v>10013</v>
      </c>
    </row>
    <row r="320" spans="1:39" ht="15.75" thickBot="1">
      <c r="A320" s="36">
        <f t="shared" si="51"/>
        <v>2026</v>
      </c>
      <c r="B320" s="36">
        <f t="shared" si="52"/>
        <v>6</v>
      </c>
      <c r="C320" s="39">
        <v>46180</v>
      </c>
      <c r="D320" s="40" t="s">
        <v>35</v>
      </c>
      <c r="E320" s="37"/>
      <c r="F320" s="25">
        <v>1111861</v>
      </c>
      <c r="G320" s="31"/>
      <c r="H320" s="30">
        <v>430619</v>
      </c>
      <c r="I320" s="32">
        <v>323630</v>
      </c>
      <c r="J320" s="32">
        <v>191670</v>
      </c>
      <c r="K320" s="32">
        <v>131960</v>
      </c>
      <c r="L320" s="32">
        <v>105501</v>
      </c>
      <c r="M320" s="33">
        <v>675317</v>
      </c>
      <c r="N320" s="32">
        <v>472892</v>
      </c>
      <c r="O320" s="32">
        <v>296076</v>
      </c>
      <c r="P320" s="32">
        <v>2477</v>
      </c>
      <c r="Q320" s="32">
        <v>87256</v>
      </c>
      <c r="R320" s="32">
        <v>22535</v>
      </c>
      <c r="S320" s="32">
        <v>20075</v>
      </c>
      <c r="T320" s="32">
        <v>44474</v>
      </c>
      <c r="U320" s="32">
        <v>617</v>
      </c>
      <c r="V320" s="32">
        <v>16060</v>
      </c>
      <c r="W320" s="32">
        <v>12097</v>
      </c>
      <c r="X320" s="32">
        <v>443</v>
      </c>
      <c r="Y320" s="32">
        <v>6544</v>
      </c>
      <c r="Z320" s="32">
        <v>6544</v>
      </c>
      <c r="AA320" s="32">
        <v>30758</v>
      </c>
      <c r="AB320" s="32">
        <v>4746</v>
      </c>
      <c r="AC320" s="32">
        <v>11</v>
      </c>
      <c r="AD320" s="32">
        <v>53395</v>
      </c>
      <c r="AE320" s="32">
        <v>13946</v>
      </c>
      <c r="AF320" s="32">
        <v>6023</v>
      </c>
      <c r="AG320" s="32">
        <v>23247</v>
      </c>
      <c r="AH320" s="32">
        <v>8079</v>
      </c>
      <c r="AI320" s="32">
        <v>23300</v>
      </c>
      <c r="AJ320" s="32">
        <v>10518</v>
      </c>
      <c r="AK320" s="32">
        <v>40085</v>
      </c>
      <c r="AL320" s="32">
        <v>15948</v>
      </c>
      <c r="AM320" s="34">
        <v>1714</v>
      </c>
    </row>
    <row r="323" spans="1:1">
      <c r="A323" s="36" t="s">
        <v>74</v>
      </c>
    </row>
  </sheetData>
  <sortState xmlns:xlrd2="http://schemas.microsoft.com/office/spreadsheetml/2017/richdata2" ref="AV31:AX50">
    <sortCondition descending="1" ref="AV31:AV50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9E3A-242B-478F-BFB5-F06F669B8832}">
  <dimension ref="A1"/>
  <sheetViews>
    <sheetView workbookViewId="0">
      <selection activeCell="F17" sqref="F17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0407-A960-44A7-8855-F681143140C9}">
  <dimension ref="A1:A6"/>
  <sheetViews>
    <sheetView showGridLines="0" workbookViewId="0">
      <selection activeCell="L9" sqref="L9"/>
    </sheetView>
  </sheetViews>
  <sheetFormatPr baseColWidth="10" defaultRowHeight="15"/>
  <sheetData>
    <row r="1" spans="1:1" ht="21">
      <c r="A1" s="62" t="s">
        <v>90</v>
      </c>
    </row>
    <row r="2" spans="1:1">
      <c r="A2" s="63" t="s">
        <v>85</v>
      </c>
    </row>
    <row r="3" spans="1:1">
      <c r="A3" s="63" t="s">
        <v>86</v>
      </c>
    </row>
    <row r="4" spans="1:1">
      <c r="A4" s="63" t="s">
        <v>87</v>
      </c>
    </row>
    <row r="5" spans="1:1">
      <c r="A5" s="63" t="s">
        <v>88</v>
      </c>
    </row>
    <row r="6" spans="1:1">
      <c r="A6" s="63" t="s">
        <v>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866A-D4FE-4EDF-9CD6-2509C1A2A94F}">
  <dimension ref="A1:J3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1" sqref="I11"/>
    </sheetView>
  </sheetViews>
  <sheetFormatPr baseColWidth="10" defaultRowHeight="12.75"/>
  <cols>
    <col min="1" max="1" width="11.85546875" style="50" bestFit="1" customWidth="1"/>
    <col min="2" max="2" width="19" style="50" bestFit="1" customWidth="1"/>
    <col min="3" max="3" width="19" style="50" customWidth="1"/>
    <col min="4" max="5" width="11" style="50" customWidth="1"/>
    <col min="6" max="6" width="9" style="50" customWidth="1"/>
    <col min="7" max="7" width="18.140625" style="50" customWidth="1"/>
    <col min="8" max="8" width="16.7109375" style="50" customWidth="1"/>
    <col min="9" max="9" width="30" style="50" customWidth="1"/>
    <col min="10" max="10" width="16.7109375" style="50" customWidth="1"/>
    <col min="11" max="16384" width="11.42578125" style="50"/>
  </cols>
  <sheetData>
    <row r="1" spans="1:10" ht="32.25" customHeight="1">
      <c r="A1" s="49" t="s">
        <v>82</v>
      </c>
    </row>
    <row r="4" spans="1:10" ht="79.5" customHeight="1">
      <c r="B4" s="51" t="s">
        <v>79</v>
      </c>
      <c r="C4" s="51" t="s">
        <v>105</v>
      </c>
      <c r="D4" s="51" t="s">
        <v>75</v>
      </c>
      <c r="E4" s="51" t="s">
        <v>76</v>
      </c>
      <c r="F4" s="51" t="s">
        <v>77</v>
      </c>
      <c r="G4" s="52" t="s">
        <v>83</v>
      </c>
      <c r="H4" s="52" t="s">
        <v>84</v>
      </c>
      <c r="I4" s="52" t="s">
        <v>80</v>
      </c>
      <c r="J4" s="52" t="s">
        <v>81</v>
      </c>
    </row>
    <row r="5" spans="1:10" ht="17.25" customHeight="1">
      <c r="A5" s="50">
        <v>2000</v>
      </c>
      <c r="B5" s="60">
        <f>Base!$AU3</f>
        <v>2161817</v>
      </c>
      <c r="C5" s="60">
        <f>B5*0.95</f>
        <v>2053726.15</v>
      </c>
      <c r="D5" s="57">
        <v>12.114924999999999</v>
      </c>
      <c r="E5" s="57">
        <v>17.830572</v>
      </c>
      <c r="F5" s="57">
        <v>1.4717855870000001</v>
      </c>
      <c r="G5" s="61">
        <f>C5*D5</f>
        <v>24880738.277788747</v>
      </c>
      <c r="H5" s="61">
        <f>C5*E5</f>
        <v>36619111.9858578</v>
      </c>
      <c r="I5" s="61">
        <f>H5-G5</f>
        <v>11738373.708069053</v>
      </c>
      <c r="J5" s="53">
        <f>I5/G5</f>
        <v>0.47178558678654653</v>
      </c>
    </row>
    <row r="6" spans="1:10">
      <c r="A6" s="50">
        <v>2001</v>
      </c>
      <c r="B6" s="60">
        <f>Base!$AU4</f>
        <v>1894160</v>
      </c>
      <c r="C6" s="60">
        <f t="shared" ref="C6:C29" si="0">B6*0.95</f>
        <v>1799452</v>
      </c>
      <c r="D6" s="58">
        <v>13.408852</v>
      </c>
      <c r="E6" s="58">
        <v>19.078999</v>
      </c>
      <c r="F6" s="58">
        <v>1.422865955</v>
      </c>
      <c r="G6" s="61">
        <f t="shared" ref="G6:G29" si="1">C6*D6</f>
        <v>24128585.549103998</v>
      </c>
      <c r="H6" s="61">
        <f t="shared" ref="H6:H29" si="2">C6*E6</f>
        <v>34331742.908547997</v>
      </c>
      <c r="I6" s="61">
        <f t="shared" ref="I6:I29" si="3">H6-G6</f>
        <v>10203157.359444</v>
      </c>
      <c r="J6" s="53">
        <f t="shared" ref="J6:J29" si="4">I6/G6</f>
        <v>0.4228659545201931</v>
      </c>
    </row>
    <row r="7" spans="1:10">
      <c r="A7" s="50">
        <v>2002</v>
      </c>
      <c r="B7" s="60">
        <f>Base!$AU5</f>
        <v>1693280</v>
      </c>
      <c r="C7" s="60">
        <f t="shared" si="0"/>
        <v>1608616</v>
      </c>
      <c r="D7" s="57">
        <v>21.587268000000002</v>
      </c>
      <c r="E7" s="57">
        <v>22.652647000000002</v>
      </c>
      <c r="F7" s="59">
        <v>1.049352192</v>
      </c>
      <c r="G7" s="61">
        <f t="shared" si="1"/>
        <v>34725624.701088004</v>
      </c>
      <c r="H7" s="61">
        <f t="shared" si="2"/>
        <v>36439410.406552002</v>
      </c>
      <c r="I7" s="61">
        <f t="shared" si="3"/>
        <v>1713785.705463998</v>
      </c>
      <c r="J7" s="53">
        <f t="shared" si="4"/>
        <v>4.9352192227381374E-2</v>
      </c>
    </row>
    <row r="8" spans="1:10">
      <c r="A8" s="50">
        <v>2003</v>
      </c>
      <c r="B8" s="60">
        <f>Base!$AU6</f>
        <v>1938851</v>
      </c>
      <c r="C8" s="60">
        <f t="shared" si="0"/>
        <v>1841908.45</v>
      </c>
      <c r="D8" s="58">
        <v>28.369938999999999</v>
      </c>
      <c r="E8" s="58">
        <v>26.367311999999998</v>
      </c>
      <c r="F8" s="59">
        <v>0.92941024650000004</v>
      </c>
      <c r="G8" s="61">
        <f t="shared" si="1"/>
        <v>52254830.370084547</v>
      </c>
      <c r="H8" s="61">
        <f t="shared" si="2"/>
        <v>48566174.776586398</v>
      </c>
      <c r="I8" s="61">
        <f t="shared" si="3"/>
        <v>-3688655.593498148</v>
      </c>
      <c r="J8" s="53">
        <f t="shared" si="4"/>
        <v>-7.0589753471094849E-2</v>
      </c>
    </row>
    <row r="9" spans="1:10">
      <c r="A9" s="50">
        <v>2004</v>
      </c>
      <c r="B9" s="60">
        <f>Base!$AU7</f>
        <v>2574731</v>
      </c>
      <c r="C9" s="60">
        <f t="shared" si="0"/>
        <v>2445994.4499999997</v>
      </c>
      <c r="D9" s="57">
        <v>28.703792</v>
      </c>
      <c r="E9" s="57">
        <v>29.122845999999999</v>
      </c>
      <c r="F9" s="59">
        <v>1.0145992559999999</v>
      </c>
      <c r="G9" s="61">
        <f t="shared" si="1"/>
        <v>70209315.925954387</v>
      </c>
      <c r="H9" s="61">
        <f t="shared" si="2"/>
        <v>71234319.684204683</v>
      </c>
      <c r="I9" s="61">
        <f t="shared" si="3"/>
        <v>1025003.7582502961</v>
      </c>
      <c r="J9" s="53">
        <f t="shared" si="4"/>
        <v>1.4599255735966819E-2</v>
      </c>
    </row>
    <row r="10" spans="1:10">
      <c r="A10" s="50">
        <v>2005</v>
      </c>
      <c r="B10" s="60">
        <f>Base!$AU8</f>
        <v>3071499</v>
      </c>
      <c r="C10" s="60">
        <f t="shared" si="0"/>
        <v>2917924.05</v>
      </c>
      <c r="D10" s="58">
        <v>24.478579</v>
      </c>
      <c r="E10" s="58">
        <v>28.325216999999999</v>
      </c>
      <c r="F10" s="58">
        <v>1.157143027</v>
      </c>
      <c r="G10" s="61">
        <f t="shared" si="1"/>
        <v>71426634.373924941</v>
      </c>
      <c r="H10" s="61">
        <f t="shared" si="2"/>
        <v>82650831.905768842</v>
      </c>
      <c r="I10" s="61">
        <f t="shared" si="3"/>
        <v>11224197.531843901</v>
      </c>
      <c r="J10" s="53">
        <f t="shared" si="4"/>
        <v>0.15714302697064239</v>
      </c>
    </row>
    <row r="11" spans="1:10">
      <c r="A11" s="50">
        <v>2006</v>
      </c>
      <c r="B11" s="60">
        <f>Base!$AU9</f>
        <v>3559215</v>
      </c>
      <c r="C11" s="60">
        <f t="shared" si="0"/>
        <v>3381254.25</v>
      </c>
      <c r="D11" s="57">
        <v>24.073374000000001</v>
      </c>
      <c r="E11" s="57">
        <v>29.954262</v>
      </c>
      <c r="F11" s="57">
        <v>1.244290144</v>
      </c>
      <c r="G11" s="61">
        <f t="shared" si="1"/>
        <v>81398198.149339497</v>
      </c>
      <c r="H11" s="61">
        <f t="shared" si="2"/>
        <v>101282975.69311351</v>
      </c>
      <c r="I11" s="61">
        <f t="shared" si="3"/>
        <v>19884777.543774009</v>
      </c>
      <c r="J11" s="53">
        <f t="shared" si="4"/>
        <v>0.24429014395738641</v>
      </c>
    </row>
    <row r="12" spans="1:10">
      <c r="A12" s="50">
        <v>2007</v>
      </c>
      <c r="B12" s="60">
        <f>Base!$AU10</f>
        <v>3838735</v>
      </c>
      <c r="C12" s="60">
        <f t="shared" si="0"/>
        <v>3646798.25</v>
      </c>
      <c r="D12" s="58">
        <v>23.471036000000002</v>
      </c>
      <c r="E12" s="58">
        <v>30.861639</v>
      </c>
      <c r="F12" s="58">
        <v>1.31488184</v>
      </c>
      <c r="G12" s="61">
        <f t="shared" si="1"/>
        <v>85594133.010487005</v>
      </c>
      <c r="H12" s="61">
        <f t="shared" si="2"/>
        <v>112546171.09733175</v>
      </c>
      <c r="I12" s="61">
        <f t="shared" si="3"/>
        <v>26952038.086844742</v>
      </c>
      <c r="J12" s="53">
        <f t="shared" si="4"/>
        <v>0.31488183989833246</v>
      </c>
    </row>
    <row r="13" spans="1:10">
      <c r="A13" s="50">
        <v>2008</v>
      </c>
      <c r="B13" s="60">
        <f>Base!$AU11</f>
        <v>5020585</v>
      </c>
      <c r="C13" s="60">
        <f t="shared" si="0"/>
        <v>4769555.75</v>
      </c>
      <c r="D13" s="57">
        <v>20.949345000000001</v>
      </c>
      <c r="E13" s="57">
        <v>30.471964</v>
      </c>
      <c r="F13" s="57">
        <v>1.454554498</v>
      </c>
      <c r="G13" s="61">
        <f t="shared" si="1"/>
        <v>99919068.903483748</v>
      </c>
      <c r="H13" s="61">
        <f t="shared" si="2"/>
        <v>145337731.10999301</v>
      </c>
      <c r="I13" s="61">
        <f t="shared" si="3"/>
        <v>45418662.206509262</v>
      </c>
      <c r="J13" s="53">
        <f t="shared" si="4"/>
        <v>0.45455449800459169</v>
      </c>
    </row>
    <row r="14" spans="1:10">
      <c r="A14" s="50">
        <v>2009</v>
      </c>
      <c r="B14" s="60">
        <f>Base!$AU12</f>
        <v>4214769</v>
      </c>
      <c r="C14" s="60">
        <f t="shared" si="0"/>
        <v>4004030.55</v>
      </c>
      <c r="D14" s="56">
        <v>22.567971</v>
      </c>
      <c r="E14" s="56">
        <v>32.276463</v>
      </c>
      <c r="F14" s="56">
        <v>1.430188961</v>
      </c>
      <c r="G14" s="61">
        <f t="shared" si="1"/>
        <v>90362845.335514039</v>
      </c>
      <c r="H14" s="61">
        <f t="shared" si="2"/>
        <v>129235943.89794464</v>
      </c>
      <c r="I14" s="61">
        <f t="shared" si="3"/>
        <v>38873098.562430605</v>
      </c>
      <c r="J14" s="53">
        <f t="shared" si="4"/>
        <v>0.43018896116093036</v>
      </c>
    </row>
    <row r="15" spans="1:10">
      <c r="A15" s="50">
        <v>2010</v>
      </c>
      <c r="B15" s="60">
        <f>Base!$AU13</f>
        <v>4989666</v>
      </c>
      <c r="C15" s="60">
        <f t="shared" si="0"/>
        <v>4740182.7</v>
      </c>
      <c r="D15" s="56">
        <v>20.059238000000001</v>
      </c>
      <c r="E15" s="56">
        <v>32.828747999999997</v>
      </c>
      <c r="F15" s="56">
        <v>1.636589984</v>
      </c>
      <c r="G15" s="61">
        <f t="shared" si="1"/>
        <v>95084452.942782611</v>
      </c>
      <c r="H15" s="61">
        <f t="shared" si="2"/>
        <v>155614263.3322596</v>
      </c>
      <c r="I15" s="61">
        <f t="shared" si="3"/>
        <v>60529810.389476985</v>
      </c>
      <c r="J15" s="53">
        <f t="shared" si="4"/>
        <v>0.63658998412601697</v>
      </c>
    </row>
    <row r="16" spans="1:10">
      <c r="A16" s="50">
        <v>2011</v>
      </c>
      <c r="B16" s="60">
        <f>Base!$AU14</f>
        <v>6140770</v>
      </c>
      <c r="C16" s="60">
        <f t="shared" si="0"/>
        <v>5833731.5</v>
      </c>
      <c r="D16" s="56">
        <v>19.314209000000002</v>
      </c>
      <c r="E16" s="56">
        <v>34.651024999999997</v>
      </c>
      <c r="F16" s="56">
        <v>1.794069071</v>
      </c>
      <c r="G16" s="61">
        <f t="shared" si="1"/>
        <v>112673909.44088352</v>
      </c>
      <c r="H16" s="61">
        <f t="shared" si="2"/>
        <v>202144776.04978749</v>
      </c>
      <c r="I16" s="61">
        <f t="shared" si="3"/>
        <v>89470866.608903974</v>
      </c>
      <c r="J16" s="53">
        <f t="shared" si="4"/>
        <v>0.79406907111753799</v>
      </c>
    </row>
    <row r="17" spans="1:10">
      <c r="A17" s="50">
        <v>2012</v>
      </c>
      <c r="B17" s="60">
        <f>Base!$AU15</f>
        <v>6226526</v>
      </c>
      <c r="C17" s="60">
        <f t="shared" si="0"/>
        <v>5915199.7000000002</v>
      </c>
      <c r="D17" s="56">
        <v>20.310164</v>
      </c>
      <c r="E17" s="56">
        <v>35.243068000000001</v>
      </c>
      <c r="F17" s="56">
        <v>1.7352429060000001</v>
      </c>
      <c r="G17" s="61">
        <f t="shared" si="1"/>
        <v>120138675.99975081</v>
      </c>
      <c r="H17" s="61">
        <f t="shared" si="2"/>
        <v>208469785.2606796</v>
      </c>
      <c r="I17" s="61">
        <f t="shared" si="3"/>
        <v>88331109.260928795</v>
      </c>
      <c r="J17" s="53">
        <f t="shared" si="4"/>
        <v>0.73524290596570263</v>
      </c>
    </row>
    <row r="18" spans="1:10">
      <c r="A18" s="50">
        <v>2013</v>
      </c>
      <c r="B18" s="60">
        <f>Base!$AU16</f>
        <v>6168934</v>
      </c>
      <c r="C18" s="60">
        <f t="shared" si="0"/>
        <v>5860487.2999999998</v>
      </c>
      <c r="D18" s="56">
        <v>20.481618000000001</v>
      </c>
      <c r="E18" s="56">
        <v>35.991435000000003</v>
      </c>
      <c r="F18" s="56">
        <v>1.7572554570000001</v>
      </c>
      <c r="G18" s="61">
        <f t="shared" si="1"/>
        <v>120032262.17245141</v>
      </c>
      <c r="H18" s="61">
        <f t="shared" si="2"/>
        <v>210927347.7262755</v>
      </c>
      <c r="I18" s="61">
        <f t="shared" si="3"/>
        <v>90895085.553824097</v>
      </c>
      <c r="J18" s="53">
        <f t="shared" si="4"/>
        <v>0.75725545706398778</v>
      </c>
    </row>
    <row r="19" spans="1:10">
      <c r="A19" s="50">
        <v>2014</v>
      </c>
      <c r="B19" s="60">
        <f>Base!$AU17</f>
        <v>6285381</v>
      </c>
      <c r="C19" s="60">
        <f t="shared" si="0"/>
        <v>5971111.9500000002</v>
      </c>
      <c r="D19" s="56">
        <v>23.246061000000001</v>
      </c>
      <c r="E19" s="56">
        <v>38.372773000000002</v>
      </c>
      <c r="F19" s="56">
        <v>1.650721514</v>
      </c>
      <c r="G19" s="61">
        <f t="shared" si="1"/>
        <v>138804832.62752897</v>
      </c>
      <c r="H19" s="61">
        <f t="shared" si="2"/>
        <v>229128123.41493738</v>
      </c>
      <c r="I19" s="61">
        <f t="shared" si="3"/>
        <v>90323290.787408412</v>
      </c>
      <c r="J19" s="53">
        <f t="shared" si="4"/>
        <v>0.65072151363622421</v>
      </c>
    </row>
    <row r="20" spans="1:10">
      <c r="A20" s="50">
        <v>2015</v>
      </c>
      <c r="B20" s="60">
        <f>Base!$AU18</f>
        <v>5432907</v>
      </c>
      <c r="C20" s="60">
        <f t="shared" si="0"/>
        <v>5161261.6499999994</v>
      </c>
      <c r="D20" s="56">
        <v>27.327226</v>
      </c>
      <c r="E20" s="56">
        <v>41.149155999999998</v>
      </c>
      <c r="F20" s="56">
        <v>1.5057933800000001</v>
      </c>
      <c r="G20" s="61">
        <f t="shared" si="1"/>
        <v>141042963.55468288</v>
      </c>
      <c r="H20" s="61">
        <f t="shared" si="2"/>
        <v>212381560.79266736</v>
      </c>
      <c r="I20" s="61">
        <f t="shared" si="3"/>
        <v>71338597.237984478</v>
      </c>
      <c r="J20" s="53">
        <f t="shared" si="4"/>
        <v>0.50579337983299133</v>
      </c>
    </row>
    <row r="21" spans="1:10">
      <c r="A21" s="50">
        <v>2016</v>
      </c>
      <c r="B21" s="60">
        <f>Base!$AU19</f>
        <v>4988861</v>
      </c>
      <c r="C21" s="60">
        <f t="shared" si="0"/>
        <v>4739417.95</v>
      </c>
      <c r="D21" s="56">
        <v>30.162600000000001</v>
      </c>
      <c r="E21" s="56">
        <v>44.043940999999997</v>
      </c>
      <c r="F21" s="56">
        <v>1.460216991</v>
      </c>
      <c r="G21" s="61">
        <f t="shared" si="1"/>
        <v>142953167.85867003</v>
      </c>
      <c r="H21" s="61">
        <f t="shared" si="2"/>
        <v>208742644.56414095</v>
      </c>
      <c r="I21" s="61">
        <f>H21-G21</f>
        <v>65789476.70547092</v>
      </c>
      <c r="J21" s="53">
        <f t="shared" si="4"/>
        <v>0.46021699057773502</v>
      </c>
    </row>
    <row r="22" spans="1:10">
      <c r="A22" s="50">
        <v>2017</v>
      </c>
      <c r="B22" s="60">
        <f>Base!$AU20</f>
        <v>5336212</v>
      </c>
      <c r="C22" s="60">
        <f t="shared" si="0"/>
        <v>5069401.3999999994</v>
      </c>
      <c r="D22" s="56">
        <v>28.65</v>
      </c>
      <c r="E22" s="56">
        <v>44.520021999999997</v>
      </c>
      <c r="F22" s="56">
        <v>1.553927469</v>
      </c>
      <c r="G22" s="61">
        <f t="shared" si="1"/>
        <v>145238350.10999998</v>
      </c>
      <c r="H22" s="61">
        <f t="shared" si="2"/>
        <v>225689861.85483077</v>
      </c>
      <c r="I22" s="61">
        <f t="shared" si="3"/>
        <v>80451511.744830787</v>
      </c>
      <c r="J22" s="53">
        <f>I22/G22</f>
        <v>0.55392746945898774</v>
      </c>
    </row>
    <row r="23" spans="1:10">
      <c r="A23" s="50">
        <v>2018</v>
      </c>
      <c r="B23" s="60">
        <f>Base!$AU21</f>
        <v>5648512</v>
      </c>
      <c r="C23" s="60">
        <f t="shared" si="0"/>
        <v>5366086.3999999994</v>
      </c>
      <c r="D23" s="56">
        <v>30.77</v>
      </c>
      <c r="E23" s="56">
        <v>47.589359999999999</v>
      </c>
      <c r="F23" s="56">
        <v>1.5466155349999999</v>
      </c>
      <c r="G23" s="61">
        <f t="shared" si="1"/>
        <v>165114478.52799997</v>
      </c>
      <c r="H23" s="61">
        <f t="shared" si="2"/>
        <v>255368617.48070398</v>
      </c>
      <c r="I23" s="61">
        <f t="shared" si="3"/>
        <v>90254138.952704012</v>
      </c>
      <c r="J23" s="53">
        <f t="shared" si="4"/>
        <v>0.54661553461163492</v>
      </c>
    </row>
    <row r="24" spans="1:10">
      <c r="A24" s="50">
        <v>2019</v>
      </c>
      <c r="B24" s="60">
        <f>Base!$AU22</f>
        <v>5482602</v>
      </c>
      <c r="C24" s="60">
        <f t="shared" si="0"/>
        <v>5208471.8999999994</v>
      </c>
      <c r="D24" s="56">
        <v>35.299999999999997</v>
      </c>
      <c r="E24" s="56">
        <v>50.391058999999998</v>
      </c>
      <c r="F24" s="56">
        <v>1.427508754</v>
      </c>
      <c r="G24" s="61">
        <f t="shared" si="1"/>
        <v>183859058.06999996</v>
      </c>
      <c r="H24" s="61">
        <f t="shared" si="2"/>
        <v>262460414.81274205</v>
      </c>
      <c r="I24" s="61">
        <f t="shared" si="3"/>
        <v>78601356.742742091</v>
      </c>
      <c r="J24" s="53">
        <f t="shared" si="4"/>
        <v>0.42750875354107654</v>
      </c>
    </row>
    <row r="25" spans="1:10">
      <c r="A25" s="50">
        <v>2020</v>
      </c>
      <c r="B25" s="60">
        <f>Base!$AU23</f>
        <v>4888112</v>
      </c>
      <c r="C25" s="60">
        <f t="shared" si="0"/>
        <v>4643706.3999999994</v>
      </c>
      <c r="D25" s="56">
        <v>42</v>
      </c>
      <c r="E25" s="56">
        <v>57.605680999999997</v>
      </c>
      <c r="F25" s="56">
        <v>1.371563833</v>
      </c>
      <c r="G25" s="61">
        <f t="shared" si="1"/>
        <v>195035668.79999998</v>
      </c>
      <c r="H25" s="61">
        <f t="shared" si="2"/>
        <v>267503869.53605837</v>
      </c>
      <c r="I25" s="61">
        <f t="shared" si="3"/>
        <v>72468200.736058384</v>
      </c>
      <c r="J25" s="53">
        <f t="shared" si="4"/>
        <v>0.37156383333333326</v>
      </c>
    </row>
    <row r="26" spans="1:10">
      <c r="A26" s="50">
        <v>2021</v>
      </c>
      <c r="B26" s="60">
        <f>Base!$AU24</f>
        <v>6650835</v>
      </c>
      <c r="C26" s="60">
        <f t="shared" si="0"/>
        <v>6318293.25</v>
      </c>
      <c r="D26" s="56">
        <v>43.56</v>
      </c>
      <c r="E26" s="56">
        <v>58.976208</v>
      </c>
      <c r="F26" s="56">
        <v>1.353907438</v>
      </c>
      <c r="G26" s="61">
        <f t="shared" si="1"/>
        <v>275224853.97000003</v>
      </c>
      <c r="H26" s="61">
        <f t="shared" si="2"/>
        <v>372628976.916996</v>
      </c>
      <c r="I26" s="61">
        <f t="shared" si="3"/>
        <v>97404122.946995974</v>
      </c>
      <c r="J26" s="53">
        <f t="shared" si="4"/>
        <v>0.3539074380165288</v>
      </c>
    </row>
    <row r="27" spans="1:10">
      <c r="A27" s="50">
        <v>2022</v>
      </c>
      <c r="B27" s="60">
        <f>Base!$AU25</f>
        <v>7560065</v>
      </c>
      <c r="C27" s="60">
        <f t="shared" si="0"/>
        <v>7182061.75</v>
      </c>
      <c r="D27" s="56">
        <v>41.3</v>
      </c>
      <c r="E27" s="56">
        <v>58.134197</v>
      </c>
      <c r="F27" s="56">
        <v>1.407607676</v>
      </c>
      <c r="G27" s="61">
        <f t="shared" si="1"/>
        <v>296619150.27499998</v>
      </c>
      <c r="H27" s="61">
        <f t="shared" si="2"/>
        <v>417523392.64066476</v>
      </c>
      <c r="I27" s="61">
        <f t="shared" si="3"/>
        <v>120904242.36566478</v>
      </c>
      <c r="J27" s="53">
        <f t="shared" si="4"/>
        <v>0.40760767554479432</v>
      </c>
    </row>
    <row r="28" spans="1:10">
      <c r="A28" s="50">
        <v>2023</v>
      </c>
      <c r="B28" s="60">
        <f>Base!$AU26</f>
        <v>6919993</v>
      </c>
      <c r="C28" s="60">
        <f t="shared" si="0"/>
        <v>6573993.3499999996</v>
      </c>
      <c r="D28" s="56">
        <v>38.695</v>
      </c>
      <c r="E28" s="56">
        <v>60.006461000000002</v>
      </c>
      <c r="F28" s="56">
        <v>1.5507549039999999</v>
      </c>
      <c r="G28" s="61">
        <f t="shared" si="1"/>
        <v>254380672.67824998</v>
      </c>
      <c r="H28" s="61">
        <f t="shared" si="2"/>
        <v>394482075.57103431</v>
      </c>
      <c r="I28" s="61">
        <f t="shared" si="3"/>
        <v>140101402.89278433</v>
      </c>
      <c r="J28" s="53">
        <f t="shared" si="4"/>
        <v>0.55075490373433256</v>
      </c>
    </row>
    <row r="29" spans="1:10">
      <c r="A29" s="50">
        <v>2024</v>
      </c>
      <c r="B29" s="60">
        <f>Base!$AU27</f>
        <v>6844958</v>
      </c>
      <c r="C29" s="60">
        <f t="shared" si="0"/>
        <v>6502710.0999999996</v>
      </c>
      <c r="D29" s="56">
        <v>40.234999999999999</v>
      </c>
      <c r="E29" s="56">
        <v>61.848213999999999</v>
      </c>
      <c r="F29" s="56">
        <v>1.53717445</v>
      </c>
      <c r="G29" s="61">
        <f t="shared" si="1"/>
        <v>261636540.87349999</v>
      </c>
      <c r="H29" s="61">
        <f t="shared" si="2"/>
        <v>402181005.84476137</v>
      </c>
      <c r="I29" s="61">
        <f t="shared" si="3"/>
        <v>140544464.97126138</v>
      </c>
      <c r="J29" s="53">
        <f t="shared" si="4"/>
        <v>0.53717445010562936</v>
      </c>
    </row>
    <row r="30" spans="1:10">
      <c r="D30" s="54"/>
      <c r="E30" s="54"/>
      <c r="F30" s="5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29B5-E41D-4D15-8DBC-3F2FDD322DDC}">
  <dimension ref="A1:P14"/>
  <sheetViews>
    <sheetView showGridLines="0" topLeftCell="F7" workbookViewId="0">
      <selection activeCell="N15" sqref="N15"/>
    </sheetView>
  </sheetViews>
  <sheetFormatPr baseColWidth="10" defaultRowHeight="15"/>
  <cols>
    <col min="1" max="1" width="20.28515625" customWidth="1"/>
    <col min="2" max="2" width="13.5703125" customWidth="1"/>
    <col min="3" max="3" width="19.42578125" customWidth="1"/>
  </cols>
  <sheetData>
    <row r="1" spans="1:16" ht="18.75">
      <c r="A1" s="72"/>
      <c r="B1" s="72"/>
      <c r="C1" s="72" t="s">
        <v>94</v>
      </c>
    </row>
    <row r="2" spans="1:16" ht="18.75">
      <c r="A2" s="72"/>
      <c r="B2" s="72"/>
      <c r="C2" s="72" t="s">
        <v>95</v>
      </c>
    </row>
    <row r="3" spans="1:16" ht="15.75">
      <c r="A3" s="73"/>
      <c r="B3" s="73"/>
      <c r="C3" s="73" t="s">
        <v>96</v>
      </c>
    </row>
    <row r="4" spans="1:16" ht="15.75">
      <c r="A4" s="73"/>
      <c r="B4" s="73"/>
      <c r="C4" s="73" t="s">
        <v>97</v>
      </c>
    </row>
    <row r="7" spans="1:16" s="71" customFormat="1"/>
    <row r="8" spans="1:16" s="71" customFormat="1"/>
    <row r="9" spans="1:16" s="71" customFormat="1"/>
    <row r="10" spans="1:16">
      <c r="B10" s="70">
        <v>2005</v>
      </c>
      <c r="C10" s="70">
        <v>2006</v>
      </c>
      <c r="D10" s="70">
        <v>2007</v>
      </c>
      <c r="E10" s="70">
        <v>2008</v>
      </c>
      <c r="F10" s="70">
        <v>2009</v>
      </c>
      <c r="G10" s="70">
        <v>2010</v>
      </c>
      <c r="H10" s="70">
        <v>2011</v>
      </c>
      <c r="I10" s="70">
        <v>2012</v>
      </c>
      <c r="J10" s="70">
        <v>2013</v>
      </c>
      <c r="K10" s="70">
        <v>2014</v>
      </c>
      <c r="L10" s="70">
        <v>2015</v>
      </c>
      <c r="M10" s="70">
        <v>2016</v>
      </c>
      <c r="N10" s="70" t="s">
        <v>91</v>
      </c>
      <c r="O10" s="70" t="s">
        <v>92</v>
      </c>
      <c r="P10" s="70" t="s">
        <v>93</v>
      </c>
    </row>
    <row r="11" spans="1:16">
      <c r="A11" t="s">
        <v>98</v>
      </c>
      <c r="B11" s="64">
        <v>205182036.32920399</v>
      </c>
      <c r="C11" s="64">
        <v>230742319.15185729</v>
      </c>
      <c r="D11" s="64">
        <v>251754413.42114133</v>
      </c>
      <c r="E11" s="64">
        <v>317594707.41798085</v>
      </c>
      <c r="F11" s="64">
        <v>297077914.27079469</v>
      </c>
      <c r="G11" s="64">
        <v>316323216.25365257</v>
      </c>
      <c r="H11" s="64">
        <v>359822386.60092705</v>
      </c>
      <c r="I11" s="64">
        <v>391493868.02020955</v>
      </c>
      <c r="J11" s="64">
        <v>413953688.90087444</v>
      </c>
      <c r="K11" s="64">
        <v>471215460.19226819</v>
      </c>
      <c r="L11" s="64">
        <v>507662514.38048947</v>
      </c>
      <c r="M11" s="64">
        <v>530181920.18819201</v>
      </c>
      <c r="N11" s="64">
        <v>516238890.80850655</v>
      </c>
      <c r="O11" s="64">
        <v>582447195.44199884</v>
      </c>
      <c r="P11" s="64">
        <v>624852178.67620063</v>
      </c>
    </row>
    <row r="12" spans="1:16">
      <c r="A12" t="s">
        <v>100</v>
      </c>
      <c r="C12" s="65">
        <v>85777081500</v>
      </c>
      <c r="D12" s="65">
        <v>90210272500</v>
      </c>
      <c r="E12" s="65">
        <v>104930226500</v>
      </c>
      <c r="F12" s="65">
        <v>95253779400</v>
      </c>
      <c r="G12" s="65">
        <v>100292286600</v>
      </c>
      <c r="H12" s="65">
        <v>118516861000</v>
      </c>
      <c r="I12" s="65">
        <v>126398477800</v>
      </c>
      <c r="J12" s="65">
        <v>126463147000</v>
      </c>
      <c r="K12" s="65">
        <v>145820839200</v>
      </c>
      <c r="L12" s="65">
        <v>148318361100</v>
      </c>
      <c r="M12" s="65">
        <v>150663602200</v>
      </c>
      <c r="N12" s="65">
        <v>153149284400</v>
      </c>
      <c r="O12" s="65">
        <v>173974169600</v>
      </c>
      <c r="P12" s="65">
        <v>193535850600</v>
      </c>
    </row>
    <row r="13" spans="1:16">
      <c r="A13" s="71" t="s">
        <v>99</v>
      </c>
      <c r="C13" s="74">
        <f>C12/1000</f>
        <v>85777081.5</v>
      </c>
      <c r="D13" s="74">
        <f t="shared" ref="D13:P13" si="0">D12/1000</f>
        <v>90210272.5</v>
      </c>
      <c r="E13" s="74">
        <f t="shared" si="0"/>
        <v>104930226.5</v>
      </c>
      <c r="F13" s="74">
        <f t="shared" si="0"/>
        <v>95253779.400000006</v>
      </c>
      <c r="G13" s="74">
        <f t="shared" si="0"/>
        <v>100292286.59999999</v>
      </c>
      <c r="H13" s="74">
        <f t="shared" si="0"/>
        <v>118516861</v>
      </c>
      <c r="I13" s="74">
        <f t="shared" si="0"/>
        <v>126398477.8</v>
      </c>
      <c r="J13" s="74">
        <f t="shared" si="0"/>
        <v>126463147</v>
      </c>
      <c r="K13" s="74">
        <f t="shared" si="0"/>
        <v>145820839.19999999</v>
      </c>
      <c r="L13" s="74">
        <f t="shared" si="0"/>
        <v>148318361.09999999</v>
      </c>
      <c r="M13" s="74">
        <f t="shared" si="0"/>
        <v>150663602.19999999</v>
      </c>
      <c r="N13" s="74">
        <f t="shared" si="0"/>
        <v>153149284.40000001</v>
      </c>
      <c r="O13" s="74">
        <f t="shared" si="0"/>
        <v>173974169.59999999</v>
      </c>
      <c r="P13" s="74">
        <f t="shared" si="0"/>
        <v>193535850.59999999</v>
      </c>
    </row>
    <row r="14" spans="1:16">
      <c r="C14">
        <f>C13/C11</f>
        <v>0.37174403817770402</v>
      </c>
      <c r="D14" s="71">
        <f t="shared" ref="D14:P14" si="1">D13/D11</f>
        <v>0.35832647886531355</v>
      </c>
      <c r="E14" s="71">
        <f t="shared" si="1"/>
        <v>0.33039034986783694</v>
      </c>
      <c r="F14" s="71">
        <f t="shared" si="1"/>
        <v>0.32063568116064517</v>
      </c>
      <c r="G14" s="71">
        <f t="shared" si="1"/>
        <v>0.31705635706352275</v>
      </c>
      <c r="H14" s="71">
        <f t="shared" si="1"/>
        <v>0.32937600720058879</v>
      </c>
      <c r="I14" s="71">
        <f t="shared" si="1"/>
        <v>0.32286196062073469</v>
      </c>
      <c r="J14" s="71">
        <f t="shared" si="1"/>
        <v>0.30550071273862456</v>
      </c>
      <c r="K14" s="71">
        <f t="shared" si="1"/>
        <v>0.30945682287355614</v>
      </c>
      <c r="L14" s="71">
        <f t="shared" si="1"/>
        <v>0.292159371430045</v>
      </c>
      <c r="M14" s="71">
        <f t="shared" si="1"/>
        <v>0.28417340626500581</v>
      </c>
      <c r="N14" s="71">
        <f t="shared" si="1"/>
        <v>0.29666359339984161</v>
      </c>
      <c r="O14" s="71">
        <f t="shared" si="1"/>
        <v>0.29869517951404517</v>
      </c>
      <c r="P14" s="71">
        <f t="shared" si="1"/>
        <v>0.30973061662363277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</vt:lpstr>
      <vt:lpstr>Análisis</vt:lpstr>
      <vt:lpstr>Gráficos</vt:lpstr>
      <vt:lpstr>Eventual devaluación</vt:lpstr>
      <vt:lpstr>Exp-VBP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Mussi</dc:creator>
  <cp:lastModifiedBy>Emiliano Mussi</cp:lastModifiedBy>
  <dcterms:created xsi:type="dcterms:W3CDTF">2026-08-05T15:07:24Z</dcterms:created>
  <dcterms:modified xsi:type="dcterms:W3CDTF">2026-08-12T14:57:58Z</dcterms:modified>
</cp:coreProperties>
</file>