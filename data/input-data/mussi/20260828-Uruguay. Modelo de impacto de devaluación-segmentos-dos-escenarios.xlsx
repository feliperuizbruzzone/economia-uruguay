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mi\Desktop\Uruguay\"/>
    </mc:Choice>
  </mc:AlternateContent>
  <xr:revisionPtr revIDLastSave="0" documentId="13_ncr:1_{1CFDA8FE-9BFF-46A4-89DB-8A1302EEB354}" xr6:coauthVersionLast="47" xr6:coauthVersionMax="47" xr10:uidLastSave="{00000000-0000-0000-0000-000000000000}"/>
  <bookViews>
    <workbookView xWindow="-120" yWindow="-120" windowWidth="20730" windowHeight="11040" activeTab="1" xr2:uid="{D13A26D7-9E1A-4BA9-B097-593A940CD019}"/>
  </bookViews>
  <sheets>
    <sheet name="Modelo" sheetId="1" r:id="rId1"/>
    <sheet name="Efecto TCC - TCP" sheetId="13" r:id="rId2"/>
    <sheet name="Impo_Expo - Mercado Interno" sheetId="11" r:id="rId3"/>
    <sheet name="Transable_Expo - MI" sheetId="12" r:id="rId4"/>
    <sheet name="TCC - TCP" sheetId="2" r:id="rId5"/>
    <sheet name="Masa salarial" sheetId="7" r:id="rId6"/>
    <sheet name="Importado sobre CI" sheetId="9" r:id="rId7"/>
    <sheet name="Intereses" sheetId="4" r:id="rId8"/>
    <sheet name="Exportaciones" sheetId="5" r:id="rId9"/>
    <sheet name="Importación Maquinaria" sheetId="3" r:id="rId10"/>
    <sheet name="rama-C EAAE" sheetId="6" r:id="rId11"/>
    <sheet name="rama-C EAAE (2)" sheetId="10" r:id="rId12"/>
    <sheet name="Diferencia MIP - COU" sheetId="8" r:id="rId13"/>
  </sheets>
  <externalReferences>
    <externalReference r:id="rId14"/>
    <externalReference r:id="rId15"/>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 i="13" l="1"/>
  <c r="K5" i="13"/>
  <c r="K4" i="13"/>
  <c r="K3" i="13"/>
  <c r="G3" i="13"/>
  <c r="F3" i="13"/>
  <c r="G5" i="13"/>
  <c r="F5" i="13"/>
  <c r="F4" i="13"/>
  <c r="G4" i="13"/>
  <c r="E31" i="5"/>
  <c r="D31" i="5"/>
  <c r="F5" i="5"/>
  <c r="F6" i="5"/>
  <c r="F7" i="5"/>
  <c r="F8" i="5"/>
  <c r="F9" i="5"/>
  <c r="F10" i="5"/>
  <c r="F11" i="5"/>
  <c r="F12" i="5"/>
  <c r="F13" i="5"/>
  <c r="F14" i="5"/>
  <c r="F15" i="5"/>
  <c r="F16" i="5"/>
  <c r="F17" i="5"/>
  <c r="F18" i="5"/>
  <c r="F19" i="5"/>
  <c r="F20" i="5"/>
  <c r="F21" i="5"/>
  <c r="F22" i="5"/>
  <c r="F23" i="5"/>
  <c r="F24" i="5"/>
  <c r="F25" i="5"/>
  <c r="F26" i="5"/>
  <c r="F27" i="5"/>
  <c r="F28" i="5"/>
  <c r="F29" i="5"/>
  <c r="N22" i="3"/>
  <c r="M22" i="3"/>
  <c r="I22" i="3"/>
  <c r="H22" i="3"/>
  <c r="J22" i="3"/>
  <c r="K22" i="3" s="1"/>
  <c r="L22" i="3" s="1"/>
  <c r="P22" i="3" s="1"/>
  <c r="F4" i="2"/>
  <c r="M4" i="2" s="1"/>
  <c r="F5" i="2"/>
  <c r="F6" i="2"/>
  <c r="F7" i="2"/>
  <c r="F8" i="2"/>
  <c r="F9" i="2"/>
  <c r="F10" i="2"/>
  <c r="F11" i="2"/>
  <c r="F12" i="2"/>
  <c r="F13" i="2"/>
  <c r="F14" i="2"/>
  <c r="F15" i="2"/>
  <c r="F16" i="2"/>
  <c r="F17" i="2"/>
  <c r="F18" i="2"/>
  <c r="F19" i="2"/>
  <c r="F20" i="2"/>
  <c r="F21" i="2"/>
  <c r="F22" i="2"/>
  <c r="F23" i="2"/>
  <c r="F24" i="2"/>
  <c r="F25" i="2"/>
  <c r="F26" i="2"/>
  <c r="F27" i="2"/>
  <c r="F28" i="2"/>
  <c r="O27" i="10" l="1"/>
  <c r="AD3" i="6"/>
  <c r="AD25" i="10"/>
  <c r="AC25" i="10"/>
  <c r="AD24" i="10"/>
  <c r="AC24" i="10"/>
  <c r="AC23" i="10"/>
  <c r="AD23" i="10" s="1"/>
  <c r="AC22" i="10"/>
  <c r="AD22" i="10" s="1"/>
  <c r="AC21" i="10"/>
  <c r="AD21" i="10" s="1"/>
  <c r="AC20" i="10"/>
  <c r="AD20" i="10" s="1"/>
  <c r="AC19" i="10"/>
  <c r="AD19" i="10" s="1"/>
  <c r="AC18" i="10"/>
  <c r="AD18" i="10" s="1"/>
  <c r="AD17" i="10"/>
  <c r="AC17" i="10"/>
  <c r="AD16" i="10"/>
  <c r="AC16" i="10"/>
  <c r="AC15" i="10"/>
  <c r="AD15" i="10" s="1"/>
  <c r="AC14" i="10"/>
  <c r="AD14" i="10" s="1"/>
  <c r="AC13" i="10"/>
  <c r="AD13" i="10" s="1"/>
  <c r="AC12" i="10"/>
  <c r="AD12" i="10" s="1"/>
  <c r="AC11" i="10"/>
  <c r="AD11" i="10" s="1"/>
  <c r="AC10" i="10"/>
  <c r="AD10" i="10" s="1"/>
  <c r="AD9" i="10"/>
  <c r="AC9" i="10"/>
  <c r="AD8" i="10"/>
  <c r="AC8" i="10"/>
  <c r="AC7" i="10"/>
  <c r="AD7" i="10" s="1"/>
  <c r="AC6" i="10"/>
  <c r="AD6" i="10" s="1"/>
  <c r="AC5" i="10"/>
  <c r="AD5" i="10" s="1"/>
  <c r="AC4" i="10"/>
  <c r="AD4" i="10" s="1"/>
  <c r="AC3" i="10"/>
  <c r="AD3" i="10" s="1"/>
  <c r="AC2" i="10"/>
  <c r="AD2" i="10" s="1"/>
  <c r="E5" i="2"/>
  <c r="E6" i="2"/>
  <c r="E7" i="2"/>
  <c r="E8" i="2"/>
  <c r="E9" i="2"/>
  <c r="E10" i="2"/>
  <c r="E11" i="2"/>
  <c r="E12" i="2"/>
  <c r="E13" i="2"/>
  <c r="E14" i="2"/>
  <c r="E15" i="2"/>
  <c r="E16" i="2"/>
  <c r="E17" i="2"/>
  <c r="E18" i="2"/>
  <c r="E19" i="2"/>
  <c r="E20" i="2"/>
  <c r="E21" i="2"/>
  <c r="E22" i="2"/>
  <c r="E23" i="2"/>
  <c r="E24" i="2"/>
  <c r="E25" i="2"/>
  <c r="E26" i="2"/>
  <c r="E27" i="2"/>
  <c r="E28" i="2"/>
  <c r="E4" i="2"/>
  <c r="J4" i="2" s="1"/>
  <c r="K4" i="2" s="1"/>
  <c r="A36" i="7"/>
  <c r="A24" i="7"/>
  <c r="N11" i="3"/>
  <c r="J5" i="3"/>
  <c r="J6" i="3"/>
  <c r="K6" i="3" s="1"/>
  <c r="L6" i="3" s="1"/>
  <c r="J7" i="3"/>
  <c r="K7" i="3" s="1"/>
  <c r="J8" i="3"/>
  <c r="K8" i="3" s="1"/>
  <c r="L8" i="3" s="1"/>
  <c r="M8" i="3" s="1"/>
  <c r="N8" i="3" s="1"/>
  <c r="J9" i="3"/>
  <c r="K9" i="3"/>
  <c r="L9" i="3" s="1"/>
  <c r="M9" i="3" s="1"/>
  <c r="N9" i="3" s="1"/>
  <c r="J10" i="3"/>
  <c r="K10" i="3"/>
  <c r="L10" i="3" s="1"/>
  <c r="M10" i="3" s="1"/>
  <c r="N10" i="3" s="1"/>
  <c r="J12" i="3"/>
  <c r="K12" i="3"/>
  <c r="L12" i="3" s="1"/>
  <c r="M12" i="3" s="1"/>
  <c r="N12" i="3" s="1"/>
  <c r="J13" i="3"/>
  <c r="K13" i="3" s="1"/>
  <c r="L13" i="3" s="1"/>
  <c r="J14" i="3"/>
  <c r="K14" i="3" s="1"/>
  <c r="L14" i="3" s="1"/>
  <c r="P14" i="3" s="1"/>
  <c r="J15" i="3"/>
  <c r="K15" i="3" s="1"/>
  <c r="L15" i="3" s="1"/>
  <c r="M15" i="3" s="1"/>
  <c r="N15" i="3" s="1"/>
  <c r="J16" i="3"/>
  <c r="K16" i="3" s="1"/>
  <c r="L16" i="3" s="1"/>
  <c r="M16" i="3" s="1"/>
  <c r="N16" i="3" s="1"/>
  <c r="J17" i="3"/>
  <c r="K17" i="3"/>
  <c r="L17" i="3" s="1"/>
  <c r="M17" i="3" s="1"/>
  <c r="N17" i="3" s="1"/>
  <c r="J18" i="3"/>
  <c r="K18" i="3"/>
  <c r="L18" i="3" s="1"/>
  <c r="M18" i="3" s="1"/>
  <c r="N18" i="3" s="1"/>
  <c r="J19" i="3"/>
  <c r="K19" i="3" s="1"/>
  <c r="L19" i="3" s="1"/>
  <c r="M19" i="3" s="1"/>
  <c r="N19" i="3" s="1"/>
  <c r="J20" i="3"/>
  <c r="K20" i="3" s="1"/>
  <c r="L20" i="3" s="1"/>
  <c r="M20" i="3" s="1"/>
  <c r="N20" i="3" s="1"/>
  <c r="J21" i="3"/>
  <c r="K21" i="3"/>
  <c r="L21" i="3" s="1"/>
  <c r="M21" i="3" s="1"/>
  <c r="N21" i="3" s="1"/>
  <c r="J23" i="3"/>
  <c r="K23" i="3"/>
  <c r="L23" i="3" s="1"/>
  <c r="M23" i="3" s="1"/>
  <c r="N23" i="3" s="1"/>
  <c r="J24" i="3"/>
  <c r="K24" i="3" s="1"/>
  <c r="L24" i="3" s="1"/>
  <c r="M24" i="3" s="1"/>
  <c r="N24" i="3" s="1"/>
  <c r="J4" i="3"/>
  <c r="AC25" i="6"/>
  <c r="AD25" i="6" s="1"/>
  <c r="AC24" i="6"/>
  <c r="AD24" i="6" s="1"/>
  <c r="AC23" i="6"/>
  <c r="AD23" i="6" s="1"/>
  <c r="AC22" i="6"/>
  <c r="AD22" i="6" s="1"/>
  <c r="AC21" i="6"/>
  <c r="AD21" i="6" s="1"/>
  <c r="AC20" i="6"/>
  <c r="AD20" i="6" s="1"/>
  <c r="AC19" i="6"/>
  <c r="AD19" i="6" s="1"/>
  <c r="AC18" i="6"/>
  <c r="AD18" i="6" s="1"/>
  <c r="AC17" i="6"/>
  <c r="AD17" i="6" s="1"/>
  <c r="AC16" i="6"/>
  <c r="AD16" i="6" s="1"/>
  <c r="AC15" i="6"/>
  <c r="AD15" i="6" s="1"/>
  <c r="AC14" i="6"/>
  <c r="AD14" i="6" s="1"/>
  <c r="AC13" i="6"/>
  <c r="AD13" i="6" s="1"/>
  <c r="AC12" i="6"/>
  <c r="AD12" i="6" s="1"/>
  <c r="AC11" i="6"/>
  <c r="AD11" i="6" s="1"/>
  <c r="AC10" i="6"/>
  <c r="AD10" i="6" s="1"/>
  <c r="AC9" i="6"/>
  <c r="AD9" i="6" s="1"/>
  <c r="AC8" i="6"/>
  <c r="AD8" i="6" s="1"/>
  <c r="AC7" i="6"/>
  <c r="AD7" i="6" s="1"/>
  <c r="AC6" i="6"/>
  <c r="AD6" i="6" s="1"/>
  <c r="AC5" i="6"/>
  <c r="AD5" i="6" s="1"/>
  <c r="AC4" i="6"/>
  <c r="AD4" i="6" s="1"/>
  <c r="AC3" i="6"/>
  <c r="AC2" i="6"/>
  <c r="AD2" i="6" s="1"/>
  <c r="B29" i="5"/>
  <c r="C29" i="5" s="1"/>
  <c r="B28" i="5"/>
  <c r="C28" i="5" s="1"/>
  <c r="B27" i="5"/>
  <c r="C27" i="5" s="1"/>
  <c r="B26" i="5"/>
  <c r="C26" i="5" s="1"/>
  <c r="B25" i="5"/>
  <c r="C25" i="5" s="1"/>
  <c r="B24" i="5"/>
  <c r="C24" i="5" s="1"/>
  <c r="B23" i="5"/>
  <c r="C23" i="5" s="1"/>
  <c r="B22" i="5"/>
  <c r="C22" i="5" s="1"/>
  <c r="B21" i="5"/>
  <c r="C21" i="5" s="1"/>
  <c r="B20" i="5"/>
  <c r="C20" i="5" s="1"/>
  <c r="B19" i="5"/>
  <c r="C19" i="5" s="1"/>
  <c r="B18" i="5"/>
  <c r="C18" i="5" s="1"/>
  <c r="B17" i="5"/>
  <c r="C17" i="5" s="1"/>
  <c r="B16" i="5"/>
  <c r="C16" i="5" s="1"/>
  <c r="B15" i="5"/>
  <c r="C15" i="5" s="1"/>
  <c r="B14" i="5"/>
  <c r="C14" i="5" s="1"/>
  <c r="B13" i="5"/>
  <c r="C13" i="5" s="1"/>
  <c r="B12" i="5"/>
  <c r="C12" i="5" s="1"/>
  <c r="B11" i="5"/>
  <c r="C11" i="5" s="1"/>
  <c r="B10" i="5"/>
  <c r="C10" i="5" s="1"/>
  <c r="B9" i="5"/>
  <c r="C9" i="5" s="1"/>
  <c r="B8" i="5"/>
  <c r="C8" i="5" s="1"/>
  <c r="B7" i="5"/>
  <c r="C7" i="5" s="1"/>
  <c r="B6" i="5"/>
  <c r="C6" i="5" s="1"/>
  <c r="B5" i="5"/>
  <c r="C5" i="5" s="1"/>
  <c r="J27" i="4"/>
  <c r="AF26" i="4"/>
  <c r="AK26" i="4" s="1"/>
  <c r="Y26" i="4"/>
  <c r="W26" i="4"/>
  <c r="V26" i="4"/>
  <c r="P26" i="4"/>
  <c r="O26" i="4"/>
  <c r="S26" i="4" s="1"/>
  <c r="N26" i="4"/>
  <c r="X26" i="4" s="1"/>
  <c r="M26" i="4"/>
  <c r="T26" i="4" s="1"/>
  <c r="J26" i="4"/>
  <c r="AG26" i="4" s="1"/>
  <c r="Y25" i="4"/>
  <c r="W25" i="4"/>
  <c r="P25" i="4"/>
  <c r="O25" i="4"/>
  <c r="S25" i="4" s="1"/>
  <c r="N25" i="4"/>
  <c r="U25" i="4" s="1"/>
  <c r="M25" i="4"/>
  <c r="V25" i="4" s="1"/>
  <c r="J25" i="4"/>
  <c r="AG25" i="4" s="1"/>
  <c r="Y24" i="4"/>
  <c r="W24" i="4"/>
  <c r="S24" i="4"/>
  <c r="P24" i="4"/>
  <c r="O24" i="4"/>
  <c r="Q24" i="4" s="1"/>
  <c r="N24" i="4"/>
  <c r="U24" i="4" s="1"/>
  <c r="M24" i="4"/>
  <c r="T24" i="4" s="1"/>
  <c r="J24" i="4"/>
  <c r="AG24" i="4" s="1"/>
  <c r="Y23" i="4"/>
  <c r="W23" i="4"/>
  <c r="P23" i="4"/>
  <c r="O23" i="4"/>
  <c r="S23" i="4" s="1"/>
  <c r="N23" i="4"/>
  <c r="M23" i="4"/>
  <c r="V23" i="4" s="1"/>
  <c r="J23" i="4"/>
  <c r="AF23" i="4" s="1"/>
  <c r="AK23" i="4" s="1"/>
  <c r="Y22" i="4"/>
  <c r="W22" i="4"/>
  <c r="V22" i="4"/>
  <c r="U22" i="4"/>
  <c r="T22" i="4"/>
  <c r="Z22" i="4" s="1"/>
  <c r="Q22" i="4"/>
  <c r="P22" i="4"/>
  <c r="O22" i="4"/>
  <c r="S22" i="4" s="1"/>
  <c r="N22" i="4"/>
  <c r="M22" i="4"/>
  <c r="J22" i="4"/>
  <c r="AG22" i="4" s="1"/>
  <c r="Y21" i="4"/>
  <c r="W21" i="4"/>
  <c r="Q21" i="4"/>
  <c r="P21" i="4"/>
  <c r="O21" i="4"/>
  <c r="S21" i="4" s="1"/>
  <c r="N21" i="4"/>
  <c r="U21" i="4" s="1"/>
  <c r="AB21" i="4" s="1"/>
  <c r="M21" i="4"/>
  <c r="V21" i="4" s="1"/>
  <c r="J21" i="4"/>
  <c r="AG21" i="4" s="1"/>
  <c r="AF20" i="4"/>
  <c r="AK20" i="4" s="1"/>
  <c r="Y20" i="4"/>
  <c r="W20" i="4"/>
  <c r="P20" i="4"/>
  <c r="O20" i="4"/>
  <c r="Q20" i="4" s="1"/>
  <c r="N20" i="4"/>
  <c r="U20" i="4" s="1"/>
  <c r="M20" i="4"/>
  <c r="V20" i="4" s="1"/>
  <c r="J20" i="4"/>
  <c r="AG20" i="4" s="1"/>
  <c r="AH20" i="4" s="1"/>
  <c r="AI20" i="4" s="1"/>
  <c r="Y19" i="4"/>
  <c r="W19" i="4"/>
  <c r="V19" i="4"/>
  <c r="U19" i="4"/>
  <c r="P19" i="4"/>
  <c r="O19" i="4"/>
  <c r="Q19" i="4" s="1"/>
  <c r="N19" i="4"/>
  <c r="X19" i="4" s="1"/>
  <c r="M19" i="4"/>
  <c r="T19" i="4" s="1"/>
  <c r="J19" i="4"/>
  <c r="AG19" i="4" s="1"/>
  <c r="Y18" i="4"/>
  <c r="W18" i="4"/>
  <c r="P18" i="4"/>
  <c r="O18" i="4"/>
  <c r="Q18" i="4" s="1"/>
  <c r="N18" i="4"/>
  <c r="M18" i="4"/>
  <c r="V18" i="4" s="1"/>
  <c r="J18" i="4"/>
  <c r="AG18" i="4" s="1"/>
  <c r="Y17" i="4"/>
  <c r="W17" i="4"/>
  <c r="V17" i="4"/>
  <c r="U17" i="4"/>
  <c r="S17" i="4"/>
  <c r="P17" i="4"/>
  <c r="O17" i="4"/>
  <c r="Q17" i="4" s="1"/>
  <c r="N17" i="4"/>
  <c r="M17" i="4"/>
  <c r="T17" i="4" s="1"/>
  <c r="J17" i="4"/>
  <c r="AG17" i="4" s="1"/>
  <c r="Y16" i="4"/>
  <c r="W16" i="4"/>
  <c r="P16" i="4"/>
  <c r="O16" i="4"/>
  <c r="Q16" i="4" s="1"/>
  <c r="N16" i="4"/>
  <c r="M16" i="4"/>
  <c r="T16" i="4" s="1"/>
  <c r="J16" i="4"/>
  <c r="AF16" i="4" s="1"/>
  <c r="AK16" i="4" s="1"/>
  <c r="Y15" i="4"/>
  <c r="W15" i="4"/>
  <c r="T15" i="4"/>
  <c r="Q15" i="4"/>
  <c r="R15" i="4" s="1"/>
  <c r="AA15" i="4" s="1"/>
  <c r="P15" i="4"/>
  <c r="O15" i="4"/>
  <c r="S15" i="4" s="1"/>
  <c r="N15" i="4"/>
  <c r="U15" i="4" s="1"/>
  <c r="M15" i="4"/>
  <c r="V15" i="4" s="1"/>
  <c r="J15" i="4"/>
  <c r="AG15" i="4" s="1"/>
  <c r="Y14" i="4"/>
  <c r="W14" i="4"/>
  <c r="P14" i="4"/>
  <c r="O14" i="4"/>
  <c r="S14" i="4" s="1"/>
  <c r="N14" i="4"/>
  <c r="U14" i="4" s="1"/>
  <c r="M14" i="4"/>
  <c r="V14" i="4" s="1"/>
  <c r="J14" i="4"/>
  <c r="AG14" i="4" s="1"/>
  <c r="Y13" i="4"/>
  <c r="W13" i="4"/>
  <c r="O13" i="4"/>
  <c r="S13" i="4" s="1"/>
  <c r="M13" i="4"/>
  <c r="V13" i="4" s="1"/>
  <c r="J13" i="4"/>
  <c r="AF13" i="4" s="1"/>
  <c r="AK13" i="4" s="1"/>
  <c r="Y12" i="4"/>
  <c r="W12" i="4"/>
  <c r="U12" i="4"/>
  <c r="S12" i="4"/>
  <c r="Q12" i="4"/>
  <c r="AB12" i="4" s="1"/>
  <c r="P12" i="4"/>
  <c r="O12" i="4"/>
  <c r="N12" i="4"/>
  <c r="M12" i="4"/>
  <c r="T12" i="4" s="1"/>
  <c r="Z12" i="4" s="1"/>
  <c r="J12" i="4"/>
  <c r="AG12" i="4" s="1"/>
  <c r="Y11" i="4"/>
  <c r="W11" i="4"/>
  <c r="P11" i="4"/>
  <c r="O11" i="4"/>
  <c r="S11" i="4" s="1"/>
  <c r="N11" i="4"/>
  <c r="U11" i="4" s="1"/>
  <c r="M11" i="4"/>
  <c r="V11" i="4" s="1"/>
  <c r="J11" i="4"/>
  <c r="AF11" i="4" s="1"/>
  <c r="AK11" i="4" s="1"/>
  <c r="Y10" i="4"/>
  <c r="W10" i="4"/>
  <c r="V10" i="4"/>
  <c r="T10" i="4"/>
  <c r="P10" i="4"/>
  <c r="O10" i="4"/>
  <c r="S10" i="4" s="1"/>
  <c r="N10" i="4"/>
  <c r="U10" i="4" s="1"/>
  <c r="M10" i="4"/>
  <c r="J10" i="4"/>
  <c r="AF10" i="4" s="1"/>
  <c r="AK10" i="4" s="1"/>
  <c r="Y9" i="4"/>
  <c r="W9" i="4"/>
  <c r="P9" i="4"/>
  <c r="O9" i="4"/>
  <c r="S9" i="4" s="1"/>
  <c r="N9" i="4"/>
  <c r="U9" i="4" s="1"/>
  <c r="M9" i="4"/>
  <c r="T9" i="4" s="1"/>
  <c r="J9" i="4"/>
  <c r="AG9" i="4" s="1"/>
  <c r="AF8" i="4"/>
  <c r="AK8" i="4" s="1"/>
  <c r="Y8" i="4"/>
  <c r="W8" i="4"/>
  <c r="P8" i="4"/>
  <c r="O8" i="4"/>
  <c r="S8" i="4" s="1"/>
  <c r="N8" i="4"/>
  <c r="X8" i="4" s="1"/>
  <c r="M8" i="4"/>
  <c r="V8" i="4" s="1"/>
  <c r="J8" i="4"/>
  <c r="AG8" i="4" s="1"/>
  <c r="AH8" i="4" s="1"/>
  <c r="AI8" i="4" s="1"/>
  <c r="Y7" i="4"/>
  <c r="P7" i="4"/>
  <c r="O7" i="4"/>
  <c r="N7" i="4"/>
  <c r="X7" i="4" s="1"/>
  <c r="M7" i="4"/>
  <c r="Y6" i="4"/>
  <c r="P6" i="4"/>
  <c r="O6" i="4"/>
  <c r="N6" i="4"/>
  <c r="M6" i="4"/>
  <c r="Y5" i="4"/>
  <c r="P5" i="4"/>
  <c r="O5" i="4"/>
  <c r="N5" i="4"/>
  <c r="X5" i="4" s="1"/>
  <c r="M5" i="4"/>
  <c r="Y4" i="4"/>
  <c r="O4" i="4"/>
  <c r="M4" i="4"/>
  <c r="Y3" i="4"/>
  <c r="P3" i="4"/>
  <c r="O3" i="4"/>
  <c r="N3" i="4"/>
  <c r="X3" i="4" s="1"/>
  <c r="M3" i="4"/>
  <c r="M13" i="3" l="1"/>
  <c r="N13" i="3" s="1"/>
  <c r="P13" i="3"/>
  <c r="P24" i="3"/>
  <c r="P23" i="3"/>
  <c r="M6" i="3"/>
  <c r="N6" i="3" s="1"/>
  <c r="P6" i="3"/>
  <c r="P19" i="3"/>
  <c r="P16" i="3"/>
  <c r="L7" i="3"/>
  <c r="P7" i="3" s="1"/>
  <c r="K5" i="3"/>
  <c r="L5" i="3" s="1"/>
  <c r="P10" i="3"/>
  <c r="M14" i="3"/>
  <c r="N14" i="3" s="1"/>
  <c r="X14" i="4"/>
  <c r="X16" i="4"/>
  <c r="V24" i="4"/>
  <c r="U26" i="4"/>
  <c r="P21" i="3"/>
  <c r="V9" i="4"/>
  <c r="V12" i="4"/>
  <c r="R21" i="4"/>
  <c r="P20" i="3"/>
  <c r="X18" i="4"/>
  <c r="X9" i="4"/>
  <c r="X21" i="4"/>
  <c r="X23" i="4"/>
  <c r="P18" i="3"/>
  <c r="X11" i="4"/>
  <c r="T20" i="4"/>
  <c r="P15" i="3"/>
  <c r="Z19" i="4"/>
  <c r="P12" i="3"/>
  <c r="Z15" i="4"/>
  <c r="R22" i="4"/>
  <c r="AA22" i="4" s="1"/>
  <c r="AH26" i="4"/>
  <c r="AI26" i="4" s="1"/>
  <c r="P9" i="3"/>
  <c r="P17" i="3"/>
  <c r="X6" i="4"/>
  <c r="AG13" i="4"/>
  <c r="AH13" i="4" s="1"/>
  <c r="AI13" i="4" s="1"/>
  <c r="P8" i="3"/>
  <c r="AG10" i="4"/>
  <c r="AH10" i="4" s="1"/>
  <c r="AI10" i="4" s="1"/>
  <c r="Z16" i="4"/>
  <c r="K4" i="3"/>
  <c r="L4" i="3" s="1"/>
  <c r="P4" i="3" s="1"/>
  <c r="H14" i="5"/>
  <c r="G14" i="5"/>
  <c r="L14" i="5" s="1"/>
  <c r="M14" i="5" s="1"/>
  <c r="H15" i="5"/>
  <c r="G15" i="5"/>
  <c r="L15" i="5" s="1"/>
  <c r="M15" i="5" s="1"/>
  <c r="H16" i="5"/>
  <c r="G16" i="5"/>
  <c r="L16" i="5" s="1"/>
  <c r="M16" i="5" s="1"/>
  <c r="H17" i="5"/>
  <c r="G17" i="5"/>
  <c r="L17" i="5" s="1"/>
  <c r="M17" i="5" s="1"/>
  <c r="H18" i="5"/>
  <c r="G18" i="5"/>
  <c r="L18" i="5" s="1"/>
  <c r="M18" i="5" s="1"/>
  <c r="H19" i="5"/>
  <c r="G19" i="5"/>
  <c r="L19" i="5" s="1"/>
  <c r="M19" i="5" s="1"/>
  <c r="H21" i="5"/>
  <c r="G21" i="5"/>
  <c r="L21" i="5" s="1"/>
  <c r="M21" i="5" s="1"/>
  <c r="H20" i="5"/>
  <c r="G20" i="5"/>
  <c r="L20" i="5" s="1"/>
  <c r="M20" i="5" s="1"/>
  <c r="H5" i="5"/>
  <c r="G5" i="5"/>
  <c r="G22" i="5"/>
  <c r="L22" i="5" s="1"/>
  <c r="M22" i="5" s="1"/>
  <c r="H22" i="5"/>
  <c r="I22" i="5" s="1"/>
  <c r="J22" i="5" s="1"/>
  <c r="G8" i="5"/>
  <c r="L8" i="5" s="1"/>
  <c r="M8" i="5" s="1"/>
  <c r="H8" i="5"/>
  <c r="G6" i="5"/>
  <c r="L6" i="5" s="1"/>
  <c r="M6" i="5" s="1"/>
  <c r="H6" i="5"/>
  <c r="H7" i="5"/>
  <c r="G7" i="5"/>
  <c r="L7" i="5" s="1"/>
  <c r="M7" i="5" s="1"/>
  <c r="H23" i="5"/>
  <c r="G23" i="5"/>
  <c r="L23" i="5" s="1"/>
  <c r="M23" i="5" s="1"/>
  <c r="G24" i="5"/>
  <c r="L24" i="5" s="1"/>
  <c r="M24" i="5" s="1"/>
  <c r="H24" i="5"/>
  <c r="H9" i="5"/>
  <c r="G9" i="5"/>
  <c r="L9" i="5" s="1"/>
  <c r="M9" i="5" s="1"/>
  <c r="H25" i="5"/>
  <c r="G25" i="5"/>
  <c r="L25" i="5" s="1"/>
  <c r="M25" i="5" s="1"/>
  <c r="H10" i="5"/>
  <c r="G10" i="5"/>
  <c r="L10" i="5" s="1"/>
  <c r="M10" i="5" s="1"/>
  <c r="G26" i="5"/>
  <c r="L26" i="5" s="1"/>
  <c r="M26" i="5" s="1"/>
  <c r="H26" i="5"/>
  <c r="I26" i="5" s="1"/>
  <c r="J26" i="5" s="1"/>
  <c r="H11" i="5"/>
  <c r="G11" i="5"/>
  <c r="L11" i="5" s="1"/>
  <c r="M11" i="5" s="1"/>
  <c r="H27" i="5"/>
  <c r="G27" i="5"/>
  <c r="L27" i="5" s="1"/>
  <c r="M27" i="5" s="1"/>
  <c r="H12" i="5"/>
  <c r="G12" i="5"/>
  <c r="L12" i="5" s="1"/>
  <c r="M12" i="5" s="1"/>
  <c r="G28" i="5"/>
  <c r="L28" i="5" s="1"/>
  <c r="M28" i="5" s="1"/>
  <c r="H28" i="5"/>
  <c r="H13" i="5"/>
  <c r="G13" i="5"/>
  <c r="L13" i="5" s="1"/>
  <c r="M13" i="5" s="1"/>
  <c r="H29" i="5"/>
  <c r="G29" i="5"/>
  <c r="L29" i="5" s="1"/>
  <c r="M29" i="5" s="1"/>
  <c r="AB24" i="4"/>
  <c r="R24" i="4"/>
  <c r="AA24" i="4" s="1"/>
  <c r="Z24" i="4"/>
  <c r="R16" i="4"/>
  <c r="AA16" i="4" s="1"/>
  <c r="AH15" i="4"/>
  <c r="AI15" i="4" s="1"/>
  <c r="AH17" i="4"/>
  <c r="AI17" i="4" s="1"/>
  <c r="R17" i="4"/>
  <c r="AA17" i="4" s="1"/>
  <c r="AB17" i="4"/>
  <c r="R19" i="4"/>
  <c r="AA19" i="4" s="1"/>
  <c r="AB19" i="4"/>
  <c r="Z17" i="4"/>
  <c r="R18" i="4"/>
  <c r="AB20" i="4"/>
  <c r="R20" i="4"/>
  <c r="AA20" i="4" s="1"/>
  <c r="Z20" i="4"/>
  <c r="R12" i="4"/>
  <c r="AA12" i="4" s="1"/>
  <c r="AF25" i="4"/>
  <c r="AK25" i="4" s="1"/>
  <c r="S20" i="4"/>
  <c r="AF14" i="4"/>
  <c r="AK14" i="4" s="1"/>
  <c r="AG23" i="4"/>
  <c r="AH23" i="4" s="1"/>
  <c r="AI23" i="4" s="1"/>
  <c r="X24" i="4"/>
  <c r="Q25" i="4"/>
  <c r="AF18" i="4"/>
  <c r="AK18" i="4" s="1"/>
  <c r="S18" i="4"/>
  <c r="AG16" i="4"/>
  <c r="AH16" i="4" s="1"/>
  <c r="AI16" i="4" s="1"/>
  <c r="AG11" i="4"/>
  <c r="AH11" i="4" s="1"/>
  <c r="AI11" i="4" s="1"/>
  <c r="AF21" i="4"/>
  <c r="AK21" i="4" s="1"/>
  <c r="Q8" i="4"/>
  <c r="R8" i="4" s="1"/>
  <c r="AF9" i="4"/>
  <c r="AK9" i="4" s="1"/>
  <c r="T13" i="4"/>
  <c r="T18" i="4"/>
  <c r="Z18" i="4" s="1"/>
  <c r="X22" i="4"/>
  <c r="Q23" i="4"/>
  <c r="Q13" i="4"/>
  <c r="R13" i="4" s="1"/>
  <c r="X17" i="4"/>
  <c r="X12" i="4"/>
  <c r="X10" i="4"/>
  <c r="Q11" i="4"/>
  <c r="Q14" i="4"/>
  <c r="S16" i="4"/>
  <c r="U18" i="4"/>
  <c r="AB18" i="4" s="1"/>
  <c r="AF19" i="4"/>
  <c r="AK19" i="4" s="1"/>
  <c r="T25" i="4"/>
  <c r="X20" i="4"/>
  <c r="X15" i="4"/>
  <c r="T8" i="4"/>
  <c r="Q9" i="4"/>
  <c r="AB15" i="4"/>
  <c r="U16" i="4"/>
  <c r="AB16" i="4" s="1"/>
  <c r="AF17" i="4"/>
  <c r="AK17" i="4" s="1"/>
  <c r="T23" i="4"/>
  <c r="Q10" i="4"/>
  <c r="Z10" i="4" s="1"/>
  <c r="V16" i="4"/>
  <c r="AB22" i="4"/>
  <c r="U23" i="4"/>
  <c r="AF24" i="4"/>
  <c r="AK24" i="4" s="1"/>
  <c r="AF12" i="4"/>
  <c r="AK12" i="4" s="1"/>
  <c r="AF15" i="4"/>
  <c r="AK15" i="4" s="1"/>
  <c r="T21" i="4"/>
  <c r="Z21" i="4" s="1"/>
  <c r="X25" i="4"/>
  <c r="Q26" i="4"/>
  <c r="Z26" i="4" s="1"/>
  <c r="T11" i="4"/>
  <c r="T14" i="4"/>
  <c r="S19" i="4"/>
  <c r="AF22" i="4"/>
  <c r="AK22" i="4" s="1"/>
  <c r="U8" i="4"/>
  <c r="P5" i="3" l="1"/>
  <c r="M5" i="3"/>
  <c r="N5" i="3" s="1"/>
  <c r="M7" i="3"/>
  <c r="N7" i="3" s="1"/>
  <c r="Z14" i="4"/>
  <c r="AH18" i="4"/>
  <c r="AI18" i="4" s="1"/>
  <c r="M4" i="3"/>
  <c r="N4" i="3" s="1"/>
  <c r="Z25" i="4"/>
  <c r="Z11" i="4"/>
  <c r="Z13" i="4"/>
  <c r="I24" i="5"/>
  <c r="J24" i="5" s="1"/>
  <c r="I28" i="5"/>
  <c r="J28" i="5" s="1"/>
  <c r="I8" i="5"/>
  <c r="J8" i="5" s="1"/>
  <c r="I6" i="5"/>
  <c r="J6" i="5" s="1"/>
  <c r="I20" i="5"/>
  <c r="J20" i="5" s="1"/>
  <c r="I21" i="5"/>
  <c r="J21" i="5" s="1"/>
  <c r="I23" i="5"/>
  <c r="J23" i="5" s="1"/>
  <c r="I9" i="5"/>
  <c r="J9" i="5" s="1"/>
  <c r="I17" i="5"/>
  <c r="J17" i="5" s="1"/>
  <c r="I18" i="5"/>
  <c r="J18" i="5" s="1"/>
  <c r="I11" i="5"/>
  <c r="J11" i="5" s="1"/>
  <c r="I16" i="5"/>
  <c r="J16" i="5" s="1"/>
  <c r="I13" i="5"/>
  <c r="J13" i="5" s="1"/>
  <c r="I19" i="5"/>
  <c r="J19" i="5" s="1"/>
  <c r="I27" i="5"/>
  <c r="J27" i="5" s="1"/>
  <c r="I15" i="5"/>
  <c r="J15" i="5" s="1"/>
  <c r="I12" i="5"/>
  <c r="J12" i="5" s="1"/>
  <c r="I7" i="5"/>
  <c r="J7" i="5" s="1"/>
  <c r="I10" i="5"/>
  <c r="J10" i="5" s="1"/>
  <c r="I29" i="5"/>
  <c r="J29" i="5" s="1"/>
  <c r="I25" i="5"/>
  <c r="J25" i="5" s="1"/>
  <c r="I5" i="5"/>
  <c r="J5" i="5" s="1"/>
  <c r="I14" i="5"/>
  <c r="J14" i="5" s="1"/>
  <c r="R23" i="4"/>
  <c r="AA23" i="4" s="1"/>
  <c r="AB23" i="4"/>
  <c r="AH25" i="4"/>
  <c r="AI25" i="4" s="1"/>
  <c r="R9" i="4"/>
  <c r="AA9" i="4" s="1"/>
  <c r="AB9" i="4"/>
  <c r="Z9" i="4"/>
  <c r="AH9" i="4"/>
  <c r="AI9" i="4" s="1"/>
  <c r="AH21" i="4"/>
  <c r="AI21" i="4" s="1"/>
  <c r="AA18" i="4"/>
  <c r="AB14" i="4"/>
  <c r="R14" i="4"/>
  <c r="AA14" i="4" s="1"/>
  <c r="AB11" i="4"/>
  <c r="R11" i="4"/>
  <c r="AA11" i="4" s="1"/>
  <c r="AB10" i="4"/>
  <c r="R10" i="4"/>
  <c r="AA10" i="4" s="1"/>
  <c r="AH19" i="4"/>
  <c r="AI19" i="4" s="1"/>
  <c r="R26" i="4"/>
  <c r="AA26" i="4" s="1"/>
  <c r="AB26" i="4"/>
  <c r="AA21" i="4"/>
  <c r="Z23" i="4"/>
  <c r="AH14" i="4"/>
  <c r="AI14" i="4" s="1"/>
  <c r="R25" i="4"/>
  <c r="AA25" i="4" s="1"/>
  <c r="AB25" i="4"/>
  <c r="AH24" i="4"/>
  <c r="AI24" i="4" s="1"/>
  <c r="AA13" i="4"/>
  <c r="AH22" i="4"/>
  <c r="AI22" i="4" s="1"/>
  <c r="AH12" i="4"/>
  <c r="AI12" i="4" s="1"/>
  <c r="AC20" i="4" l="1"/>
  <c r="AC15" i="4"/>
  <c r="AC14" i="4"/>
  <c r="AC16" i="4"/>
  <c r="AC13" i="4"/>
  <c r="AC10" i="4"/>
  <c r="AC23" i="4"/>
  <c r="AC22" i="4"/>
  <c r="AC12" i="4"/>
  <c r="AC18" i="4"/>
  <c r="AC24" i="4"/>
  <c r="AC17" i="4"/>
  <c r="AC26" i="4"/>
  <c r="AC9" i="4"/>
  <c r="AC25" i="4"/>
  <c r="AC19" i="4"/>
  <c r="AC21" i="4"/>
  <c r="AC11" i="4"/>
</calcChain>
</file>

<file path=xl/sharedStrings.xml><?xml version="1.0" encoding="utf-8"?>
<sst xmlns="http://schemas.openxmlformats.org/spreadsheetml/2006/main" count="730" uniqueCount="197">
  <si>
    <t>VBP</t>
  </si>
  <si>
    <t>Incidencia</t>
  </si>
  <si>
    <t>Efecto</t>
  </si>
  <si>
    <t>Fuente</t>
  </si>
  <si>
    <t>Positivo</t>
  </si>
  <si>
    <t>Consumo intermedio</t>
  </si>
  <si>
    <t>Comentario</t>
  </si>
  <si>
    <t>Negativo</t>
  </si>
  <si>
    <t>Modelo de impacto de la depreciación del tipo de cambio en la tasa de ganancia del capital manufacturero uruguayo</t>
  </si>
  <si>
    <t>Se toma COU porque incluye impuestos y márgenes de comercio y transporte, promedio 2015/2016</t>
  </si>
  <si>
    <t>Masa salarial</t>
  </si>
  <si>
    <t>Transable/ consumo intermedio</t>
  </si>
  <si>
    <t>Importado / masa salarial manufacturera</t>
  </si>
  <si>
    <t>Transable / masa salarial manufacturera</t>
  </si>
  <si>
    <t>Importado / consumo intermedio</t>
  </si>
  <si>
    <t>Intereses</t>
  </si>
  <si>
    <t>Intereses pagados / VBP</t>
  </si>
  <si>
    <t>CIU 2006/2024</t>
  </si>
  <si>
    <t>Exportaciones / VBP</t>
  </si>
  <si>
    <t>Exportaciones CCNN, con factor de microdatos, respecto de VBP EAAE, promedio 2001/2024</t>
  </si>
  <si>
    <t>TCC ($/USD)</t>
  </si>
  <si>
    <t>TCP ($/USD)</t>
  </si>
  <si>
    <t>corrientes</t>
  </si>
  <si>
    <t>constantes</t>
  </si>
  <si>
    <t>Mill USD</t>
  </si>
  <si>
    <t>1870-1912: Willebald et al (15); +13: PHES -Silvana Maubrigades</t>
  </si>
  <si>
    <t xml:space="preserve">Millones de pesos </t>
  </si>
  <si>
    <t>vbp_pb_estimado</t>
  </si>
  <si>
    <t>capital_total_adelantado</t>
  </si>
  <si>
    <t>stock_capital</t>
  </si>
  <si>
    <t>Ganancia desp de impuestos</t>
  </si>
  <si>
    <t>fbcf</t>
  </si>
  <si>
    <t xml:space="preserve">Endeudamiento Industrial </t>
  </si>
  <si>
    <t>Intereses pagos por la industria</t>
  </si>
  <si>
    <t>intereses pagos por eaae, ajuste c/ microdatos (90%)</t>
  </si>
  <si>
    <t>Tipo de cambio libre</t>
  </si>
  <si>
    <t>TC Paridad c/prod no agraria</t>
  </si>
  <si>
    <t>Ganancia</t>
  </si>
  <si>
    <t>FBCF</t>
  </si>
  <si>
    <t>Ganancia desp de intereses pagados</t>
  </si>
  <si>
    <t>Ganancia desp de impuestos e  intereses pagados, menos la FBCF</t>
  </si>
  <si>
    <t>% de los intereses respecto de la ganancia</t>
  </si>
  <si>
    <t>Patrimonio neto (Aprox.)</t>
  </si>
  <si>
    <t>stock de capital menos endeudamiento</t>
  </si>
  <si>
    <t>Pasivo no corriente / KTA</t>
  </si>
  <si>
    <t>Endeudamiento (2006 = 100)</t>
  </si>
  <si>
    <t>stock_capital (2006 = 100)</t>
  </si>
  <si>
    <t>Tasa de ganancia manuf</t>
  </si>
  <si>
    <t>Tasa de ganancia capital propio</t>
  </si>
  <si>
    <t>Tasa de ganancia capital propio desp de FBCF</t>
  </si>
  <si>
    <t>Tasa de ganancia PN (sobre capital fijo menos endeudamiento)</t>
  </si>
  <si>
    <t>Promedio</t>
  </si>
  <si>
    <t>Intereses x TC</t>
  </si>
  <si>
    <t>Intereses por TCP</t>
  </si>
  <si>
    <t>Abaratamiento por tc. Diferencia intereses</t>
  </si>
  <si>
    <t>Abaratamiento sobre ganancia desp de impuestos</t>
  </si>
  <si>
    <t/>
  </si>
  <si>
    <t>Escenario de las exportaciones frente a eventual devaluación, con precios y cantidades exportadas constantes</t>
  </si>
  <si>
    <t>Expo manuf, miles usd</t>
  </si>
  <si>
    <t>Ajuste de total manufactura a eaae a partir de microdatos (95%)</t>
  </si>
  <si>
    <t>val_tcp</t>
  </si>
  <si>
    <t>Situación actual. Pesos apropiados por sector exportador. Miles de pesos recibidos al TCC</t>
  </si>
  <si>
    <t>Escenario de devaluación. Miles de pesos recibidos al TCP</t>
  </si>
  <si>
    <t>Incremento para el exportador: Diferencia apropiada por el exportador frente a eventual devaluación</t>
  </si>
  <si>
    <t>Incremento de apropiación en relación a exportaciones efectivas</t>
  </si>
  <si>
    <t>anno</t>
  </si>
  <si>
    <t>seccion</t>
  </si>
  <si>
    <t>epoca</t>
  </si>
  <si>
    <t>ciiu_version</t>
  </si>
  <si>
    <t>vbp_pp</t>
  </si>
  <si>
    <t>vbp_pb</t>
  </si>
  <si>
    <t>vab_pp</t>
  </si>
  <si>
    <t>vab_pb</t>
  </si>
  <si>
    <t>vab_pb_estimado</t>
  </si>
  <si>
    <t>consumo_intermedio_estimado</t>
  </si>
  <si>
    <t>capital_circulante_constante_adelantado</t>
  </si>
  <si>
    <t>remuneraciones</t>
  </si>
  <si>
    <t>capital_variable_adelantado</t>
  </si>
  <si>
    <t>puestos_trabajo</t>
  </si>
  <si>
    <t>n_empresas</t>
  </si>
  <si>
    <t>fbkf_maq_eq</t>
  </si>
  <si>
    <t>adquisiciones_importadas</t>
  </si>
  <si>
    <t>adquisiciones_origen_importado</t>
  </si>
  <si>
    <t>importaciones_maquinaria</t>
  </si>
  <si>
    <t>consumo_capital_fijo</t>
  </si>
  <si>
    <t>impuestos_netos</t>
  </si>
  <si>
    <t>stock_capital_imputado</t>
  </si>
  <si>
    <t>excedente_bruto</t>
  </si>
  <si>
    <t>part_salarial</t>
  </si>
  <si>
    <t>productividad</t>
  </si>
  <si>
    <t>C</t>
  </si>
  <si>
    <t>Rev.3</t>
  </si>
  <si>
    <t>Rev.4</t>
  </si>
  <si>
    <t>importaciones_maquinaria. (USD / TCC)</t>
  </si>
  <si>
    <t>importaciones_maquinaria. (pesos / TCP)</t>
  </si>
  <si>
    <r>
      <t xml:space="preserve">Posible encarecimiento bruto </t>
    </r>
    <r>
      <rPr>
        <b/>
        <i/>
        <sz val="10"/>
        <color rgb="FFFFFFFF"/>
        <rFont val="Cambria"/>
        <family val="1"/>
      </rPr>
      <t>- aumento de stock -</t>
    </r>
  </si>
  <si>
    <t>Efecto sobre consumo de capital fijo (1/20)</t>
  </si>
  <si>
    <t>Efecto / consumo capital fijo</t>
  </si>
  <si>
    <t>Efecto aumento consumo capital fijo maquinaria importada / consumo de capital fijo</t>
  </si>
  <si>
    <t>EAAE</t>
  </si>
  <si>
    <t>Fuente: Oyhantcabal</t>
  </si>
  <si>
    <t>Cuadro de salario: masa salarial y sus componentes especificos (importado, transable detallado, no transable detallado, combustible)</t>
  </si>
  <si>
    <t>Fila 'Masa salarial' = remuneraciones totales del grupo/columna (valor real, no un ratio). Las demas filas son componentes que 'entran' en esa masa salarial -no insumos que compra la industria-: masa salarial del grupo x ratio (importado, transable, no transable o combustible) / consumo total de los HOGARES de toda la economia (COU/MIP). El % de cada fila es igual para las 4 columnas (es un ratio economia-wide); el $ varia porque cada columna tiene una masa salarial distinta. 'Total economia' usa la remuneraciones totales del pais (COU: cuadro de generacion del ingreso; MIP: suma de la fila de remuneraciones en las 108 actividades -ambas coinciden en 721.193 millones para 2016-). No disponible en microdatos EAAE (no releva consumo de los hogares).</t>
  </si>
  <si>
    <t>Rubro</t>
  </si>
  <si>
    <t>%
 (igual las 4 col.)</t>
  </si>
  <si>
    <t>Total economia ($ mill.)</t>
  </si>
  <si>
    <t>Manufactura total ($ mill.)</t>
  </si>
  <si>
    <t>Manufactura exportadora ($ mill.)</t>
  </si>
  <si>
    <t>Manuf. mercado interno s/comb. ($ mill.)</t>
  </si>
  <si>
    <t>COU</t>
  </si>
  <si>
    <t>COU detallado 2016</t>
  </si>
  <si>
    <t>Importado en la masa salarial</t>
  </si>
  <si>
    <t>Transable — Agro/pesca/mineria (nacional)</t>
  </si>
  <si>
    <t>Transable — Manufactura (nacional)</t>
  </si>
  <si>
    <t>Transable — Importado</t>
  </si>
  <si>
    <t>Transable TOTAL</t>
  </si>
  <si>
    <t>No transable — Electricidad/gas/agua (nacional)</t>
  </si>
  <si>
    <t>No transable — Construccion (nacional)</t>
  </si>
  <si>
    <t>No transable — Servicios (nacional)</t>
  </si>
  <si>
    <t>No transable TOTAL</t>
  </si>
  <si>
    <t>Combustible en la masa salarial</t>
  </si>
  <si>
    <t>COU detallado 2017</t>
  </si>
  <si>
    <t>MIP</t>
  </si>
  <si>
    <t>MIP detallada 2016</t>
  </si>
  <si>
    <t>ver si esto es por combustible</t>
  </si>
  <si>
    <t>poruqe tanta diferencia entre COU y MIP en el peso de los transables en particular manufactura nacional
Se ejecutaron 4 comandos
Se ejecutaron 4 comandos
La diferencia no es un error de cálculo: son dos valoraciones distintas del mismo gasto de los hogares.
El COU (columna "Gasto de Consumo Final Hogares" que usé) está a precios de comprador. Se confirma mirando la tabla de Oferta: cada producto trae columnas explícitas "Márgenes Totales" e "Impuestos menos subvenciones sobre los productos", que se suman a la producción y a lo importado para llegar a la Oferta Total. La MIP, en cambio, está armada a precios básicos (la hoja "MIP 108x108" es "Total de usos de origen nacional precios básicos") — es decir, sin márgenes de comercio/transporte ni impuestos netos sobre los productos.
El mecanismo concreto: el margen de comercio (el margen que se lleva el supermercado o la tienda al vender un producto) aparece en el COU como un valor negativo en el producto "Servicios de comercio" (código 74: margen = –223.752 millones en 2016, con oferta propia de apenas 8 millones) y como un valor positivo repartido en los productos efectivamente vendidos — mayormente manufactura, que solo por margen suma +215.846 millones (18,8% de su oferta total). O sea: en el COU, el margen que gana el comercio al vender, por ejemplo, un alimento envasado queda "adentro" del producto alimenticio, no del servicio de comercio.
En la MIP, ese mismo margen se queda como producción de la industria "Comercio" (un servicio), no del producto manufacturado. Por eso:
Manufactura nacional en el consumo de hogares: COU 32,6% / MIP 14,0% del gasto total.
Servicios: COU 51,3% / MIP 71,1%.
A esto se suman los impuestos netos sobre productos (IVA, etc.), que en manufactura son otro 9,4% de la oferta en el COU y que la MIP tampoco atribuye a ningún producto. Entre márgenes e impuestos, casi 28% del valor "manufactura" del COU es en realidad margen comercial + impuestos que la MIP reclasifica como servicios (o los deja fuera de cualquier industria).
En síntesis: la MIP mide el peso de "lo que produjo la industria manufacturera" (precio de fábrica); el COU mide "lo que efectivamente compró el hogar" incluyendo el margen de venta y los impuestos — por eso el COU siempre va a mostrar más peso de manufactura y transables, y menos de servicios, que la MIP. Ninguna de las dos está mal: miden cosas distintas.
Si querés, puedo agregar esta explicación como nota metodológica en el Excel, o construir una versión "ajustada" del COU que le quite márgenes e impuestos para hacerlo comparable a precios básicos con la MIP.</t>
  </si>
  <si>
    <t>Diferencia MIP COU</t>
  </si>
  <si>
    <t>ANEXO</t>
  </si>
  <si>
    <t>Diferencia MIP - COU</t>
  </si>
  <si>
    <t>Variable</t>
  </si>
  <si>
    <t xml:space="preserve">https://docs.google.com/spreadsheets/d/1nC7Wt3_sS_Ov6XZY0KzrMMU95c3EsMciThLac86e-kU/edit?gid=133251357#gid=133251357 </t>
  </si>
  <si>
    <t>Importado / Consumo intermedio, por grupo y fuente</t>
  </si>
  <si>
    <t>COU: ratio economia-wide por producto aplicado al uso de cada grupo. MIP: directo de la matriz de importaciones (mas preciso). Microdatos EAAE: materias primas importadas / consumo intermedio -solo disponible 2009 y 2010, resto de años 's/d' por no relevarse el origen de compras desde 2011-.</t>
  </si>
  <si>
    <t>Detalle</t>
  </si>
  <si>
    <t>Exportador</t>
  </si>
  <si>
    <t>Combustible</t>
  </si>
  <si>
    <t>Mercado interno sin combustible</t>
  </si>
  <si>
    <t>Total manufactura</t>
  </si>
  <si>
    <t>MIP detallada 2016 (matriz de importaciones)</t>
  </si>
  <si>
    <t>Microdatos EAAE</t>
  </si>
  <si>
    <t>Microdatos EAAE 2009 (muestra)</t>
  </si>
  <si>
    <t>Microdatos EAAE 2009 (expandido)</t>
  </si>
  <si>
    <t>Microdatos EAAE 2010 (muestra)</t>
  </si>
  <si>
    <t>Microdatos EAAE 2010 (expandido)</t>
  </si>
  <si>
    <t>Microdatos EAAE 2011 (muestra)</t>
  </si>
  <si>
    <t>s/d</t>
  </si>
  <si>
    <t>Microdatos EAAE 2011 (expandido)</t>
  </si>
  <si>
    <t>Microdatos EAAE 2012 (muestra)</t>
  </si>
  <si>
    <t>Microdatos EAAE 2012 (expandido)</t>
  </si>
  <si>
    <t>Microdatos EAAE 2013 (muestra)</t>
  </si>
  <si>
    <t>Microdatos EAAE 2013 (expandido)</t>
  </si>
  <si>
    <t>Microdatos EAAE 2014 (muestra)</t>
  </si>
  <si>
    <t>Microdatos EAAE 2014 (expandido)</t>
  </si>
  <si>
    <t>Microdatos EAAE 2016 (muestra)</t>
  </si>
  <si>
    <t>Microdatos EAAE 2016 (expandido)</t>
  </si>
  <si>
    <t>Microdatos EAAE 2017 (muestra)</t>
  </si>
  <si>
    <t>Microdatos EAAE 2017 (expandido)</t>
  </si>
  <si>
    <t>Microdatos EAAE 2018 (muestra)</t>
  </si>
  <si>
    <t>Microdatos EAAE 2018 (expandido)</t>
  </si>
  <si>
    <t>Microdatos EAAE 2019 (muestra)</t>
  </si>
  <si>
    <t>Microdatos EAAE 2019 (expandido)</t>
  </si>
  <si>
    <r>
      <t xml:space="preserve">V.2 | Cantidades fijas | </t>
    </r>
    <r>
      <rPr>
        <i/>
        <u/>
        <sz val="11"/>
        <color rgb="FF0070C0"/>
        <rFont val="Cambria"/>
        <family val="1"/>
      </rPr>
      <t>Transable</t>
    </r>
  </si>
  <si>
    <r>
      <t xml:space="preserve">V.1 | Cantidades fijas | </t>
    </r>
    <r>
      <rPr>
        <i/>
        <u/>
        <sz val="11"/>
        <color rgb="FF0070C0"/>
        <rFont val="Cambria"/>
        <family val="1"/>
      </rPr>
      <t>Importado</t>
    </r>
  </si>
  <si>
    <t>Efecto de inversión importada, prorrateada por depreciación lineal estimación a 20 años a partir de EAAE</t>
  </si>
  <si>
    <t>Tasa de devaluacióin con supuesto de llevar el tipo de cambio a la paridad</t>
  </si>
  <si>
    <t>Tasa de devaluación aplicado a cada variable según incidencia:</t>
  </si>
  <si>
    <t>CI* (T/CI)*(1+(tcp/tcc))</t>
  </si>
  <si>
    <t>Fórmula</t>
  </si>
  <si>
    <t>Consumo de capital fijo</t>
  </si>
  <si>
    <t>Capital fijo de maquinaria</t>
  </si>
  <si>
    <t>Stock pesos</t>
  </si>
  <si>
    <t>Aumento stock respecto del stock de maquinaria</t>
  </si>
  <si>
    <t>Efecto de inversión importada en stock de capital a partir de EAAE</t>
  </si>
  <si>
    <t>Variable en pesos +Variable en pesos* incidencia*((tcp/tcc)-1)</t>
  </si>
  <si>
    <t xml:space="preserve">Incidencia </t>
  </si>
  <si>
    <t>Val -1</t>
  </si>
  <si>
    <t>TCP/TCC</t>
  </si>
  <si>
    <t>pesos</t>
  </si>
  <si>
    <t>Expo/VBP</t>
  </si>
  <si>
    <t>Exportadores</t>
  </si>
  <si>
    <t>Mercado interno</t>
  </si>
  <si>
    <t xml:space="preserve">https://docs.google.com/spreadsheets/d/1mxvi1bIWz5WpHcGaBE-OJZTV5XA-hqzD5fn_03F-LMw/edit?gid=1825138045#gid=1825138045 </t>
  </si>
  <si>
    <t>Fuente:</t>
  </si>
  <si>
    <t xml:space="preserve">https://docs.google.com/spreadsheets/d/1EjWnRovNLRfISF26lYHPvSVCcWHPUdPtjIY-m_xft28/edit?gid=1371237672#gid=1371237672 </t>
  </si>
  <si>
    <t>Año</t>
  </si>
  <si>
    <t>TCC</t>
  </si>
  <si>
    <t>TCP</t>
  </si>
  <si>
    <t>Factor devaluación</t>
  </si>
  <si>
    <t>Expo</t>
  </si>
  <si>
    <t>Insumos</t>
  </si>
  <si>
    <t>Monto</t>
  </si>
  <si>
    <t>Cesión</t>
  </si>
  <si>
    <t>Apropiación</t>
  </si>
  <si>
    <t>Concepto</t>
  </si>
  <si>
    <t xml:space="preserve"> ganancia escenario inicial</t>
  </si>
  <si>
    <t>% sobre ganancia</t>
  </si>
  <si>
    <t>Porcentaje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</si>
</sst>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_-;\-* #,##0.0_-;_-* &quot;-&quot;??_-;_-@_-"/>
    <numFmt numFmtId="165" formatCode="_-* #,##0_-;\-* #,##0_-;_-* &quot;-&quot;??_-;_-@_-"/>
    <numFmt numFmtId="166" formatCode="0.0%"/>
    <numFmt numFmtId="167" formatCode="_-* #,##0.0_-;\-* #,##0.0_-;_-* &quot;-&quot;?_-;_-@_-"/>
    <numFmt numFmtId="168" formatCode="_-* #,##0.000_-;\-* #,##0.000_-;_-* &quot;-&quot;??_-;_-@_-"/>
    <numFmt numFmtId="169" formatCode="_-* #,##0.00_-;\-* #,##0.00_-;_-* &quot;-&quot;?_-;_-@_-"/>
  </numFmts>
  <fonts count="33">
    <font>
      <sz val="11"/>
      <color theme="1"/>
      <name val="Calibri"/>
      <family val="2"/>
      <scheme val="minor"/>
    </font>
    <font>
      <sz val="11"/>
      <color theme="1"/>
      <name val="Calibri"/>
      <family val="2"/>
      <scheme val="minor"/>
    </font>
    <font>
      <b/>
      <sz val="10"/>
      <color rgb="FFFFFFFF"/>
      <name val="Cambria"/>
      <family val="1"/>
    </font>
    <font>
      <sz val="10"/>
      <color rgb="FF111111"/>
      <name val="Cambria"/>
      <family val="1"/>
    </font>
    <font>
      <sz val="10"/>
      <color theme="1"/>
      <name val="Cambria"/>
      <family val="1"/>
    </font>
    <font>
      <sz val="11"/>
      <name val="Calibri"/>
      <family val="2"/>
    </font>
    <font>
      <sz val="10"/>
      <name val="Cambria"/>
      <family val="1"/>
    </font>
    <font>
      <sz val="10"/>
      <color rgb="FF000000"/>
      <name val="Cambria"/>
      <family val="1"/>
    </font>
    <font>
      <sz val="11"/>
      <name val="Calibri"/>
      <family val="2"/>
    </font>
    <font>
      <b/>
      <sz val="10"/>
      <color rgb="FF0070C0"/>
      <name val="Cambria"/>
      <family val="1"/>
    </font>
    <font>
      <u/>
      <sz val="11"/>
      <color theme="10"/>
      <name val="Calibri"/>
      <family val="2"/>
      <scheme val="minor"/>
    </font>
    <font>
      <b/>
      <i/>
      <sz val="10"/>
      <color rgb="FFFFFFFF"/>
      <name val="Cambria"/>
      <family val="1"/>
    </font>
    <font>
      <b/>
      <sz val="14"/>
      <color rgb="FF1F4E78"/>
      <name val="Arial"/>
      <family val="2"/>
    </font>
    <font>
      <sz val="11"/>
      <color rgb="FF000000"/>
      <name val="Calibri"/>
      <family val="2"/>
    </font>
    <font>
      <sz val="11"/>
      <color rgb="FF000000"/>
      <name val="Arial"/>
      <family val="2"/>
    </font>
    <font>
      <b/>
      <sz val="11"/>
      <color rgb="FFFFFFFF"/>
      <name val="Arial"/>
      <family val="2"/>
    </font>
    <font>
      <b/>
      <sz val="11"/>
      <color rgb="FF000000"/>
      <name val="Arial"/>
      <family val="2"/>
    </font>
    <font>
      <i/>
      <sz val="9"/>
      <color rgb="FF999999"/>
      <name val="Arial"/>
      <family val="2"/>
    </font>
    <font>
      <b/>
      <sz val="11"/>
      <color rgb="FF0000FF"/>
      <name val="Arial"/>
      <family val="2"/>
    </font>
    <font>
      <sz val="11"/>
      <color rgb="FF0000FF"/>
      <name val="Arial"/>
      <family val="2"/>
    </font>
    <font>
      <b/>
      <u/>
      <sz val="14"/>
      <color rgb="FF002060"/>
      <name val="Cambria"/>
      <family val="1"/>
    </font>
    <font>
      <sz val="11"/>
      <color theme="1"/>
      <name val="Cambria"/>
      <family val="1"/>
    </font>
    <font>
      <u/>
      <sz val="11"/>
      <color theme="10"/>
      <name val="Cambria"/>
      <family val="1"/>
    </font>
    <font>
      <sz val="11"/>
      <color rgb="FF0070C0"/>
      <name val="Cambria"/>
      <family val="1"/>
    </font>
    <font>
      <b/>
      <sz val="11"/>
      <color theme="0"/>
      <name val="Cambria"/>
      <family val="1"/>
    </font>
    <font>
      <sz val="10"/>
      <color theme="1"/>
      <name val="Arial"/>
      <family val="2"/>
    </font>
    <font>
      <b/>
      <sz val="10"/>
      <color rgb="FFFFFFFF"/>
      <name val="Arial"/>
      <family val="2"/>
    </font>
    <font>
      <i/>
      <u/>
      <sz val="11"/>
      <color rgb="FF0070C0"/>
      <name val="Cambria"/>
      <family val="1"/>
    </font>
    <font>
      <sz val="10"/>
      <color rgb="FF1C267D"/>
      <name val="Arial Narrow"/>
      <family val="2"/>
    </font>
    <font>
      <b/>
      <sz val="11"/>
      <color rgb="FF1C267D"/>
      <name val="Le Monde Sans Std"/>
      <family val="3"/>
    </font>
    <font>
      <b/>
      <sz val="11"/>
      <color rgb="FFFF0000"/>
      <name val="Cambria"/>
      <family val="1"/>
    </font>
    <font>
      <b/>
      <sz val="11"/>
      <color rgb="FF002060"/>
      <name val="Cambria"/>
      <family val="1"/>
    </font>
    <font>
      <sz val="11"/>
      <color rgb="FFFF0000"/>
      <name val="Cambria"/>
      <family val="1"/>
    </font>
  </fonts>
  <fills count="14">
    <fill>
      <patternFill patternType="none"/>
    </fill>
    <fill>
      <patternFill patternType="gray125"/>
    </fill>
    <fill>
      <patternFill patternType="solid">
        <fgColor rgb="FF1B3F6B"/>
        <bgColor rgb="FF0F2C52"/>
      </patternFill>
    </fill>
    <fill>
      <patternFill patternType="solid">
        <fgColor rgb="FFFFFFFF"/>
        <bgColor rgb="FFEEF4FB"/>
      </patternFill>
    </fill>
    <fill>
      <patternFill patternType="solid">
        <fgColor rgb="FFEEF4FB"/>
        <bgColor rgb="FFF2F2F2"/>
      </patternFill>
    </fill>
    <fill>
      <patternFill patternType="solid">
        <fgColor rgb="FFFFFFFF"/>
        <bgColor rgb="FFFFFFFF"/>
      </patternFill>
    </fill>
    <fill>
      <patternFill patternType="solid">
        <fgColor rgb="FF1F4E78"/>
        <bgColor rgb="FF1F4E78"/>
      </patternFill>
    </fill>
    <fill>
      <patternFill patternType="solid">
        <fgColor rgb="FF548235"/>
        <bgColor rgb="FF548235"/>
      </patternFill>
    </fill>
    <fill>
      <patternFill patternType="solid">
        <fgColor rgb="FF00B0F0"/>
        <bgColor indexed="64"/>
      </patternFill>
    </fill>
    <fill>
      <patternFill patternType="solid">
        <fgColor rgb="FFDDEBF7"/>
        <bgColor rgb="FFDDEBF7"/>
      </patternFill>
    </fill>
    <fill>
      <patternFill patternType="solid">
        <fgColor rgb="FFE2EFDA"/>
        <bgColor rgb="FFE2EFDA"/>
      </patternFill>
    </fill>
    <fill>
      <patternFill patternType="solid">
        <fgColor rgb="FFFFF2CC"/>
        <bgColor rgb="FFFFF2CC"/>
      </patternFill>
    </fill>
    <fill>
      <patternFill patternType="solid">
        <fgColor rgb="FF002060"/>
        <bgColor indexed="64"/>
      </patternFill>
    </fill>
    <fill>
      <patternFill patternType="solid">
        <fgColor rgb="FFFFFF00"/>
        <bgColor indexed="64"/>
      </patternFill>
    </fill>
  </fills>
  <borders count="6">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bottom/>
      <diagonal/>
    </border>
    <border>
      <left style="thin">
        <color rgb="FFBBBBBB"/>
      </left>
      <right style="thin">
        <color rgb="FFBBBBBB"/>
      </right>
      <top/>
      <bottom/>
      <diagonal/>
    </border>
    <border>
      <left style="thin">
        <color rgb="FFBFBFBF"/>
      </left>
      <right style="thin">
        <color rgb="FFBFBFBF"/>
      </right>
      <top style="thin">
        <color rgb="FFBFBFBF"/>
      </top>
      <bottom style="thin">
        <color rgb="FFBFBFBF"/>
      </bottom>
      <diagonal/>
    </border>
    <border>
      <left/>
      <right/>
      <top style="medium">
        <color rgb="FF1C267D"/>
      </top>
      <bottom style="medium">
        <color rgb="FF1C267D"/>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0" fontId="1" fillId="0" borderId="0"/>
    <xf numFmtId="43" fontId="8" fillId="0" borderId="0" applyFont="0" applyFill="0" applyBorder="0" applyAlignment="0" applyProtection="0"/>
    <xf numFmtId="9" fontId="8"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xf numFmtId="0" fontId="28" fillId="0" borderId="0">
      <alignment horizontal="left" indent="1"/>
    </xf>
  </cellStyleXfs>
  <cellXfs count="95">
    <xf numFmtId="0" fontId="0" fillId="0" borderId="0" xfId="0"/>
    <xf numFmtId="166" fontId="0" fillId="0" borderId="0" xfId="2" applyNumberFormat="1" applyFont="1"/>
    <xf numFmtId="0" fontId="2" fillId="2" borderId="1" xfId="0" applyFont="1" applyFill="1" applyBorder="1" applyAlignment="1">
      <alignment horizontal="center" vertical="center" wrapText="1"/>
    </xf>
    <xf numFmtId="164" fontId="3" fillId="3" borderId="1" xfId="0" applyNumberFormat="1" applyFont="1" applyFill="1" applyBorder="1" applyAlignment="1">
      <alignment horizontal="right" vertical="center"/>
    </xf>
    <xf numFmtId="164" fontId="3" fillId="4" borderId="1" xfId="0" applyNumberFormat="1" applyFont="1" applyFill="1" applyBorder="1" applyAlignment="1">
      <alignment horizontal="right" vertical="center"/>
    </xf>
    <xf numFmtId="164" fontId="4" fillId="0" borderId="0" xfId="1" applyNumberFormat="1" applyFont="1"/>
    <xf numFmtId="0" fontId="6" fillId="0" borderId="0" xfId="3" applyFont="1"/>
    <xf numFmtId="0" fontId="4" fillId="0" borderId="0" xfId="4" applyFont="1"/>
    <xf numFmtId="0" fontId="6" fillId="0" borderId="0" xfId="3" applyFont="1" applyAlignment="1">
      <alignment horizontal="center" vertical="center" wrapText="1"/>
    </xf>
    <xf numFmtId="0" fontId="5" fillId="0" borderId="0" xfId="3" applyAlignment="1">
      <alignment horizontal="center" vertical="center" wrapText="1"/>
    </xf>
    <xf numFmtId="0" fontId="7" fillId="5" borderId="0" xfId="3" applyFont="1" applyFill="1" applyAlignment="1">
      <alignment horizontal="center" vertical="center" wrapText="1"/>
    </xf>
    <xf numFmtId="165" fontId="6" fillId="0" borderId="0" xfId="5" applyNumberFormat="1" applyFont="1"/>
    <xf numFmtId="3" fontId="7" fillId="5" borderId="0" xfId="3" applyNumberFormat="1" applyFont="1" applyFill="1" applyAlignment="1">
      <alignment horizontal="center" wrapText="1"/>
    </xf>
    <xf numFmtId="165" fontId="6" fillId="0" borderId="0" xfId="3" applyNumberFormat="1" applyFont="1"/>
    <xf numFmtId="166" fontId="6" fillId="0" borderId="0" xfId="6" applyNumberFormat="1" applyFont="1"/>
    <xf numFmtId="165" fontId="4" fillId="0" borderId="0" xfId="7" applyNumberFormat="1" applyFont="1"/>
    <xf numFmtId="9" fontId="6" fillId="0" borderId="0" xfId="6" applyFont="1"/>
    <xf numFmtId="10" fontId="6" fillId="0" borderId="0" xfId="6" applyNumberFormat="1" applyFont="1"/>
    <xf numFmtId="9" fontId="6" fillId="0" borderId="0" xfId="3" applyNumberFormat="1" applyFont="1"/>
    <xf numFmtId="0" fontId="9" fillId="0" borderId="0" xfId="0" applyFont="1" applyAlignment="1">
      <alignment vertical="center"/>
    </xf>
    <xf numFmtId="0" fontId="4" fillId="0" borderId="0" xfId="0" applyFont="1"/>
    <xf numFmtId="0" fontId="2" fillId="2" borderId="2" xfId="0" applyFont="1" applyFill="1" applyBorder="1" applyAlignment="1">
      <alignment horizontal="center" vertical="center" wrapText="1"/>
    </xf>
    <xf numFmtId="165" fontId="4" fillId="0" borderId="0" xfId="1" applyNumberFormat="1" applyFont="1"/>
    <xf numFmtId="165" fontId="4" fillId="0" borderId="0" xfId="0" applyNumberFormat="1" applyFont="1"/>
    <xf numFmtId="9" fontId="4" fillId="0" borderId="0" xfId="2" applyFont="1"/>
    <xf numFmtId="0" fontId="5" fillId="0" borderId="0" xfId="3"/>
    <xf numFmtId="165" fontId="0" fillId="0" borderId="0" xfId="5" applyNumberFormat="1" applyFont="1"/>
    <xf numFmtId="43" fontId="0" fillId="0" borderId="0" xfId="5" applyFont="1"/>
    <xf numFmtId="167" fontId="0" fillId="0" borderId="0" xfId="0" applyNumberFormat="1"/>
    <xf numFmtId="0" fontId="2" fillId="2" borderId="3" xfId="0" applyFont="1" applyFill="1" applyBorder="1" applyAlignment="1">
      <alignment horizontal="center" vertical="center" wrapText="1"/>
    </xf>
    <xf numFmtId="0" fontId="12" fillId="0" borderId="0" xfId="0" applyFont="1" applyAlignment="1">
      <alignment vertical="top"/>
    </xf>
    <xf numFmtId="0" fontId="13" fillId="0" borderId="0" xfId="0" applyFont="1"/>
    <xf numFmtId="0" fontId="14" fillId="0" borderId="0" xfId="0" applyFont="1" applyAlignment="1">
      <alignment vertical="top"/>
    </xf>
    <xf numFmtId="0" fontId="15" fillId="7" borderId="0" xfId="0" applyFont="1" applyFill="1"/>
    <xf numFmtId="0" fontId="13" fillId="7" borderId="0" xfId="0" applyFont="1" applyFill="1"/>
    <xf numFmtId="0" fontId="14" fillId="0" borderId="0" xfId="0" applyFont="1"/>
    <xf numFmtId="0" fontId="16" fillId="0" borderId="0" xfId="0" applyFont="1"/>
    <xf numFmtId="0" fontId="17" fillId="0" borderId="4" xfId="0" applyFont="1" applyBorder="1"/>
    <xf numFmtId="3" fontId="16" fillId="0" borderId="4" xfId="0" applyNumberFormat="1" applyFont="1" applyBorder="1" applyAlignment="1">
      <alignment horizontal="right"/>
    </xf>
    <xf numFmtId="10" fontId="14" fillId="0" borderId="4" xfId="0" applyNumberFormat="1" applyFont="1" applyBorder="1" applyAlignment="1">
      <alignment horizontal="right"/>
    </xf>
    <xf numFmtId="3" fontId="14" fillId="0" borderId="4" xfId="0" applyNumberFormat="1" applyFont="1" applyBorder="1" applyAlignment="1">
      <alignment horizontal="right"/>
    </xf>
    <xf numFmtId="0" fontId="14" fillId="0" borderId="4" xfId="0" applyFont="1" applyBorder="1" applyAlignment="1">
      <alignment horizontal="right"/>
    </xf>
    <xf numFmtId="0" fontId="18" fillId="0" borderId="0" xfId="0" applyFont="1"/>
    <xf numFmtId="10" fontId="19" fillId="0" borderId="4" xfId="0" applyNumberFormat="1" applyFont="1" applyBorder="1" applyAlignment="1">
      <alignment horizontal="right"/>
    </xf>
    <xf numFmtId="0" fontId="19" fillId="0" borderId="0" xfId="0" applyFont="1"/>
    <xf numFmtId="10" fontId="14" fillId="0" borderId="0" xfId="0" applyNumberFormat="1" applyFont="1"/>
    <xf numFmtId="0" fontId="20" fillId="0" borderId="0" xfId="8" applyFont="1"/>
    <xf numFmtId="0" fontId="21" fillId="0" borderId="0" xfId="0" applyFont="1"/>
    <xf numFmtId="0" fontId="22" fillId="0" borderId="0" xfId="8" applyFont="1"/>
    <xf numFmtId="165" fontId="21" fillId="0" borderId="0" xfId="1" applyNumberFormat="1" applyFont="1"/>
    <xf numFmtId="0" fontId="23" fillId="0" borderId="0" xfId="0" applyFont="1"/>
    <xf numFmtId="0" fontId="24" fillId="8" borderId="0" xfId="0" applyFont="1" applyFill="1"/>
    <xf numFmtId="166" fontId="21" fillId="0" borderId="0" xfId="2" applyNumberFormat="1" applyFont="1" applyAlignment="1">
      <alignment horizontal="center"/>
    </xf>
    <xf numFmtId="0" fontId="21" fillId="0" borderId="0" xfId="0" applyFont="1" applyAlignment="1">
      <alignment horizontal="center"/>
    </xf>
    <xf numFmtId="10" fontId="21" fillId="0" borderId="0" xfId="0" applyNumberFormat="1" applyFont="1" applyAlignment="1">
      <alignment horizontal="center"/>
    </xf>
    <xf numFmtId="0" fontId="10" fillId="0" borderId="0" xfId="8" applyAlignment="1">
      <alignment vertical="top"/>
    </xf>
    <xf numFmtId="0" fontId="12" fillId="0" borderId="0" xfId="0" applyFont="1" applyAlignment="1">
      <alignment vertical="top" wrapText="1"/>
    </xf>
    <xf numFmtId="0" fontId="25" fillId="0" borderId="0" xfId="0" applyFont="1" applyAlignment="1">
      <alignment vertical="top" wrapText="1"/>
    </xf>
    <xf numFmtId="0" fontId="26" fillId="6" borderId="0" xfId="0" applyFont="1" applyFill="1" applyAlignment="1">
      <alignment horizontal="center" wrapText="1"/>
    </xf>
    <xf numFmtId="0" fontId="25" fillId="9" borderId="0" xfId="0" applyFont="1" applyFill="1"/>
    <xf numFmtId="0" fontId="25" fillId="0" borderId="0" xfId="0" applyFont="1"/>
    <xf numFmtId="166" fontId="25" fillId="0" borderId="4" xfId="0" applyNumberFormat="1" applyFont="1" applyBorder="1"/>
    <xf numFmtId="0" fontId="25" fillId="10" borderId="0" xfId="0" applyFont="1" applyFill="1"/>
    <xf numFmtId="0" fontId="25" fillId="11" borderId="0" xfId="0" applyFont="1" applyFill="1"/>
    <xf numFmtId="0" fontId="5" fillId="8" borderId="0" xfId="3" applyFill="1"/>
    <xf numFmtId="43" fontId="0" fillId="8" borderId="0" xfId="5" applyFont="1" applyFill="1"/>
    <xf numFmtId="165" fontId="0" fillId="8" borderId="0" xfId="5" applyNumberFormat="1" applyFont="1" applyFill="1"/>
    <xf numFmtId="0" fontId="22" fillId="0" borderId="0" xfId="8" applyFont="1" applyAlignment="1">
      <alignment horizontal="left" vertical="center"/>
    </xf>
    <xf numFmtId="0" fontId="5" fillId="0" borderId="0" xfId="3" applyFill="1" applyAlignment="1">
      <alignment horizontal="center" vertical="center" wrapText="1"/>
    </xf>
    <xf numFmtId="0" fontId="5" fillId="0" borderId="0" xfId="3" applyFill="1"/>
    <xf numFmtId="0" fontId="21" fillId="0" borderId="0" xfId="0" applyFont="1" applyFill="1"/>
    <xf numFmtId="166" fontId="21" fillId="0" borderId="0" xfId="2" applyNumberFormat="1" applyFont="1" applyFill="1" applyAlignment="1">
      <alignment horizontal="center"/>
    </xf>
    <xf numFmtId="0" fontId="21" fillId="0" borderId="0" xfId="0" applyFont="1" applyFill="1" applyAlignment="1">
      <alignment horizontal="center"/>
    </xf>
    <xf numFmtId="0" fontId="21" fillId="0" borderId="0" xfId="0" applyFont="1" applyFill="1" applyAlignment="1">
      <alignment horizontal="center" vertical="center" wrapText="1"/>
    </xf>
    <xf numFmtId="0" fontId="21" fillId="0" borderId="0" xfId="0" applyFont="1" applyFill="1" applyAlignment="1">
      <alignment horizontal="left" vertical="center"/>
    </xf>
    <xf numFmtId="165" fontId="5" fillId="0" borderId="0" xfId="1" applyNumberFormat="1" applyFont="1"/>
    <xf numFmtId="165" fontId="5" fillId="8" borderId="0" xfId="1" applyNumberFormat="1" applyFont="1" applyFill="1"/>
    <xf numFmtId="9" fontId="5" fillId="0" borderId="0" xfId="2" applyFont="1"/>
    <xf numFmtId="3" fontId="29" fillId="0" borderId="5" xfId="0" applyNumberFormat="1" applyFont="1" applyBorder="1" applyAlignment="1">
      <alignment vertical="center" wrapText="1"/>
    </xf>
    <xf numFmtId="168" fontId="0" fillId="0" borderId="0" xfId="1" applyNumberFormat="1" applyFont="1"/>
    <xf numFmtId="166" fontId="4" fillId="0" borderId="0" xfId="2" applyNumberFormat="1" applyFont="1"/>
    <xf numFmtId="0" fontId="24" fillId="12" borderId="0" xfId="0" applyFont="1" applyFill="1"/>
    <xf numFmtId="165" fontId="0" fillId="13" borderId="0" xfId="0" applyNumberFormat="1" applyFill="1"/>
    <xf numFmtId="165" fontId="4" fillId="13" borderId="0" xfId="1" applyNumberFormat="1" applyFont="1" applyFill="1"/>
    <xf numFmtId="0" fontId="15" fillId="6" borderId="0" xfId="0" applyFont="1" applyFill="1" applyAlignment="1">
      <alignment horizontal="center" vertical="center" wrapText="1"/>
    </xf>
    <xf numFmtId="0" fontId="0" fillId="0" borderId="0" xfId="0" applyAlignment="1">
      <alignment vertical="center" wrapText="1"/>
    </xf>
    <xf numFmtId="0" fontId="10" fillId="0" borderId="0" xfId="8"/>
    <xf numFmtId="167" fontId="4" fillId="0" borderId="0" xfId="0" applyNumberFormat="1" applyFont="1"/>
    <xf numFmtId="169" fontId="30" fillId="0" borderId="0" xfId="0" applyNumberFormat="1" applyFont="1"/>
    <xf numFmtId="169" fontId="31" fillId="0" borderId="0" xfId="0" applyNumberFormat="1" applyFont="1"/>
    <xf numFmtId="43" fontId="21" fillId="0" borderId="0" xfId="0" applyNumberFormat="1" applyFont="1"/>
    <xf numFmtId="9" fontId="21" fillId="0" borderId="0" xfId="2" applyFont="1"/>
    <xf numFmtId="9" fontId="32" fillId="0" borderId="0" xfId="2" applyFont="1"/>
    <xf numFmtId="9" fontId="21" fillId="0" borderId="0" xfId="0" applyNumberFormat="1" applyFont="1"/>
    <xf numFmtId="0" fontId="0" fillId="0" borderId="0" xfId="0" applyAlignment="1">
      <alignment horizontal="left" vertical="top" wrapText="1"/>
    </xf>
  </cellXfs>
  <cellStyles count="10">
    <cellStyle name="Hipervínculo" xfId="8" builtinId="8"/>
    <cellStyle name="Millares" xfId="1" builtinId="3"/>
    <cellStyle name="Millares 2" xfId="5" xr:uid="{6EA2BF77-EFD5-4556-8488-6791C2169B02}"/>
    <cellStyle name="Millares 2 2" xfId="7" xr:uid="{FB2138CD-4165-4793-BD67-22553101A64A}"/>
    <cellStyle name="Normal" xfId="0" builtinId="0"/>
    <cellStyle name="Normal 2" xfId="3" xr:uid="{65AE240F-4FFF-47EE-B448-0AFA8BE5E28C}"/>
    <cellStyle name="Normal 2 2" xfId="4" xr:uid="{527E0129-211D-47E0-8AF4-C86E0563E0B0}"/>
    <cellStyle name="Porcentaje" xfId="2" builtinId="5"/>
    <cellStyle name="Porcentaje 2" xfId="6" xr:uid="{578AF95F-79C6-46E2-9F70-96631B1B54C8}"/>
    <cellStyle name="subtitulos de las filas" xfId="9" xr:uid="{7205A357-0A8A-4E4D-B717-B48D12F602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s-AR"/>
              <a:t>Monto apropiado/cedido </a:t>
            </a:r>
            <a:r>
              <a:rPr lang="es-AR" baseline="0"/>
              <a:t> en $</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'Efecto TCC - TCP'!$B$3:$B$5</c:f>
              <c:strCache>
                <c:ptCount val="3"/>
                <c:pt idx="0">
                  <c:v>Expo</c:v>
                </c:pt>
                <c:pt idx="1">
                  <c:v>Insumos</c:v>
                </c:pt>
                <c:pt idx="2">
                  <c:v>Masa salarial</c:v>
                </c:pt>
              </c:strCache>
            </c:strRef>
          </c:cat>
          <c:val>
            <c:numRef>
              <c:f>'Efecto TCC - TCP'!$G$3:$G$5</c:f>
              <c:numCache>
                <c:formatCode>_-* #,##0.00_-;\-* #,##0.00_-;_-* "-"?_-;_-@_-</c:formatCode>
                <c:ptCount val="3"/>
                <c:pt idx="0">
                  <c:v>-107.4348900211259</c:v>
                </c:pt>
                <c:pt idx="1">
                  <c:v>53.717445010562948</c:v>
                </c:pt>
                <c:pt idx="2">
                  <c:v>16.115233503168884</c:v>
                </c:pt>
              </c:numCache>
            </c:numRef>
          </c:val>
          <c:extLst>
            <c:ext xmlns:c16="http://schemas.microsoft.com/office/drawing/2014/chart" uri="{C3380CC4-5D6E-409C-BE32-E72D297353CC}">
              <c16:uniqueId val="{00000000-2C0E-4220-8A0F-A4F2CC1D4364}"/>
            </c:ext>
          </c:extLst>
        </c:ser>
        <c:dLbls>
          <c:showLegendKey val="0"/>
          <c:showVal val="0"/>
          <c:showCatName val="0"/>
          <c:showSerName val="0"/>
          <c:showPercent val="0"/>
          <c:showBubbleSize val="0"/>
        </c:dLbls>
        <c:gapWidth val="219"/>
        <c:overlap val="-27"/>
        <c:axId val="1116305407"/>
        <c:axId val="1116304991"/>
      </c:barChart>
      <c:catAx>
        <c:axId val="11163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1116304991"/>
        <c:crosses val="autoZero"/>
        <c:auto val="1"/>
        <c:lblAlgn val="ctr"/>
        <c:lblOffset val="100"/>
        <c:noMultiLvlLbl val="0"/>
      </c:catAx>
      <c:valAx>
        <c:axId val="1116304991"/>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111630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Apropiación neta</a:t>
            </a:r>
            <a:r>
              <a:rPr lang="en-US" baseline="0"/>
              <a:t> sobre ganancia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7.944225721784777E-2"/>
          <c:y val="0.17171296296296296"/>
          <c:w val="0.89000218722659663"/>
          <c:h val="0.80285870516185476"/>
        </c:manualLayout>
      </c:layout>
      <c:lineChart>
        <c:grouping val="standard"/>
        <c:varyColors val="0"/>
        <c:ser>
          <c:idx val="0"/>
          <c:order val="0"/>
          <c:tx>
            <c:strRef>
              <c:f>'Efecto TCC - TCP'!$K$8</c:f>
              <c:strCache>
                <c:ptCount val="1"/>
                <c:pt idx="0">
                  <c:v>Porcentaje</c:v>
                </c:pt>
              </c:strCache>
            </c:strRef>
          </c:tx>
          <c:spPr>
            <a:ln w="28575" cap="rnd">
              <a:solidFill>
                <a:schemeClr val="accent1"/>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C9-4235-8F06-634D50C075B6}"/>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C9-4235-8F06-634D50C075B6}"/>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C9-4235-8F06-634D50C07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'Efecto TCC - TCP'!$J$9:$J$11</c:f>
              <c:numCache>
                <c:formatCode>General</c:formatCode>
                <c:ptCount val="3"/>
                <c:pt idx="0">
                  <c:v>2023</c:v>
                </c:pt>
                <c:pt idx="1">
                  <c:v>2024</c:v>
                </c:pt>
                <c:pt idx="2">
                  <c:v>2025</c:v>
                </c:pt>
              </c:numCache>
            </c:numRef>
          </c:cat>
          <c:val>
            <c:numRef>
              <c:f>'Efecto TCC - TCP'!$K$9:$K$11</c:f>
              <c:numCache>
                <c:formatCode>0%</c:formatCode>
                <c:ptCount val="3"/>
                <c:pt idx="0">
                  <c:v>0.02</c:v>
                </c:pt>
                <c:pt idx="1">
                  <c:v>-3.7602211507394068E-2</c:v>
                </c:pt>
                <c:pt idx="2">
                  <c:v>7.0000000000000007E-2</c:v>
                </c:pt>
              </c:numCache>
            </c:numRef>
          </c:val>
          <c:smooth val="1"/>
          <c:extLst>
            <c:ext xmlns:c16="http://schemas.microsoft.com/office/drawing/2014/chart" uri="{C3380CC4-5D6E-409C-BE32-E72D297353CC}">
              <c16:uniqueId val="{00000000-93C9-4235-8F06-634D50C075B6}"/>
            </c:ext>
          </c:extLst>
        </c:ser>
        <c:dLbls>
          <c:showLegendKey val="0"/>
          <c:showVal val="0"/>
          <c:showCatName val="0"/>
          <c:showSerName val="0"/>
          <c:showPercent val="0"/>
          <c:showBubbleSize val="0"/>
        </c:dLbls>
        <c:smooth val="0"/>
        <c:axId val="1239761439"/>
        <c:axId val="1239761855"/>
      </c:lineChart>
      <c:catAx>
        <c:axId val="12397614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9761855"/>
        <c:crosses val="autoZero"/>
        <c:auto val="1"/>
        <c:lblAlgn val="ctr"/>
        <c:lblOffset val="100"/>
        <c:noMultiLvlLbl val="0"/>
      </c:catAx>
      <c:valAx>
        <c:axId val="1239761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976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778125416442148E-2"/>
          <c:y val="8.3032671923387091E-2"/>
          <c:w val="0.92222187458355787"/>
          <c:h val="0.73103281678495824"/>
        </c:manualLayout>
      </c:layout>
      <c:lineChart>
        <c:grouping val="standard"/>
        <c:varyColors val="0"/>
        <c:ser>
          <c:idx val="0"/>
          <c:order val="0"/>
          <c:tx>
            <c:strRef>
              <c:f>Intereses!$V$2</c:f>
              <c:strCache>
                <c:ptCount val="1"/>
                <c:pt idx="0">
                  <c:v>Pasivo no corriente / KTA</c:v>
                </c:pt>
              </c:strCache>
            </c:strRef>
          </c:tx>
          <c:spPr>
            <a:ln w="28575" cap="rnd">
              <a:solidFill>
                <a:schemeClr val="accent1"/>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5E-4ED4-97EA-ECFD64607787}"/>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5E-4ED4-97EA-ECFD64607787}"/>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5E-4ED4-97EA-ECFD64607787}"/>
                </c:ext>
              </c:extLst>
            </c:dLbl>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5E-4ED4-97EA-ECFD64607787}"/>
                </c:ext>
              </c:extLst>
            </c:dLbl>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5E-4ED4-97EA-ECFD64607787}"/>
                </c:ext>
              </c:extLst>
            </c:dLbl>
            <c:numFmt formatCode="0.0%" sourceLinked="0"/>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Intereses!$A$8:$A$26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Intereses!$V$8:$V$26</c:f>
              <c:numCache>
                <c:formatCode>General</c:formatCode>
                <c:ptCount val="19"/>
                <c:pt idx="0">
                  <c:v>0.46517151750344787</c:v>
                </c:pt>
                <c:pt idx="1">
                  <c:v>0.345209209943658</c:v>
                </c:pt>
                <c:pt idx="2">
                  <c:v>0.25834549020590025</c:v>
                </c:pt>
                <c:pt idx="3">
                  <c:v>0.29468105905176911</c:v>
                </c:pt>
                <c:pt idx="4">
                  <c:v>0.26027584041604279</c:v>
                </c:pt>
                <c:pt idx="5">
                  <c:v>0.24076133854141155</c:v>
                </c:pt>
                <c:pt idx="6">
                  <c:v>0.27262659067960582</c:v>
                </c:pt>
                <c:pt idx="7">
                  <c:v>0.26006091594436143</c:v>
                </c:pt>
                <c:pt idx="8">
                  <c:v>0.19533127458657554</c:v>
                </c:pt>
                <c:pt idx="9">
                  <c:v>0.24021890366060253</c:v>
                </c:pt>
                <c:pt idx="10">
                  <c:v>0.25061637487284288</c:v>
                </c:pt>
                <c:pt idx="11">
                  <c:v>0.22645043539259588</c:v>
                </c:pt>
                <c:pt idx="12">
                  <c:v>0.24418454999224701</c:v>
                </c:pt>
                <c:pt idx="13">
                  <c:v>0.22710047841544473</c:v>
                </c:pt>
                <c:pt idx="14">
                  <c:v>0.24252892819581728</c:v>
                </c:pt>
                <c:pt idx="15">
                  <c:v>0.20708467941766898</c:v>
                </c:pt>
                <c:pt idx="16">
                  <c:v>0.19967735425598324</c:v>
                </c:pt>
                <c:pt idx="17">
                  <c:v>0.19666265986695863</c:v>
                </c:pt>
                <c:pt idx="18">
                  <c:v>0.18305451931791059</c:v>
                </c:pt>
              </c:numCache>
            </c:numRef>
          </c:val>
          <c:smooth val="1"/>
          <c:extLst>
            <c:ext xmlns:c16="http://schemas.microsoft.com/office/drawing/2014/chart" uri="{C3380CC4-5D6E-409C-BE32-E72D297353CC}">
              <c16:uniqueId val="{00000005-925E-4ED4-97EA-ECFD64607787}"/>
            </c:ext>
          </c:extLst>
        </c:ser>
        <c:ser>
          <c:idx val="1"/>
          <c:order val="1"/>
          <c:tx>
            <c:strRef>
              <c:f>Intereses!$S$2</c:f>
              <c:strCache>
                <c:ptCount val="1"/>
                <c:pt idx="0">
                  <c:v>% de los intereses respecto de la ganancia</c:v>
                </c:pt>
              </c:strCache>
            </c:strRef>
          </c:tx>
          <c:spPr>
            <a:ln w="28575" cap="rnd">
              <a:solidFill>
                <a:srgbClr val="002060"/>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5E-4ED4-97EA-ECFD64607787}"/>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5E-4ED4-97EA-ECFD64607787}"/>
                </c:ext>
              </c:extLst>
            </c:dLbl>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5E-4ED4-97EA-ECFD64607787}"/>
                </c:ext>
              </c:extLst>
            </c:dLbl>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5E-4ED4-97EA-ECFD6460778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Intereses!$S$8:$S$26</c:f>
              <c:numCache>
                <c:formatCode>0%</c:formatCode>
                <c:ptCount val="19"/>
                <c:pt idx="0">
                  <c:v>0.11204340830668545</c:v>
                </c:pt>
                <c:pt idx="1">
                  <c:v>8.6674297226481026E-2</c:v>
                </c:pt>
                <c:pt idx="2">
                  <c:v>7.2486037961141572E-2</c:v>
                </c:pt>
                <c:pt idx="3">
                  <c:v>0.11727677714510963</c:v>
                </c:pt>
                <c:pt idx="4">
                  <c:v>6.1075867080454128E-2</c:v>
                </c:pt>
                <c:pt idx="5">
                  <c:v>0.1053447199185381</c:v>
                </c:pt>
                <c:pt idx="6">
                  <c:v>0.16395452611131078</c:v>
                </c:pt>
                <c:pt idx="7">
                  <c:v>0.19220001712314855</c:v>
                </c:pt>
                <c:pt idx="8">
                  <c:v>0.16121044781888533</c:v>
                </c:pt>
                <c:pt idx="9">
                  <c:v>0.12149848154451665</c:v>
                </c:pt>
                <c:pt idx="10">
                  <c:v>0.17885686116061841</c:v>
                </c:pt>
                <c:pt idx="11">
                  <c:v>6.6021525127173644E-2</c:v>
                </c:pt>
                <c:pt idx="12">
                  <c:v>4.9362812810902421E-2</c:v>
                </c:pt>
                <c:pt idx="13">
                  <c:v>7.636027122882294E-2</c:v>
                </c:pt>
                <c:pt idx="14">
                  <c:v>8.0997442018264879E-2</c:v>
                </c:pt>
                <c:pt idx="15">
                  <c:v>3.4649467535393913E-2</c:v>
                </c:pt>
                <c:pt idx="16">
                  <c:v>4.2392797236559171E-2</c:v>
                </c:pt>
                <c:pt idx="17">
                  <c:v>8.7295060647196804E-2</c:v>
                </c:pt>
                <c:pt idx="18">
                  <c:v>7.8554317464078288E-2</c:v>
                </c:pt>
              </c:numCache>
            </c:numRef>
          </c:val>
          <c:smooth val="1"/>
          <c:extLst>
            <c:ext xmlns:c16="http://schemas.microsoft.com/office/drawing/2014/chart" uri="{C3380CC4-5D6E-409C-BE32-E72D297353CC}">
              <c16:uniqueId val="{0000000A-925E-4ED4-97EA-ECFD64607787}"/>
            </c:ext>
          </c:extLst>
        </c:ser>
        <c:dLbls>
          <c:showLegendKey val="0"/>
          <c:showVal val="0"/>
          <c:showCatName val="0"/>
          <c:showSerName val="0"/>
          <c:showPercent val="0"/>
          <c:showBubbleSize val="0"/>
        </c:dLbls>
        <c:smooth val="0"/>
        <c:axId val="591619247"/>
        <c:axId val="591623823"/>
      </c:lineChart>
      <c:catAx>
        <c:axId val="591619247"/>
        <c:scaling>
          <c:orientation val="minMax"/>
        </c:scaling>
        <c:delete val="0"/>
        <c:axPos val="b"/>
        <c:numFmt formatCode="General" sourceLinked="1"/>
        <c:majorTickMark val="out"/>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591623823"/>
        <c:crosses val="autoZero"/>
        <c:auto val="1"/>
        <c:lblAlgn val="ctr"/>
        <c:lblOffset val="100"/>
        <c:noMultiLvlLbl val="0"/>
      </c:catAx>
      <c:valAx>
        <c:axId val="591623823"/>
        <c:scaling>
          <c:orientation val="minMax"/>
          <c:min val="2.0000000000000004E-2"/>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91619247"/>
        <c:crosses val="autoZero"/>
        <c:crossBetween val="between"/>
      </c:valAx>
      <c:spPr>
        <a:noFill/>
        <a:ln>
          <a:noFill/>
        </a:ln>
        <a:effectLst/>
      </c:spPr>
    </c:plotArea>
    <c:legend>
      <c:legendPos val="r"/>
      <c:layout>
        <c:manualLayout>
          <c:xMode val="edge"/>
          <c:yMode val="edge"/>
          <c:x val="0.31459792691476479"/>
          <c:y val="9.1837143555037415E-2"/>
          <c:w val="0.57649846749288802"/>
          <c:h val="0.16472887182043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s-AR" b="1"/>
              <a:t>Evolución del stock de capital</a:t>
            </a:r>
            <a:r>
              <a:rPr lang="es-AR" b="1" baseline="0"/>
              <a:t> y el endeudamiento industrial (2006 = 100)</a:t>
            </a:r>
            <a:endParaRPr lang="es-AR" b="1"/>
          </a:p>
        </c:rich>
      </c:tx>
      <c:layout>
        <c:manualLayout>
          <c:xMode val="edge"/>
          <c:yMode val="edge"/>
          <c:x val="0.1422516556291390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title>
    <c:autoTitleDeleted val="0"/>
    <c:plotArea>
      <c:layout>
        <c:manualLayout>
          <c:layoutTarget val="inner"/>
          <c:xMode val="edge"/>
          <c:yMode val="edge"/>
          <c:x val="5.8866813833701251E-3"/>
          <c:y val="0.28453967852876261"/>
          <c:w val="0.93524650478292859"/>
          <c:h val="0.51480270331151612"/>
        </c:manualLayout>
      </c:layout>
      <c:lineChart>
        <c:grouping val="standard"/>
        <c:varyColors val="0"/>
        <c:ser>
          <c:idx val="0"/>
          <c:order val="0"/>
          <c:spPr>
            <a:ln w="28575" cap="rnd">
              <a:solidFill>
                <a:schemeClr val="accent1"/>
              </a:solidFill>
              <a:round/>
            </a:ln>
            <a:effectLst/>
          </c:spPr>
          <c:marker>
            <c:symbol val="none"/>
          </c:marker>
          <c:dLbls>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3B-4D7D-BC48-25925E569573}"/>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3B-4D7D-BC48-25925E56957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Intereses!$A$3:$A$26</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Intereses!$W$3:$W$26</c:f>
              <c:numCache>
                <c:formatCode>General</c:formatCode>
                <c:ptCount val="24"/>
                <c:pt idx="5">
                  <c:v>100</c:v>
                </c:pt>
                <c:pt idx="6">
                  <c:v>111.59375117396522</c:v>
                </c:pt>
                <c:pt idx="7">
                  <c:v>114.67241485516375</c:v>
                </c:pt>
                <c:pt idx="8">
                  <c:v>107.05479094769753</c:v>
                </c:pt>
                <c:pt idx="9">
                  <c:v>115.16014989478009</c:v>
                </c:pt>
                <c:pt idx="10">
                  <c:v>131.7885464962678</c:v>
                </c:pt>
                <c:pt idx="11">
                  <c:v>144.66739746201449</c:v>
                </c:pt>
                <c:pt idx="12">
                  <c:v>149.65987352196416</c:v>
                </c:pt>
                <c:pt idx="13">
                  <c:v>139.99649259651142</c:v>
                </c:pt>
                <c:pt idx="14">
                  <c:v>152.71362580535538</c:v>
                </c:pt>
                <c:pt idx="15">
                  <c:v>151.20074535522966</c:v>
                </c:pt>
                <c:pt idx="16">
                  <c:v>138.70841968055259</c:v>
                </c:pt>
                <c:pt idx="17">
                  <c:v>154.69254697684224</c:v>
                </c:pt>
                <c:pt idx="18">
                  <c:v>139.87913836909098</c:v>
                </c:pt>
                <c:pt idx="19">
                  <c:v>139.56749304744039</c:v>
                </c:pt>
                <c:pt idx="20">
                  <c:v>143.43083001226699</c:v>
                </c:pt>
                <c:pt idx="21">
                  <c:v>157.58111379396078</c:v>
                </c:pt>
                <c:pt idx="22">
                  <c:v>166.79281771885584</c:v>
                </c:pt>
                <c:pt idx="23">
                  <c:v>161.01401551888802</c:v>
                </c:pt>
              </c:numCache>
            </c:numRef>
          </c:val>
          <c:smooth val="1"/>
          <c:extLst>
            <c:ext xmlns:c16="http://schemas.microsoft.com/office/drawing/2014/chart" uri="{C3380CC4-5D6E-409C-BE32-E72D297353CC}">
              <c16:uniqueId val="{00000002-A03B-4D7D-BC48-25925E569573}"/>
            </c:ext>
          </c:extLst>
        </c:ser>
        <c:ser>
          <c:idx val="1"/>
          <c:order val="1"/>
          <c:spPr>
            <a:ln w="28575" cap="rnd">
              <a:solidFill>
                <a:srgbClr val="002060"/>
              </a:solidFill>
              <a:round/>
            </a:ln>
            <a:effectLst/>
          </c:spPr>
          <c:marker>
            <c:symbol val="none"/>
          </c:marker>
          <c:dLbls>
            <c:dLbl>
              <c:idx val="5"/>
              <c:layout>
                <c:manualLayout>
                  <c:x val="-8.0066283105340308E-2"/>
                  <c:y val="-6.0060981012975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3B-4D7D-BC48-25925E569573}"/>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3B-4D7D-BC48-25925E569573}"/>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3B-4D7D-BC48-25925E569573}"/>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3B-4D7D-BC48-25925E56957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Intereses!$A$3:$A$26</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Intereses!$X$3:$X$26</c:f>
              <c:numCache>
                <c:formatCode>General</c:formatCode>
                <c:ptCount val="24"/>
                <c:pt idx="0">
                  <c:v>89.859414676042107</c:v>
                </c:pt>
                <c:pt idx="2">
                  <c:v>71.37868625809385</c:v>
                </c:pt>
                <c:pt idx="3">
                  <c:v>74.100596916643951</c:v>
                </c:pt>
                <c:pt idx="4">
                  <c:v>90.14584510956557</c:v>
                </c:pt>
                <c:pt idx="5">
                  <c:v>100</c:v>
                </c:pt>
                <c:pt idx="6">
                  <c:v>158.35076368671986</c:v>
                </c:pt>
                <c:pt idx="7">
                  <c:v>216.96377381809043</c:v>
                </c:pt>
                <c:pt idx="8">
                  <c:v>173.83465592975961</c:v>
                </c:pt>
                <c:pt idx="9">
                  <c:v>209.312465978766</c:v>
                </c:pt>
                <c:pt idx="11">
                  <c:v>244.72405240099403</c:v>
                </c:pt>
                <c:pt idx="12">
                  <c:v>267.81860511900271</c:v>
                </c:pt>
                <c:pt idx="13">
                  <c:v>359.34067715436981</c:v>
                </c:pt>
                <c:pt idx="14">
                  <c:v>320.13158124507987</c:v>
                </c:pt>
                <c:pt idx="15">
                  <c:v>305.40550672962439</c:v>
                </c:pt>
                <c:pt idx="16">
                  <c:v>308.22996820838978</c:v>
                </c:pt>
                <c:pt idx="17">
                  <c:v>315.95855053784828</c:v>
                </c:pt>
                <c:pt idx="18">
                  <c:v>308.9267427420134</c:v>
                </c:pt>
                <c:pt idx="19">
                  <c:v>297.00597325193849</c:v>
                </c:pt>
                <c:pt idx="20">
                  <c:v>364.52438487031964</c:v>
                </c:pt>
                <c:pt idx="21">
                  <c:v>400.17853333581456</c:v>
                </c:pt>
                <c:pt idx="22">
                  <c:v>437.84518896312943</c:v>
                </c:pt>
                <c:pt idx="23">
                  <c:v>457.18639242046078</c:v>
                </c:pt>
              </c:numCache>
            </c:numRef>
          </c:val>
          <c:smooth val="1"/>
          <c:extLst>
            <c:ext xmlns:c16="http://schemas.microsoft.com/office/drawing/2014/chart" uri="{C3380CC4-5D6E-409C-BE32-E72D297353CC}">
              <c16:uniqueId val="{00000007-A03B-4D7D-BC48-25925E569573}"/>
            </c:ext>
          </c:extLst>
        </c:ser>
        <c:dLbls>
          <c:showLegendKey val="0"/>
          <c:showVal val="0"/>
          <c:showCatName val="0"/>
          <c:showSerName val="0"/>
          <c:showPercent val="0"/>
          <c:showBubbleSize val="0"/>
        </c:dLbls>
        <c:smooth val="0"/>
        <c:axId val="591619247"/>
        <c:axId val="591623823"/>
      </c:lineChart>
      <c:catAx>
        <c:axId val="591619247"/>
        <c:scaling>
          <c:orientation val="minMax"/>
        </c:scaling>
        <c:delete val="0"/>
        <c:axPos val="b"/>
        <c:numFmt formatCode="General" sourceLinked="1"/>
        <c:majorTickMark val="out"/>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591623823"/>
        <c:crosses val="autoZero"/>
        <c:auto val="1"/>
        <c:lblAlgn val="ctr"/>
        <c:lblOffset val="100"/>
        <c:noMultiLvlLbl val="0"/>
      </c:catAx>
      <c:valAx>
        <c:axId val="591623823"/>
        <c:scaling>
          <c:orientation val="minMax"/>
          <c:min val="0.1"/>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59161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r>
              <a:rPr lang="es-AR" b="1">
                <a:solidFill>
                  <a:srgbClr val="002060"/>
                </a:solidFill>
              </a:rPr>
              <a:t>Ganancia</a:t>
            </a:r>
            <a:r>
              <a:rPr lang="es-AR" b="1" baseline="0">
                <a:solidFill>
                  <a:srgbClr val="002060"/>
                </a:solidFill>
              </a:rPr>
              <a:t> desp de impuestos e intereses / Patrimonio Neto (Aprox)</a:t>
            </a:r>
            <a:endParaRPr lang="es-AR" b="1">
              <a:solidFill>
                <a:srgbClr val="002060"/>
              </a:solidFill>
            </a:endParaRPr>
          </a:p>
        </c:rich>
      </c:tx>
      <c:layout>
        <c:manualLayout>
          <c:xMode val="edge"/>
          <c:yMode val="edge"/>
          <c:x val="0.1495555555555555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73-45C1-AD90-33C3CF083186}"/>
                </c:ext>
              </c:extLst>
            </c:dLbl>
            <c:dLbl>
              <c:idx val="7"/>
              <c:layout>
                <c:manualLayout>
                  <c:x val="-7.500000000000010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73-45C1-AD90-33C3CF083186}"/>
                </c:ext>
              </c:extLst>
            </c:dLbl>
            <c:dLbl>
              <c:idx val="13"/>
              <c:layout>
                <c:manualLayout>
                  <c:x val="-7.500000000000010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73-45C1-AD90-33C3CF083186}"/>
                </c:ext>
              </c:extLst>
            </c:dLbl>
            <c:dLbl>
              <c:idx val="17"/>
              <c:layout>
                <c:manualLayout>
                  <c:x val="0"/>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73-45C1-AD90-33C3CF083186}"/>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Intereses!$A$9:$A$26</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Intereses!$Z$9:$Z$26</c:f>
              <c:numCache>
                <c:formatCode>0%</c:formatCode>
                <c:ptCount val="18"/>
                <c:pt idx="0">
                  <c:v>3.5123467395541685</c:v>
                </c:pt>
                <c:pt idx="1">
                  <c:v>4.3357410028955039</c:v>
                </c:pt>
                <c:pt idx="2">
                  <c:v>5.6600644481219042</c:v>
                </c:pt>
                <c:pt idx="3">
                  <c:v>4.4472301739593174</c:v>
                </c:pt>
                <c:pt idx="4">
                  <c:v>8.9516876096555382</c:v>
                </c:pt>
                <c:pt idx="5">
                  <c:v>11.536795229882465</c:v>
                </c:pt>
                <c:pt idx="6">
                  <c:v>13.688931954863207</c:v>
                </c:pt>
                <c:pt idx="7">
                  <c:v>14.578658257042592</c:v>
                </c:pt>
                <c:pt idx="8">
                  <c:v>9.4165042419008387</c:v>
                </c:pt>
                <c:pt idx="9">
                  <c:v>13.136804139681312</c:v>
                </c:pt>
                <c:pt idx="10">
                  <c:v>4.7539239113898715</c:v>
                </c:pt>
                <c:pt idx="11">
                  <c:v>3.2737470968278113</c:v>
                </c:pt>
                <c:pt idx="12">
                  <c:v>4.9553683744096011</c:v>
                </c:pt>
                <c:pt idx="13">
                  <c:v>5.6184291218957423</c:v>
                </c:pt>
                <c:pt idx="14">
                  <c:v>3.5284510938873384</c:v>
                </c:pt>
                <c:pt idx="15">
                  <c:v>3.8247200479248415</c:v>
                </c:pt>
                <c:pt idx="16">
                  <c:v>6.3297988240071206</c:v>
                </c:pt>
                <c:pt idx="17">
                  <c:v>6.0935458029724918</c:v>
                </c:pt>
              </c:numCache>
            </c:numRef>
          </c:val>
          <c:smooth val="1"/>
          <c:extLst>
            <c:ext xmlns:c16="http://schemas.microsoft.com/office/drawing/2014/chart" uri="{C3380CC4-5D6E-409C-BE32-E72D297353CC}">
              <c16:uniqueId val="{00000004-7573-45C1-AD90-33C3CF083186}"/>
            </c:ext>
          </c:extLst>
        </c:ser>
        <c:dLbls>
          <c:showLegendKey val="0"/>
          <c:showVal val="0"/>
          <c:showCatName val="0"/>
          <c:showSerName val="0"/>
          <c:showPercent val="0"/>
          <c:showBubbleSize val="0"/>
        </c:dLbls>
        <c:smooth val="0"/>
        <c:axId val="586668511"/>
        <c:axId val="717956223"/>
      </c:lineChart>
      <c:catAx>
        <c:axId val="58666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717956223"/>
        <c:crosses val="autoZero"/>
        <c:auto val="1"/>
        <c:lblAlgn val="ctr"/>
        <c:lblOffset val="100"/>
        <c:noMultiLvlLbl val="0"/>
      </c:catAx>
      <c:valAx>
        <c:axId val="717956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8666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r>
              <a:rPr lang="es-AR" b="1">
                <a:solidFill>
                  <a:srgbClr val="002060"/>
                </a:solidFill>
              </a:rPr>
              <a:t>Tasa de ganancia capital propio desp de la inversión en capital fijo</a:t>
            </a:r>
          </a:p>
        </c:rich>
      </c:tx>
      <c:layout>
        <c:manualLayout>
          <c:xMode val="edge"/>
          <c:yMode val="edge"/>
          <c:x val="0.11622222222222223"/>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0"/>
              <c:layout>
                <c:manualLayout>
                  <c:x val="-5.555555555555580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7B-4933-983A-42E846E3B3A8}"/>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7B-4933-983A-42E846E3B3A8}"/>
                </c:ext>
              </c:extLst>
            </c:dLbl>
            <c:dLbl>
              <c:idx val="7"/>
              <c:layout>
                <c:manualLayout>
                  <c:x val="-8.611111111111111E-2"/>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7B-4933-983A-42E846E3B3A8}"/>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7B-4933-983A-42E846E3B3A8}"/>
                </c:ext>
              </c:extLst>
            </c:dLbl>
            <c:dLbl>
              <c:idx val="13"/>
              <c:layout>
                <c:manualLayout>
                  <c:x val="-5.555555555555555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7B-4933-983A-42E846E3B3A8}"/>
                </c:ext>
              </c:extLst>
            </c:dLbl>
            <c:dLbl>
              <c:idx val="17"/>
              <c:layout>
                <c:manualLayout>
                  <c:x val="0"/>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7B-4933-983A-42E846E3B3A8}"/>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Intereses!$A$9:$A$26</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Intereses!$AA$9:$AA$26</c:f>
              <c:numCache>
                <c:formatCode>0%</c:formatCode>
                <c:ptCount val="18"/>
                <c:pt idx="0">
                  <c:v>6.0268688198684015E-2</c:v>
                </c:pt>
                <c:pt idx="1">
                  <c:v>6.8178923350564469E-2</c:v>
                </c:pt>
                <c:pt idx="2">
                  <c:v>8.8245669257938059E-2</c:v>
                </c:pt>
                <c:pt idx="3">
                  <c:v>0.12133277039743941</c:v>
                </c:pt>
                <c:pt idx="4">
                  <c:v>0.11171077942011429</c:v>
                </c:pt>
                <c:pt idx="5">
                  <c:v>-5.3801888373208269E-2</c:v>
                </c:pt>
                <c:pt idx="6">
                  <c:v>-0.13899147818927188</c:v>
                </c:pt>
                <c:pt idx="7">
                  <c:v>-0.3059723803813939</c:v>
                </c:pt>
                <c:pt idx="8">
                  <c:v>-2.4255648674321818E-2</c:v>
                </c:pt>
                <c:pt idx="9">
                  <c:v>-5.8807850515553489E-3</c:v>
                </c:pt>
                <c:pt idx="10">
                  <c:v>0.12974153751927686</c:v>
                </c:pt>
                <c:pt idx="11">
                  <c:v>0.21214328691728088</c:v>
                </c:pt>
                <c:pt idx="12">
                  <c:v>8.4229510950586534E-2</c:v>
                </c:pt>
                <c:pt idx="13">
                  <c:v>3.4340413519527865E-2</c:v>
                </c:pt>
                <c:pt idx="14">
                  <c:v>5.8018617106412977E-2</c:v>
                </c:pt>
                <c:pt idx="15">
                  <c:v>8.9854237123365807E-2</c:v>
                </c:pt>
                <c:pt idx="16">
                  <c:v>2.0427180503912637E-2</c:v>
                </c:pt>
                <c:pt idx="17">
                  <c:v>6.6795853588570972E-2</c:v>
                </c:pt>
              </c:numCache>
            </c:numRef>
          </c:val>
          <c:smooth val="1"/>
          <c:extLst>
            <c:ext xmlns:c16="http://schemas.microsoft.com/office/drawing/2014/chart" uri="{C3380CC4-5D6E-409C-BE32-E72D297353CC}">
              <c16:uniqueId val="{00000006-E07B-4933-983A-42E846E3B3A8}"/>
            </c:ext>
          </c:extLst>
        </c:ser>
        <c:ser>
          <c:idx val="1"/>
          <c:order val="1"/>
          <c:tx>
            <c:v>Promedio</c:v>
          </c:tx>
          <c:spPr>
            <a:ln w="19050" cap="rnd">
              <a:solidFill>
                <a:schemeClr val="bg1">
                  <a:lumMod val="50000"/>
                </a:schemeClr>
              </a:solidFill>
              <a:prstDash val="lgDash"/>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7B-4933-983A-42E846E3B3A8}"/>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7B-4933-983A-42E846E3B3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Intereses!$AC$9:$AC$26</c:f>
              <c:numCache>
                <c:formatCode>0%</c:formatCode>
                <c:ptCount val="18"/>
                <c:pt idx="0">
                  <c:v>3.4243627065773531E-2</c:v>
                </c:pt>
                <c:pt idx="1">
                  <c:v>3.4243627065773531E-2</c:v>
                </c:pt>
                <c:pt idx="2">
                  <c:v>3.4243627065773531E-2</c:v>
                </c:pt>
                <c:pt idx="3">
                  <c:v>3.4243627065773531E-2</c:v>
                </c:pt>
                <c:pt idx="4">
                  <c:v>3.4243627065773531E-2</c:v>
                </c:pt>
                <c:pt idx="5">
                  <c:v>3.4243627065773531E-2</c:v>
                </c:pt>
                <c:pt idx="6">
                  <c:v>3.4243627065773531E-2</c:v>
                </c:pt>
                <c:pt idx="7">
                  <c:v>3.4243627065773531E-2</c:v>
                </c:pt>
                <c:pt idx="8">
                  <c:v>3.4243627065773531E-2</c:v>
                </c:pt>
                <c:pt idx="9">
                  <c:v>3.4243627065773531E-2</c:v>
                </c:pt>
                <c:pt idx="10">
                  <c:v>3.4243627065773531E-2</c:v>
                </c:pt>
                <c:pt idx="11">
                  <c:v>3.4243627065773531E-2</c:v>
                </c:pt>
                <c:pt idx="12">
                  <c:v>3.4243627065773531E-2</c:v>
                </c:pt>
                <c:pt idx="13">
                  <c:v>3.4243627065773531E-2</c:v>
                </c:pt>
                <c:pt idx="14">
                  <c:v>3.4243627065773531E-2</c:v>
                </c:pt>
                <c:pt idx="15">
                  <c:v>3.4243627065773531E-2</c:v>
                </c:pt>
                <c:pt idx="16">
                  <c:v>3.4243627065773531E-2</c:v>
                </c:pt>
                <c:pt idx="17">
                  <c:v>3.4243627065773531E-2</c:v>
                </c:pt>
              </c:numCache>
            </c:numRef>
          </c:val>
          <c:smooth val="0"/>
          <c:extLst>
            <c:ext xmlns:c16="http://schemas.microsoft.com/office/drawing/2014/chart" uri="{C3380CC4-5D6E-409C-BE32-E72D297353CC}">
              <c16:uniqueId val="{00000009-E07B-4933-983A-42E846E3B3A8}"/>
            </c:ext>
          </c:extLst>
        </c:ser>
        <c:dLbls>
          <c:showLegendKey val="0"/>
          <c:showVal val="0"/>
          <c:showCatName val="0"/>
          <c:showSerName val="0"/>
          <c:showPercent val="0"/>
          <c:showBubbleSize val="0"/>
        </c:dLbls>
        <c:smooth val="0"/>
        <c:axId val="586668511"/>
        <c:axId val="717956223"/>
      </c:lineChart>
      <c:catAx>
        <c:axId val="58666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717956223"/>
        <c:crosses val="autoZero"/>
        <c:auto val="1"/>
        <c:lblAlgn val="ctr"/>
        <c:lblOffset val="100"/>
        <c:noMultiLvlLbl val="0"/>
      </c:catAx>
      <c:valAx>
        <c:axId val="717956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86668511"/>
        <c:crosses val="autoZero"/>
        <c:crossBetween val="between"/>
      </c:valAx>
      <c:spPr>
        <a:noFill/>
        <a:ln>
          <a:noFill/>
        </a:ln>
        <a:effectLst/>
      </c:spPr>
    </c:plotArea>
    <c:legend>
      <c:legendPos val="r"/>
      <c:legendEntry>
        <c:idx val="0"/>
        <c:delete val="1"/>
      </c:legendEntry>
      <c:layout>
        <c:manualLayout>
          <c:xMode val="edge"/>
          <c:yMode val="edge"/>
          <c:x val="8.9402449693788327E-2"/>
          <c:y val="0.1873636628754739"/>
          <c:w val="0.20902799650043744"/>
          <c:h val="7.6131525226013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r>
              <a:rPr lang="es-AR" b="1">
                <a:solidFill>
                  <a:srgbClr val="002060"/>
                </a:solidFill>
              </a:rPr>
              <a:t>Tasas de ganancia</a:t>
            </a:r>
          </a:p>
        </c:rich>
      </c:tx>
      <c:layout>
        <c:manualLayout>
          <c:xMode val="edge"/>
          <c:yMode val="edge"/>
          <c:x val="0.39122222222222225"/>
          <c:y val="1.38887706604242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endParaRPr lang="es-AR"/>
        </a:p>
      </c:txPr>
    </c:title>
    <c:autoTitleDeleted val="0"/>
    <c:plotArea>
      <c:layout>
        <c:manualLayout>
          <c:layoutTarget val="inner"/>
          <c:xMode val="edge"/>
          <c:yMode val="edge"/>
          <c:x val="9.8861329833770772E-2"/>
          <c:y val="0.23797297297297298"/>
          <c:w val="0.80095669291338589"/>
          <c:h val="0.71247747747747747"/>
        </c:manualLayout>
      </c:layout>
      <c:lineChart>
        <c:grouping val="standard"/>
        <c:varyColors val="0"/>
        <c:ser>
          <c:idx val="0"/>
          <c:order val="0"/>
          <c:tx>
            <c:strRef>
              <c:f>Intereses!$AA$2</c:f>
              <c:strCache>
                <c:ptCount val="1"/>
                <c:pt idx="0">
                  <c:v>Tasa de ganancia capital propio desp de FBCF</c:v>
                </c:pt>
              </c:strCache>
            </c:strRef>
          </c:tx>
          <c:spPr>
            <a:ln w="28575" cap="rnd">
              <a:solidFill>
                <a:schemeClr val="accent1"/>
              </a:solidFill>
              <a:round/>
            </a:ln>
            <a:effectLst/>
          </c:spPr>
          <c:marker>
            <c:symbol val="none"/>
          </c:marker>
          <c:dLbls>
            <c:dLbl>
              <c:idx val="0"/>
              <c:layout>
                <c:manualLayout>
                  <c:x val="-5.555555555555580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45-44E2-AB24-EBE498F0CAC2}"/>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45-44E2-AB24-EBE498F0CAC2}"/>
                </c:ext>
              </c:extLst>
            </c:dLbl>
            <c:dLbl>
              <c:idx val="7"/>
              <c:layout>
                <c:manualLayout>
                  <c:x val="-8.611111111111111E-2"/>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45-44E2-AB24-EBE498F0CAC2}"/>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45-44E2-AB24-EBE498F0CAC2}"/>
                </c:ext>
              </c:extLst>
            </c:dLbl>
            <c:dLbl>
              <c:idx val="13"/>
              <c:layout>
                <c:manualLayout>
                  <c:x val="-5.555555555555555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45-44E2-AB24-EBE498F0CAC2}"/>
                </c:ext>
              </c:extLst>
            </c:dLbl>
            <c:dLbl>
              <c:idx val="17"/>
              <c:layout>
                <c:manualLayout>
                  <c:x val="0"/>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45-44E2-AB24-EBE498F0CAC2}"/>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Intereses!$A$9:$A$26</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Intereses!$AA$9:$AA$26</c:f>
              <c:numCache>
                <c:formatCode>0%</c:formatCode>
                <c:ptCount val="18"/>
                <c:pt idx="0">
                  <c:v>6.0268688198684015E-2</c:v>
                </c:pt>
                <c:pt idx="1">
                  <c:v>6.8178923350564469E-2</c:v>
                </c:pt>
                <c:pt idx="2">
                  <c:v>8.8245669257938059E-2</c:v>
                </c:pt>
                <c:pt idx="3">
                  <c:v>0.12133277039743941</c:v>
                </c:pt>
                <c:pt idx="4">
                  <c:v>0.11171077942011429</c:v>
                </c:pt>
                <c:pt idx="5">
                  <c:v>-5.3801888373208269E-2</c:v>
                </c:pt>
                <c:pt idx="6">
                  <c:v>-0.13899147818927188</c:v>
                </c:pt>
                <c:pt idx="7">
                  <c:v>-0.3059723803813939</c:v>
                </c:pt>
                <c:pt idx="8">
                  <c:v>-2.4255648674321818E-2</c:v>
                </c:pt>
                <c:pt idx="9">
                  <c:v>-5.8807850515553489E-3</c:v>
                </c:pt>
                <c:pt idx="10">
                  <c:v>0.12974153751927686</c:v>
                </c:pt>
                <c:pt idx="11">
                  <c:v>0.21214328691728088</c:v>
                </c:pt>
                <c:pt idx="12">
                  <c:v>8.4229510950586534E-2</c:v>
                </c:pt>
                <c:pt idx="13">
                  <c:v>3.4340413519527865E-2</c:v>
                </c:pt>
                <c:pt idx="14">
                  <c:v>5.8018617106412977E-2</c:v>
                </c:pt>
                <c:pt idx="15">
                  <c:v>8.9854237123365807E-2</c:v>
                </c:pt>
                <c:pt idx="16">
                  <c:v>2.0427180503912637E-2</c:v>
                </c:pt>
                <c:pt idx="17">
                  <c:v>6.6795853588570972E-2</c:v>
                </c:pt>
              </c:numCache>
            </c:numRef>
          </c:val>
          <c:smooth val="1"/>
          <c:extLst>
            <c:ext xmlns:c16="http://schemas.microsoft.com/office/drawing/2014/chart" uri="{C3380CC4-5D6E-409C-BE32-E72D297353CC}">
              <c16:uniqueId val="{00000006-0245-44E2-AB24-EBE498F0CAC2}"/>
            </c:ext>
          </c:extLst>
        </c:ser>
        <c:ser>
          <c:idx val="1"/>
          <c:order val="1"/>
          <c:tx>
            <c:strRef>
              <c:f>Intereses!$Y$2</c:f>
              <c:strCache>
                <c:ptCount val="1"/>
                <c:pt idx="0">
                  <c:v>Tasa de ganancia manuf</c:v>
                </c:pt>
              </c:strCache>
            </c:strRef>
          </c:tx>
          <c:spPr>
            <a:ln w="28575" cap="rnd">
              <a:solidFill>
                <a:srgbClr val="002060">
                  <a:alpha val="97000"/>
                </a:srgbClr>
              </a:solidFill>
              <a:prstDash val="solid"/>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45-44E2-AB24-EBE498F0CAC2}"/>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45-44E2-AB24-EBE498F0CA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Intereses!$Y$9:$Y$26</c:f>
              <c:numCache>
                <c:formatCode>0.0%</c:formatCode>
                <c:ptCount val="18"/>
                <c:pt idx="0">
                  <c:v>0.20411715173238273</c:v>
                </c:pt>
                <c:pt idx="1">
                  <c:v>0.18442417716988432</c:v>
                </c:pt>
                <c:pt idx="2">
                  <c:v>0.14116909098012231</c:v>
                </c:pt>
                <c:pt idx="3">
                  <c:v>0.17715348229994973</c:v>
                </c:pt>
                <c:pt idx="4">
                  <c:v>9.480203663437882E-2</c:v>
                </c:pt>
                <c:pt idx="5">
                  <c:v>7.5412325971362396E-2</c:v>
                </c:pt>
                <c:pt idx="6">
                  <c:v>6.691485840508439E-2</c:v>
                </c:pt>
                <c:pt idx="7">
                  <c:v>6.5803130363984191E-2</c:v>
                </c:pt>
                <c:pt idx="8">
                  <c:v>9.1845157039084926E-2</c:v>
                </c:pt>
                <c:pt idx="9">
                  <c:v>6.9469729153650739E-2</c:v>
                </c:pt>
                <c:pt idx="10">
                  <c:v>0.174220418387144</c:v>
                </c:pt>
                <c:pt idx="11">
                  <c:v>0.24285991568770546</c:v>
                </c:pt>
                <c:pt idx="12">
                  <c:v>0.16886688358100693</c:v>
                </c:pt>
                <c:pt idx="13">
                  <c:v>0.14670145622492484</c:v>
                </c:pt>
                <c:pt idx="14">
                  <c:v>0.23278643349120004</c:v>
                </c:pt>
                <c:pt idx="15">
                  <c:v>0.21851338737517986</c:v>
                </c:pt>
                <c:pt idx="16">
                  <c:v>0.13905213001464087</c:v>
                </c:pt>
                <c:pt idx="17">
                  <c:v>0.14549673751769573</c:v>
                </c:pt>
              </c:numCache>
            </c:numRef>
          </c:val>
          <c:smooth val="1"/>
          <c:extLst>
            <c:ext xmlns:c16="http://schemas.microsoft.com/office/drawing/2014/chart" uri="{C3380CC4-5D6E-409C-BE32-E72D297353CC}">
              <c16:uniqueId val="{00000009-0245-44E2-AB24-EBE498F0CAC2}"/>
            </c:ext>
          </c:extLst>
        </c:ser>
        <c:dLbls>
          <c:showLegendKey val="0"/>
          <c:showVal val="0"/>
          <c:showCatName val="0"/>
          <c:showSerName val="0"/>
          <c:showPercent val="0"/>
          <c:showBubbleSize val="0"/>
        </c:dLbls>
        <c:smooth val="0"/>
        <c:axId val="586668511"/>
        <c:axId val="717956223"/>
      </c:lineChart>
      <c:catAx>
        <c:axId val="58666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717956223"/>
        <c:crosses val="autoZero"/>
        <c:auto val="1"/>
        <c:lblAlgn val="ctr"/>
        <c:lblOffset val="100"/>
        <c:noMultiLvlLbl val="0"/>
      </c:catAx>
      <c:valAx>
        <c:axId val="717956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86668511"/>
        <c:crosses val="autoZero"/>
        <c:crossBetween val="between"/>
      </c:valAx>
      <c:spPr>
        <a:noFill/>
        <a:ln>
          <a:noFill/>
        </a:ln>
        <a:effectLst/>
      </c:spPr>
    </c:plotArea>
    <c:legend>
      <c:legendPos val="r"/>
      <c:layout>
        <c:manualLayout>
          <c:xMode val="edge"/>
          <c:yMode val="edge"/>
          <c:x val="3.6111111111111108E-2"/>
          <c:y val="7.1255231609562333E-2"/>
          <c:w val="0.46388888888888891"/>
          <c:h val="0.2242235936724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r>
              <a:rPr lang="es-AR" b="1">
                <a:solidFill>
                  <a:srgbClr val="002060"/>
                </a:solidFill>
              </a:rPr>
              <a:t>Tasas de ganancia</a:t>
            </a:r>
          </a:p>
        </c:rich>
      </c:tx>
      <c:layout>
        <c:manualLayout>
          <c:xMode val="edge"/>
          <c:yMode val="edge"/>
          <c:x val="0.3773333333333333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endParaRPr lang="es-AR"/>
        </a:p>
      </c:txPr>
    </c:title>
    <c:autoTitleDeleted val="0"/>
    <c:plotArea>
      <c:layout>
        <c:manualLayout>
          <c:layoutTarget val="inner"/>
          <c:xMode val="edge"/>
          <c:yMode val="edge"/>
          <c:x val="0.10952821522309711"/>
          <c:y val="0.32619387103639075"/>
          <c:w val="0.86251202974628183"/>
          <c:h val="0.5290306448180464"/>
        </c:manualLayout>
      </c:layout>
      <c:lineChart>
        <c:grouping val="standard"/>
        <c:varyColors val="0"/>
        <c:ser>
          <c:idx val="0"/>
          <c:order val="0"/>
          <c:tx>
            <c:strRef>
              <c:f>Intereses!$Y$2</c:f>
              <c:strCache>
                <c:ptCount val="1"/>
                <c:pt idx="0">
                  <c:v>Tasa de ganancia manuf</c:v>
                </c:pt>
              </c:strCache>
            </c:strRef>
          </c:tx>
          <c:spPr>
            <a:ln w="28575" cap="rnd">
              <a:solidFill>
                <a:schemeClr val="accent1"/>
              </a:solidFill>
              <a:round/>
            </a:ln>
            <a:effectLst/>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81-4019-9EA1-C1BA3254C3DA}"/>
                </c:ext>
              </c:extLst>
            </c:dLbl>
            <c:dLbl>
              <c:idx val="7"/>
              <c:layout>
                <c:manualLayout>
                  <c:x val="-7.500000000000010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81-4019-9EA1-C1BA3254C3DA}"/>
                </c:ext>
              </c:extLst>
            </c:dLbl>
            <c:dLbl>
              <c:idx val="13"/>
              <c:layout>
                <c:manualLayout>
                  <c:x val="-6.9444444444444448E-2"/>
                  <c:y val="6.1811732992835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81-4019-9EA1-C1BA3254C3DA}"/>
                </c:ext>
              </c:extLst>
            </c:dLbl>
            <c:dLbl>
              <c:idx val="17"/>
              <c:layout>
                <c:manualLayout>
                  <c:x val="-6.3888888888888995E-2"/>
                  <c:y val="9.7597715826062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81-4019-9EA1-C1BA3254C3DA}"/>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Intereses!$A$3:$A$26</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Intereses!$Y$3:$Y$26</c:f>
              <c:numCache>
                <c:formatCode>0.0%</c:formatCode>
                <c:ptCount val="24"/>
                <c:pt idx="0">
                  <c:v>0.12760603054173855</c:v>
                </c:pt>
                <c:pt idx="1">
                  <c:v>0.26715959115094784</c:v>
                </c:pt>
                <c:pt idx="2">
                  <c:v>0.19274061943691359</c:v>
                </c:pt>
                <c:pt idx="3">
                  <c:v>0.26381692963759656</c:v>
                </c:pt>
                <c:pt idx="4">
                  <c:v>0.22872609363823235</c:v>
                </c:pt>
                <c:pt idx="5">
                  <c:v>0.2233534197964662</c:v>
                </c:pt>
                <c:pt idx="6">
                  <c:v>0.20411715173238273</c:v>
                </c:pt>
                <c:pt idx="7">
                  <c:v>0.18442417716988432</c:v>
                </c:pt>
                <c:pt idx="8">
                  <c:v>0.14116909098012231</c:v>
                </c:pt>
                <c:pt idx="9">
                  <c:v>0.17715348229994973</c:v>
                </c:pt>
                <c:pt idx="10">
                  <c:v>9.480203663437882E-2</c:v>
                </c:pt>
                <c:pt idx="11">
                  <c:v>7.5412325971362396E-2</c:v>
                </c:pt>
                <c:pt idx="12">
                  <c:v>6.691485840508439E-2</c:v>
                </c:pt>
                <c:pt idx="13">
                  <c:v>6.5803130363984191E-2</c:v>
                </c:pt>
                <c:pt idx="14">
                  <c:v>9.1845157039084926E-2</c:v>
                </c:pt>
                <c:pt idx="15">
                  <c:v>6.9469729153650739E-2</c:v>
                </c:pt>
                <c:pt idx="16">
                  <c:v>0.174220418387144</c:v>
                </c:pt>
                <c:pt idx="17">
                  <c:v>0.24285991568770546</c:v>
                </c:pt>
                <c:pt idx="18">
                  <c:v>0.16886688358100693</c:v>
                </c:pt>
                <c:pt idx="19">
                  <c:v>0.14670145622492484</c:v>
                </c:pt>
                <c:pt idx="20">
                  <c:v>0.23278643349120004</c:v>
                </c:pt>
                <c:pt idx="21">
                  <c:v>0.21851338737517986</c:v>
                </c:pt>
                <c:pt idx="22">
                  <c:v>0.13905213001464087</c:v>
                </c:pt>
                <c:pt idx="23">
                  <c:v>0.14549673751769573</c:v>
                </c:pt>
              </c:numCache>
            </c:numRef>
          </c:val>
          <c:smooth val="1"/>
          <c:extLst>
            <c:ext xmlns:c16="http://schemas.microsoft.com/office/drawing/2014/chart" uri="{C3380CC4-5D6E-409C-BE32-E72D297353CC}">
              <c16:uniqueId val="{00000004-2681-4019-9EA1-C1BA3254C3DA}"/>
            </c:ext>
          </c:extLst>
        </c:ser>
        <c:ser>
          <c:idx val="1"/>
          <c:order val="1"/>
          <c:tx>
            <c:strRef>
              <c:f>Intereses!$AB$2</c:f>
              <c:strCache>
                <c:ptCount val="1"/>
                <c:pt idx="0">
                  <c:v>Tasa de ganancia PN (sobre capital fijo menos endeudamiento)</c:v>
                </c:pt>
              </c:strCache>
            </c:strRef>
          </c:tx>
          <c:spPr>
            <a:ln w="28575" cap="rnd">
              <a:solidFill>
                <a:srgbClr val="002060"/>
              </a:solidFill>
              <a:round/>
            </a:ln>
            <a:effectLst/>
          </c:spPr>
          <c:marker>
            <c:symbol val="none"/>
          </c:marker>
          <c:dLbls>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81-4019-9EA1-C1BA3254C3DA}"/>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81-4019-9EA1-C1BA3254C3DA}"/>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81-4019-9EA1-C1BA3254C3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Intereses!$A$3:$A$26</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Intereses!$AB$3:$AB$26</c:f>
              <c:numCache>
                <c:formatCode>General</c:formatCode>
                <c:ptCount val="24"/>
                <c:pt idx="6" formatCode="0%">
                  <c:v>0.4634794467269665</c:v>
                </c:pt>
                <c:pt idx="7" formatCode="0%">
                  <c:v>0.35089197375034498</c:v>
                </c:pt>
                <c:pt idx="8" formatCode="0%">
                  <c:v>0.28617669221522801</c:v>
                </c:pt>
                <c:pt idx="9" formatCode="0%">
                  <c:v>0.3603707002870824</c:v>
                </c:pt>
                <c:pt idx="11" formatCode="0%">
                  <c:v>0.14625846467038925</c:v>
                </c:pt>
                <c:pt idx="12" formatCode="0%">
                  <c:v>0.12010729864933423</c:v>
                </c:pt>
                <c:pt idx="13" formatCode="0%">
                  <c:v>9.6885734575882732E-2</c:v>
                </c:pt>
                <c:pt idx="14" formatCode="0%">
                  <c:v>0.15277044486828872</c:v>
                </c:pt>
                <c:pt idx="15" formatCode="0%">
                  <c:v>0.1093248554093436</c:v>
                </c:pt>
                <c:pt idx="16" formatCode="0%">
                  <c:v>0.30056840437082399</c:v>
                </c:pt>
                <c:pt idx="17" formatCode="0%">
                  <c:v>0.44670824482984633</c:v>
                </c:pt>
                <c:pt idx="18" formatCode="0%">
                  <c:v>0.28980148215733514</c:v>
                </c:pt>
                <c:pt idx="19" formatCode="0%">
                  <c:v>0.24738151043084847</c:v>
                </c:pt>
                <c:pt idx="20" formatCode="0%">
                  <c:v>0.37706649120036417</c:v>
                </c:pt>
                <c:pt idx="21" formatCode="0%">
                  <c:v>0.36451094071040258</c:v>
                </c:pt>
                <c:pt idx="22" formatCode="0%">
                  <c:v>0.21471857169434674</c:v>
                </c:pt>
                <c:pt idx="23" formatCode="0%">
                  <c:v>0.21976912251055364</c:v>
                </c:pt>
              </c:numCache>
            </c:numRef>
          </c:val>
          <c:smooth val="1"/>
          <c:extLst>
            <c:ext xmlns:c16="http://schemas.microsoft.com/office/drawing/2014/chart" uri="{C3380CC4-5D6E-409C-BE32-E72D297353CC}">
              <c16:uniqueId val="{00000008-2681-4019-9EA1-C1BA3254C3DA}"/>
            </c:ext>
          </c:extLst>
        </c:ser>
        <c:dLbls>
          <c:showLegendKey val="0"/>
          <c:showVal val="0"/>
          <c:showCatName val="0"/>
          <c:showSerName val="0"/>
          <c:showPercent val="0"/>
          <c:showBubbleSize val="0"/>
        </c:dLbls>
        <c:smooth val="0"/>
        <c:axId val="586668511"/>
        <c:axId val="717956223"/>
      </c:lineChart>
      <c:catAx>
        <c:axId val="58666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717956223"/>
        <c:crosses val="autoZero"/>
        <c:auto val="1"/>
        <c:lblAlgn val="ctr"/>
        <c:lblOffset val="100"/>
        <c:noMultiLvlLbl val="0"/>
      </c:catAx>
      <c:valAx>
        <c:axId val="71795622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86668511"/>
        <c:crosses val="autoZero"/>
        <c:crossBetween val="between"/>
      </c:valAx>
      <c:spPr>
        <a:noFill/>
        <a:ln>
          <a:noFill/>
        </a:ln>
        <a:effectLst/>
      </c:spPr>
    </c:plotArea>
    <c:legend>
      <c:legendPos val="r"/>
      <c:layout>
        <c:manualLayout>
          <c:xMode val="edge"/>
          <c:yMode val="edge"/>
          <c:x val="0"/>
          <c:y val="8.2766900759026749E-2"/>
          <c:w val="0.85295975503062116"/>
          <c:h val="0.1426416968149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r>
              <a:rPr lang="es-AR" b="1">
                <a:solidFill>
                  <a:srgbClr val="002060"/>
                </a:solidFill>
              </a:rPr>
              <a:t>Abaratamiento por tc sobre ganancia desp de impuestos</a:t>
            </a:r>
          </a:p>
        </c:rich>
      </c:tx>
      <c:layout>
        <c:manualLayout>
          <c:xMode val="edge"/>
          <c:yMode val="edge"/>
          <c:x val="0.1495555555555555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Cambria" panose="02040503050406030204" pitchFamily="18" charset="0"/>
              <a:ea typeface="Cambria" panose="02040503050406030204" pitchFamily="18" charset="0"/>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0"/>
              <c:layout>
                <c:manualLayout>
                  <c:x val="-5.2777777777777778E-2"/>
                  <c:y val="-7.6576576576576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86-4FEC-AB8B-387AD084BA23}"/>
                </c:ext>
              </c:extLst>
            </c:dLbl>
            <c:dLbl>
              <c:idx val="7"/>
              <c:layout>
                <c:manualLayout>
                  <c:x val="-7.500000000000010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86-4FEC-AB8B-387AD084BA23}"/>
                </c:ext>
              </c:extLst>
            </c:dLbl>
            <c:dLbl>
              <c:idx val="13"/>
              <c:layout>
                <c:manualLayout>
                  <c:x val="-7.500000000000010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86-4FEC-AB8B-387AD084BA23}"/>
                </c:ext>
              </c:extLst>
            </c:dLbl>
            <c:dLbl>
              <c:idx val="17"/>
              <c:layout>
                <c:manualLayout>
                  <c:x val="0"/>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86-4FEC-AB8B-387AD084BA23}"/>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Intereses!$A$9:$A$26</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Intereses!$AI$8:$AI$26</c:f>
              <c:numCache>
                <c:formatCode>0%</c:formatCode>
                <c:ptCount val="19"/>
                <c:pt idx="0">
                  <c:v>2.4633990310244765E-2</c:v>
                </c:pt>
                <c:pt idx="1">
                  <c:v>2.4562945964312358E-2</c:v>
                </c:pt>
                <c:pt idx="2">
                  <c:v>2.9653969137991627E-2</c:v>
                </c:pt>
                <c:pt idx="3">
                  <c:v>4.5406057435520973E-2</c:v>
                </c:pt>
                <c:pt idx="4">
                  <c:v>3.4992256729706121E-2</c:v>
                </c:pt>
                <c:pt idx="5">
                  <c:v>7.5285885503565672E-2</c:v>
                </c:pt>
                <c:pt idx="6">
                  <c:v>0.10849176200187888</c:v>
                </c:pt>
                <c:pt idx="7">
                  <c:v>0.13099006063286653</c:v>
                </c:pt>
                <c:pt idx="8">
                  <c:v>9.4412795956810722E-2</c:v>
                </c:pt>
                <c:pt idx="9">
                  <c:v>5.5307814862479668E-2</c:v>
                </c:pt>
                <c:pt idx="10">
                  <c:v>7.4081669748767634E-2</c:v>
                </c:pt>
                <c:pt idx="11">
                  <c:v>3.2914022709166435E-2</c:v>
                </c:pt>
                <c:pt idx="12">
                  <c:v>2.4284232283108931E-2</c:v>
                </c:pt>
                <c:pt idx="13">
                  <c:v>2.9380215935783358E-2</c:v>
                </c:pt>
                <c:pt idx="14">
                  <c:v>2.7086148041850805E-2</c:v>
                </c:pt>
                <c:pt idx="15">
                  <c:v>1.1036433855679336E-2</c:v>
                </c:pt>
                <c:pt idx="16">
                  <c:v>1.5551666587292099E-2</c:v>
                </c:pt>
                <c:pt idx="17">
                  <c:v>4.3270364450906644E-2</c:v>
                </c:pt>
                <c:pt idx="18">
                  <c:v>3.7977635058470363E-2</c:v>
                </c:pt>
              </c:numCache>
            </c:numRef>
          </c:val>
          <c:smooth val="1"/>
          <c:extLst>
            <c:ext xmlns:c16="http://schemas.microsoft.com/office/drawing/2014/chart" uri="{C3380CC4-5D6E-409C-BE32-E72D297353CC}">
              <c16:uniqueId val="{00000004-C386-4FEC-AB8B-387AD084BA23}"/>
            </c:ext>
          </c:extLst>
        </c:ser>
        <c:dLbls>
          <c:showLegendKey val="0"/>
          <c:showVal val="0"/>
          <c:showCatName val="0"/>
          <c:showSerName val="0"/>
          <c:showPercent val="0"/>
          <c:showBubbleSize val="0"/>
        </c:dLbls>
        <c:smooth val="0"/>
        <c:axId val="586668511"/>
        <c:axId val="717956223"/>
      </c:lineChart>
      <c:catAx>
        <c:axId val="58666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s-AR"/>
          </a:p>
        </c:txPr>
        <c:crossAx val="717956223"/>
        <c:crosses val="autoZero"/>
        <c:auto val="1"/>
        <c:lblAlgn val="ctr"/>
        <c:lblOffset val="100"/>
        <c:noMultiLvlLbl val="0"/>
      </c:catAx>
      <c:valAx>
        <c:axId val="717956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crossAx val="58666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609600</xdr:colOff>
      <xdr:row>0</xdr:row>
      <xdr:rowOff>0</xdr:rowOff>
    </xdr:from>
    <xdr:to>
      <xdr:col>9</xdr:col>
      <xdr:colOff>552919</xdr:colOff>
      <xdr:row>4</xdr:row>
      <xdr:rowOff>28687</xdr:rowOff>
    </xdr:to>
    <xdr:pic>
      <xdr:nvPicPr>
        <xdr:cNvPr id="2" name="Imagen 1">
          <a:extLst>
            <a:ext uri="{FF2B5EF4-FFF2-40B4-BE49-F238E27FC236}">
              <a16:creationId xmlns:a16="http://schemas.microsoft.com/office/drawing/2014/main" id="{6F863053-B3B0-4372-9FA6-F2EA02BF315E}"/>
            </a:ext>
          </a:extLst>
        </xdr:cNvPr>
        <xdr:cNvPicPr>
          <a:picLocks noChangeAspect="1"/>
        </xdr:cNvPicPr>
      </xdr:nvPicPr>
      <xdr:blipFill>
        <a:blip xmlns:r="http://schemas.openxmlformats.org/officeDocument/2006/relationships" r:embed="rId1"/>
        <a:stretch>
          <a:fillRect/>
        </a:stretch>
      </xdr:blipFill>
      <xdr:spPr>
        <a:xfrm>
          <a:off x="10391775" y="0"/>
          <a:ext cx="3362794" cy="8002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552450</xdr:colOff>
      <xdr:row>12</xdr:row>
      <xdr:rowOff>85725</xdr:rowOff>
    </xdr:from>
    <xdr:to>
      <xdr:col>13</xdr:col>
      <xdr:colOff>371475</xdr:colOff>
      <xdr:row>27</xdr:row>
      <xdr:rowOff>114300</xdr:rowOff>
    </xdr:to>
    <xdr:graphicFrame macro="">
      <xdr:nvGraphicFramePr>
        <xdr:cNvPr id="4" name="Gráfico 3">
          <a:extLst>
            <a:ext uri="{FF2B5EF4-FFF2-40B4-BE49-F238E27FC236}">
              <a16:creationId xmlns:a16="http://schemas.microsoft.com/office/drawing/2014/main" id="{D8059B93-FC21-47FB-A806-D4318C60E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12</xdr:row>
      <xdr:rowOff>128587</xdr:rowOff>
    </xdr:from>
    <xdr:to>
      <xdr:col>6</xdr:col>
      <xdr:colOff>847725</xdr:colOff>
      <xdr:row>27</xdr:row>
      <xdr:rowOff>157162</xdr:rowOff>
    </xdr:to>
    <xdr:graphicFrame macro="">
      <xdr:nvGraphicFramePr>
        <xdr:cNvPr id="3" name="Gráfico 2">
          <a:extLst>
            <a:ext uri="{FF2B5EF4-FFF2-40B4-BE49-F238E27FC236}">
              <a16:creationId xmlns:a16="http://schemas.microsoft.com/office/drawing/2014/main" id="{A17B4640-86E8-4FF4-B14D-0F7555A4E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676275</xdr:colOff>
      <xdr:row>27</xdr:row>
      <xdr:rowOff>57150</xdr:rowOff>
    </xdr:from>
    <xdr:to>
      <xdr:col>4</xdr:col>
      <xdr:colOff>1181100</xdr:colOff>
      <xdr:row>40</xdr:row>
      <xdr:rowOff>176212</xdr:rowOff>
    </xdr:to>
    <xdr:graphicFrame macro="">
      <xdr:nvGraphicFramePr>
        <xdr:cNvPr id="2" name="Gráfico 1">
          <a:extLst>
            <a:ext uri="{FF2B5EF4-FFF2-40B4-BE49-F238E27FC236}">
              <a16:creationId xmlns:a16="http://schemas.microsoft.com/office/drawing/2014/main" id="{0F37CAF0-BE65-41F6-A263-2E565BA23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42</xdr:row>
      <xdr:rowOff>28575</xdr:rowOff>
    </xdr:from>
    <xdr:to>
      <xdr:col>4</xdr:col>
      <xdr:colOff>819150</xdr:colOff>
      <xdr:row>55</xdr:row>
      <xdr:rowOff>147637</xdr:rowOff>
    </xdr:to>
    <xdr:graphicFrame macro="">
      <xdr:nvGraphicFramePr>
        <xdr:cNvPr id="3" name="Gráfico 2">
          <a:extLst>
            <a:ext uri="{FF2B5EF4-FFF2-40B4-BE49-F238E27FC236}">
              <a16:creationId xmlns:a16="http://schemas.microsoft.com/office/drawing/2014/main" id="{14846478-BA28-4600-BC19-1AEB4C64A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57</xdr:row>
      <xdr:rowOff>0</xdr:rowOff>
    </xdr:from>
    <xdr:to>
      <xdr:col>4</xdr:col>
      <xdr:colOff>762000</xdr:colOff>
      <xdr:row>73</xdr:row>
      <xdr:rowOff>152400</xdr:rowOff>
    </xdr:to>
    <xdr:graphicFrame macro="">
      <xdr:nvGraphicFramePr>
        <xdr:cNvPr id="4" name="Gráfico 3">
          <a:extLst>
            <a:ext uri="{FF2B5EF4-FFF2-40B4-BE49-F238E27FC236}">
              <a16:creationId xmlns:a16="http://schemas.microsoft.com/office/drawing/2014/main" id="{D9B9586F-ED73-4998-8A9D-5025C4726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75</xdr:row>
      <xdr:rowOff>0</xdr:rowOff>
    </xdr:from>
    <xdr:to>
      <xdr:col>4</xdr:col>
      <xdr:colOff>762000</xdr:colOff>
      <xdr:row>91</xdr:row>
      <xdr:rowOff>152400</xdr:rowOff>
    </xdr:to>
    <xdr:graphicFrame macro="">
      <xdr:nvGraphicFramePr>
        <xdr:cNvPr id="5" name="Gráfico 4">
          <a:extLst>
            <a:ext uri="{FF2B5EF4-FFF2-40B4-BE49-F238E27FC236}">
              <a16:creationId xmlns:a16="http://schemas.microsoft.com/office/drawing/2014/main" id="{1764FFF1-12A4-4930-8D9A-FC3D8A364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93</xdr:row>
      <xdr:rowOff>0</xdr:rowOff>
    </xdr:from>
    <xdr:to>
      <xdr:col>4</xdr:col>
      <xdr:colOff>762000</xdr:colOff>
      <xdr:row>109</xdr:row>
      <xdr:rowOff>152400</xdr:rowOff>
    </xdr:to>
    <xdr:graphicFrame macro="">
      <xdr:nvGraphicFramePr>
        <xdr:cNvPr id="6" name="Gráfico 5">
          <a:extLst>
            <a:ext uri="{FF2B5EF4-FFF2-40B4-BE49-F238E27FC236}">
              <a16:creationId xmlns:a16="http://schemas.microsoft.com/office/drawing/2014/main" id="{BC524AB1-7A94-4441-A0F7-D3600D528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111</xdr:row>
      <xdr:rowOff>0</xdr:rowOff>
    </xdr:from>
    <xdr:to>
      <xdr:col>4</xdr:col>
      <xdr:colOff>762000</xdr:colOff>
      <xdr:row>127</xdr:row>
      <xdr:rowOff>152400</xdr:rowOff>
    </xdr:to>
    <xdr:graphicFrame macro="">
      <xdr:nvGraphicFramePr>
        <xdr:cNvPr id="7" name="Gráfico 6">
          <a:extLst>
            <a:ext uri="{FF2B5EF4-FFF2-40B4-BE49-F238E27FC236}">
              <a16:creationId xmlns:a16="http://schemas.microsoft.com/office/drawing/2014/main" id="{F619EE6E-03E3-4907-90C8-195B30414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28</xdr:row>
      <xdr:rowOff>0</xdr:rowOff>
    </xdr:from>
    <xdr:to>
      <xdr:col>10</xdr:col>
      <xdr:colOff>428625</xdr:colOff>
      <xdr:row>44</xdr:row>
      <xdr:rowOff>152400</xdr:rowOff>
    </xdr:to>
    <xdr:graphicFrame macro="">
      <xdr:nvGraphicFramePr>
        <xdr:cNvPr id="8" name="Gráfico 7">
          <a:extLst>
            <a:ext uri="{FF2B5EF4-FFF2-40B4-BE49-F238E27FC236}">
              <a16:creationId xmlns:a16="http://schemas.microsoft.com/office/drawing/2014/main" id="{34221C59-6F63-460A-B4E9-9333229EE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20PN.%20Urugu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portaciones/Exportaciones.Urugua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Fuentes"/>
      <sheetName val="TG PN"/>
      <sheetName val="metodología"/>
      <sheetName val="eaae"/>
      <sheetName val="rama-C"/>
      <sheetName val="check-calidad-C"/>
      <sheetName val="economia_total"/>
      <sheetName val="check-calidad-total"/>
      <sheetName val="resultados-total-corrientes"/>
      <sheetName val="resultados-industrial-corriente"/>
      <sheetName val="resultados-total-constante"/>
      <sheetName val="resultados-industrial-constante"/>
      <sheetName val="resultados-total-var-pct"/>
      <sheetName val="resultados-industrial-var-pct"/>
      <sheetName val="resultados-total-ind-2005"/>
      <sheetName val="resultados-industrial-ind-2005"/>
    </sheetNames>
    <sheetDataSet>
      <sheetData sheetId="0"/>
      <sheetData sheetId="1"/>
      <sheetData sheetId="2"/>
      <sheetData sheetId="3"/>
      <sheetData sheetId="4"/>
      <sheetData sheetId="5">
        <row r="2">
          <cell r="AD2">
            <v>0.12760603054173855</v>
          </cell>
        </row>
        <row r="3">
          <cell r="AD3">
            <v>0.26715959115094784</v>
          </cell>
        </row>
        <row r="4">
          <cell r="AD4">
            <v>0.19274061943691359</v>
          </cell>
        </row>
        <row r="5">
          <cell r="AD5">
            <v>0.26381692963759656</v>
          </cell>
        </row>
        <row r="6">
          <cell r="AD6">
            <v>0.22872609363823235</v>
          </cell>
        </row>
        <row r="7">
          <cell r="AD7">
            <v>0.2233534197964662</v>
          </cell>
        </row>
        <row r="8">
          <cell r="AD8">
            <v>0.20411715173238273</v>
          </cell>
        </row>
        <row r="9">
          <cell r="AD9">
            <v>0.18442417716988432</v>
          </cell>
        </row>
        <row r="10">
          <cell r="AD10">
            <v>0.14116909098012231</v>
          </cell>
        </row>
        <row r="11">
          <cell r="AD11">
            <v>0.17715348229994973</v>
          </cell>
        </row>
        <row r="12">
          <cell r="AD12">
            <v>9.480203663437882E-2</v>
          </cell>
        </row>
        <row r="13">
          <cell r="AD13">
            <v>7.5412325971362396E-2</v>
          </cell>
        </row>
        <row r="14">
          <cell r="AD14">
            <v>6.691485840508439E-2</v>
          </cell>
        </row>
        <row r="15">
          <cell r="AD15">
            <v>6.5803130363984191E-2</v>
          </cell>
        </row>
        <row r="16">
          <cell r="AD16">
            <v>9.1845157039084926E-2</v>
          </cell>
        </row>
        <row r="17">
          <cell r="AD17">
            <v>6.9469729153650739E-2</v>
          </cell>
        </row>
        <row r="18">
          <cell r="AD18">
            <v>0.174220418387144</v>
          </cell>
        </row>
        <row r="19">
          <cell r="AD19">
            <v>0.24285991568770546</v>
          </cell>
        </row>
        <row r="20">
          <cell r="AD20">
            <v>0.16886688358100693</v>
          </cell>
        </row>
        <row r="21">
          <cell r="AD21">
            <v>0.14670145622492484</v>
          </cell>
        </row>
        <row r="22">
          <cell r="AD22">
            <v>0.23278643349120004</v>
          </cell>
        </row>
        <row r="23">
          <cell r="AD23">
            <v>0.21851338737517986</v>
          </cell>
        </row>
        <row r="24">
          <cell r="AD24">
            <v>0.13905213001464087</v>
          </cell>
        </row>
        <row r="25">
          <cell r="AD25">
            <v>0.14549673751769573</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ZF"/>
      <sheetName val="Gráficos"/>
      <sheetName val="Eventual devaluación"/>
      <sheetName val="Exp-VBP"/>
    </sheetNames>
    <sheetDataSet>
      <sheetData sheetId="0">
        <row r="3">
          <cell r="AU3">
            <v>2161817</v>
          </cell>
        </row>
        <row r="4">
          <cell r="AU4">
            <v>1894160</v>
          </cell>
        </row>
        <row r="5">
          <cell r="AU5">
            <v>1693280</v>
          </cell>
        </row>
        <row r="6">
          <cell r="AU6">
            <v>2005751</v>
          </cell>
        </row>
        <row r="7">
          <cell r="AU7">
            <v>2752231</v>
          </cell>
        </row>
        <row r="8">
          <cell r="AU8">
            <v>3288799</v>
          </cell>
        </row>
        <row r="9">
          <cell r="AU9">
            <v>3843115</v>
          </cell>
        </row>
        <row r="10">
          <cell r="AU10">
            <v>4255335</v>
          </cell>
        </row>
        <row r="11">
          <cell r="AU11">
            <v>5966085</v>
          </cell>
        </row>
        <row r="12">
          <cell r="AU12">
            <v>5101669</v>
          </cell>
        </row>
        <row r="13">
          <cell r="AU13">
            <v>6236366</v>
          </cell>
        </row>
        <row r="14">
          <cell r="AU14">
            <v>7334170</v>
          </cell>
        </row>
        <row r="15">
          <cell r="AU15">
            <v>7387626</v>
          </cell>
        </row>
        <row r="16">
          <cell r="AU16">
            <v>7440534</v>
          </cell>
        </row>
        <row r="17">
          <cell r="AU17">
            <v>7750681</v>
          </cell>
        </row>
        <row r="18">
          <cell r="AU18">
            <v>7332807</v>
          </cell>
        </row>
        <row r="19">
          <cell r="AU19">
            <v>6881861</v>
          </cell>
        </row>
        <row r="20">
          <cell r="AU20">
            <v>7269212</v>
          </cell>
        </row>
        <row r="21">
          <cell r="AU21">
            <v>7870612</v>
          </cell>
        </row>
        <row r="22">
          <cell r="AU22">
            <v>7619202</v>
          </cell>
        </row>
        <row r="23">
          <cell r="AU23">
            <v>6584112</v>
          </cell>
        </row>
        <row r="24">
          <cell r="AU24">
            <v>8900035</v>
          </cell>
        </row>
        <row r="25">
          <cell r="AU25">
            <v>10237765</v>
          </cell>
        </row>
        <row r="26">
          <cell r="AU26">
            <v>9667693</v>
          </cell>
        </row>
        <row r="27">
          <cell r="AU27">
            <v>10308558</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cs.google.com/spreadsheets/d/1EjWnRovNLRfISF26lYHPvSVCcWHPUdPtjIY-m_xft28/edit?gid=1371237672" TargetMode="External"/><Relationship Id="rId1" Type="http://schemas.openxmlformats.org/officeDocument/2006/relationships/hyperlink" Target="https://docs.google.com/spreadsheets/d/1mxvi1bIWz5WpHcGaBE-OJZTV5XA-hqzD5fn_03F-LMw/edit?gid=182513804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nC7Wt3_sS_Ov6XZY0KzrMMU95c3EsMciThLac86e-kU/edit?gid=133251357"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92E8-261D-43A3-B54D-234E82218A00}">
  <dimension ref="B2:G51"/>
  <sheetViews>
    <sheetView showGridLines="0" topLeftCell="A4" workbookViewId="0">
      <selection activeCell="B21" sqref="B20:F21"/>
    </sheetView>
  </sheetViews>
  <sheetFormatPr baseColWidth="10" defaultRowHeight="14.25"/>
  <cols>
    <col min="1" max="1" width="11.42578125" style="47"/>
    <col min="2" max="2" width="23" style="47" customWidth="1"/>
    <col min="3" max="3" width="11.140625" style="47" customWidth="1"/>
    <col min="4" max="4" width="12" style="47" customWidth="1"/>
    <col min="5" max="5" width="34.7109375" style="47" customWidth="1"/>
    <col min="6" max="6" width="54.42578125" style="47" customWidth="1"/>
    <col min="7" max="7" width="28.42578125" style="47" customWidth="1"/>
    <col min="8" max="16384" width="11.42578125" style="47"/>
  </cols>
  <sheetData>
    <row r="2" spans="2:7" ht="18">
      <c r="B2" s="46" t="s">
        <v>8</v>
      </c>
    </row>
    <row r="3" spans="2:7">
      <c r="B3" s="50" t="s">
        <v>162</v>
      </c>
    </row>
    <row r="5" spans="2:7">
      <c r="B5" s="47" t="s">
        <v>165</v>
      </c>
    </row>
    <row r="6" spans="2:7">
      <c r="B6" s="51" t="s">
        <v>129</v>
      </c>
      <c r="C6" s="51" t="s">
        <v>174</v>
      </c>
      <c r="D6" s="51" t="s">
        <v>2</v>
      </c>
      <c r="E6" s="51" t="s">
        <v>167</v>
      </c>
      <c r="F6" s="51" t="s">
        <v>6</v>
      </c>
      <c r="G6" s="51" t="s">
        <v>3</v>
      </c>
    </row>
    <row r="8" spans="2:7" ht="21.75" customHeight="1">
      <c r="B8" s="70" t="s">
        <v>5</v>
      </c>
      <c r="C8" s="71">
        <v>0.189</v>
      </c>
      <c r="D8" s="72" t="s">
        <v>7</v>
      </c>
      <c r="E8" s="73" t="s">
        <v>173</v>
      </c>
      <c r="F8" s="74" t="s">
        <v>14</v>
      </c>
      <c r="G8" s="47" t="s">
        <v>9</v>
      </c>
    </row>
    <row r="9" spans="2:7">
      <c r="B9" s="47" t="s">
        <v>10</v>
      </c>
      <c r="C9" s="52">
        <v>9.2999999999999999E-2</v>
      </c>
      <c r="D9" s="53" t="s">
        <v>7</v>
      </c>
      <c r="E9" s="53"/>
      <c r="F9" s="67" t="s">
        <v>12</v>
      </c>
      <c r="G9" s="47" t="s">
        <v>9</v>
      </c>
    </row>
    <row r="10" spans="2:7">
      <c r="B10" s="47" t="s">
        <v>15</v>
      </c>
      <c r="C10" s="52">
        <v>8.4699999999999998E-2</v>
      </c>
      <c r="D10" s="53" t="s">
        <v>7</v>
      </c>
      <c r="E10" s="53"/>
      <c r="F10" s="67" t="s">
        <v>16</v>
      </c>
      <c r="G10" s="47" t="s">
        <v>17</v>
      </c>
    </row>
    <row r="11" spans="2:7">
      <c r="B11" s="47" t="s">
        <v>0</v>
      </c>
      <c r="C11" s="52">
        <v>0.39500000000000002</v>
      </c>
      <c r="D11" s="53" t="s">
        <v>4</v>
      </c>
      <c r="E11" s="53"/>
      <c r="F11" s="67" t="s">
        <v>18</v>
      </c>
      <c r="G11" s="47" t="s">
        <v>19</v>
      </c>
    </row>
    <row r="12" spans="2:7">
      <c r="B12" s="47" t="s">
        <v>168</v>
      </c>
      <c r="C12" s="54">
        <v>1.7000000000000001E-2</v>
      </c>
      <c r="D12" s="53" t="s">
        <v>7</v>
      </c>
      <c r="E12" s="53"/>
      <c r="F12" s="67" t="s">
        <v>98</v>
      </c>
      <c r="G12" s="47" t="s">
        <v>163</v>
      </c>
    </row>
    <row r="13" spans="2:7">
      <c r="B13" s="47" t="s">
        <v>169</v>
      </c>
      <c r="C13" s="54">
        <v>3.6999999999999998E-2</v>
      </c>
      <c r="D13" s="53" t="s">
        <v>7</v>
      </c>
      <c r="F13" s="67" t="s">
        <v>171</v>
      </c>
      <c r="G13" s="47" t="s">
        <v>172</v>
      </c>
    </row>
    <row r="15" spans="2:7" ht="18">
      <c r="B15" s="46" t="s">
        <v>8</v>
      </c>
    </row>
    <row r="16" spans="2:7">
      <c r="B16" s="50" t="s">
        <v>161</v>
      </c>
    </row>
    <row r="18" spans="2:7">
      <c r="B18" s="51" t="s">
        <v>129</v>
      </c>
      <c r="C18" s="51" t="s">
        <v>1</v>
      </c>
      <c r="D18" s="51" t="s">
        <v>2</v>
      </c>
      <c r="E18" s="51"/>
      <c r="F18" s="51" t="s">
        <v>6</v>
      </c>
      <c r="G18" s="51" t="s">
        <v>3</v>
      </c>
    </row>
    <row r="20" spans="2:7">
      <c r="B20" s="47" t="s">
        <v>5</v>
      </c>
      <c r="C20" s="54">
        <v>0.81200000000000006</v>
      </c>
      <c r="D20" s="53" t="s">
        <v>7</v>
      </c>
      <c r="E20" s="53" t="s">
        <v>166</v>
      </c>
      <c r="F20" s="47" t="s">
        <v>11</v>
      </c>
      <c r="G20" s="47" t="s">
        <v>9</v>
      </c>
    </row>
    <row r="21" spans="2:7">
      <c r="B21" s="47" t="s">
        <v>10</v>
      </c>
      <c r="C21" s="54">
        <v>0.45300000000000001</v>
      </c>
      <c r="D21" s="53" t="s">
        <v>7</v>
      </c>
      <c r="E21" s="53"/>
      <c r="F21" s="47" t="s">
        <v>13</v>
      </c>
      <c r="G21" s="47" t="s">
        <v>9</v>
      </c>
    </row>
    <row r="22" spans="2:7">
      <c r="B22" s="47" t="s">
        <v>15</v>
      </c>
      <c r="C22" s="52">
        <v>8.4699999999999998E-2</v>
      </c>
      <c r="D22" s="53" t="s">
        <v>7</v>
      </c>
      <c r="E22" s="53"/>
      <c r="F22" s="47" t="s">
        <v>16</v>
      </c>
      <c r="G22" s="47" t="s">
        <v>17</v>
      </c>
    </row>
    <row r="23" spans="2:7">
      <c r="B23" s="47" t="s">
        <v>0</v>
      </c>
      <c r="C23" s="52">
        <v>0.33300000000000002</v>
      </c>
      <c r="D23" s="53" t="s">
        <v>4</v>
      </c>
      <c r="E23" s="53"/>
      <c r="F23" s="47" t="s">
        <v>18</v>
      </c>
      <c r="G23" s="47" t="s">
        <v>19</v>
      </c>
    </row>
    <row r="24" spans="2:7">
      <c r="B24" s="47" t="s">
        <v>168</v>
      </c>
      <c r="C24" s="54">
        <v>1.7000000000000001E-2</v>
      </c>
      <c r="D24" s="53" t="s">
        <v>7</v>
      </c>
      <c r="E24" s="53"/>
      <c r="F24" s="47" t="s">
        <v>98</v>
      </c>
    </row>
    <row r="25" spans="2:7">
      <c r="B25" s="47" t="s">
        <v>169</v>
      </c>
      <c r="C25" s="54">
        <v>2.5000000000000001E-2</v>
      </c>
      <c r="F25" s="47" t="s">
        <v>171</v>
      </c>
    </row>
    <row r="27" spans="2:7">
      <c r="B27" s="47" t="s">
        <v>127</v>
      </c>
    </row>
    <row r="28" spans="2:7">
      <c r="B28" s="48" t="s">
        <v>128</v>
      </c>
      <c r="C28" s="49"/>
    </row>
    <row r="29" spans="2:7">
      <c r="C29" s="49"/>
    </row>
    <row r="30" spans="2:7">
      <c r="C30" s="49"/>
    </row>
    <row r="31" spans="2:7">
      <c r="C31" s="49"/>
    </row>
    <row r="32" spans="2:7">
      <c r="C32" s="49"/>
    </row>
    <row r="33" spans="3:3">
      <c r="C33" s="49"/>
    </row>
    <row r="34" spans="3:3">
      <c r="C34" s="49"/>
    </row>
    <row r="35" spans="3:3">
      <c r="C35" s="49"/>
    </row>
    <row r="36" spans="3:3">
      <c r="C36" s="49"/>
    </row>
    <row r="37" spans="3:3">
      <c r="C37" s="49"/>
    </row>
    <row r="38" spans="3:3">
      <c r="C38" s="49"/>
    </row>
    <row r="39" spans="3:3">
      <c r="C39" s="49"/>
    </row>
    <row r="40" spans="3:3">
      <c r="C40" s="49"/>
    </row>
    <row r="41" spans="3:3">
      <c r="C41" s="49"/>
    </row>
    <row r="42" spans="3:3">
      <c r="C42" s="49"/>
    </row>
    <row r="43" spans="3:3">
      <c r="C43" s="49"/>
    </row>
    <row r="44" spans="3:3">
      <c r="C44" s="49"/>
    </row>
    <row r="45" spans="3:3">
      <c r="C45" s="49"/>
    </row>
    <row r="46" spans="3:3">
      <c r="C46" s="49"/>
    </row>
    <row r="47" spans="3:3">
      <c r="C47" s="49"/>
    </row>
    <row r="48" spans="3:3">
      <c r="C48" s="49"/>
    </row>
    <row r="49" spans="3:3">
      <c r="C49" s="49"/>
    </row>
    <row r="50" spans="3:3">
      <c r="C50" s="49"/>
    </row>
    <row r="51" spans="3:3">
      <c r="C51" s="49"/>
    </row>
  </sheetData>
  <hyperlinks>
    <hyperlink ref="B2" location="'TCC - TCP'!A1" display="Modelo de impacto de la depreciación del tipo de cambio en la tasa de ganancia del capital manufacturero uruguayo" xr:uid="{72246121-3068-43A8-98B8-2E035232414A}"/>
    <hyperlink ref="F12" location="'Importación Maquinaria'!A1" display="Efecto aumento consumo capital fijo maquinaria importada / consumo de capital fijo" xr:uid="{3593D7C3-B978-42E5-B8EC-E1D7216F7D0C}"/>
    <hyperlink ref="F11" location="Exportaciones!A1" display="Exportaciones / VBP" xr:uid="{58D6EE2A-4C8E-4B1D-8456-1B1792C6C291}"/>
    <hyperlink ref="F10" location="Intereses!A1" display="Intereses pagados / VBP" xr:uid="{B824D14D-0B2B-444F-A8DF-C83097DE399B}"/>
    <hyperlink ref="B28" location="'Diferencia MIP - COU'!A1" display="Diferencia MIP - COU" xr:uid="{A51667D3-9985-4206-8313-C42B3895480D}"/>
    <hyperlink ref="B15" location="'TCC - TCP'!A1" display="Modelo de impacto de la depreciación del tipo de cambio en la tasa de ganancia del capital manufacturero uruguayo" xr:uid="{9EF3FD6D-97B8-4CD7-9717-3EF12E01C09C}"/>
    <hyperlink ref="F9" location="'Masa salarial'!A1" display="Importado / masa salarial manufacturera" xr:uid="{5A4B0ECB-BEB7-471C-978E-A044DBDDD78F}"/>
    <hyperlink ref="F13" location="'Importación Maquinaria'!A1" display="Aumento stock respecto del stock de maquinaria" xr:uid="{BB561F04-16EF-4361-BB24-F4D7D928AB05}"/>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AD57-ABE8-4170-ADD2-9C772EC60B83}">
  <dimension ref="A2:M11"/>
  <sheetViews>
    <sheetView showGridLines="0" tabSelected="1" workbookViewId="0">
      <selection activeCell="G11" sqref="G11"/>
    </sheetView>
  </sheetViews>
  <sheetFormatPr baseColWidth="10" defaultRowHeight="14.25"/>
  <cols>
    <col min="1" max="6" width="11.42578125" style="47"/>
    <col min="7" max="7" width="13" style="47" customWidth="1"/>
    <col min="8" max="9" width="11.42578125" style="47"/>
    <col min="10" max="10" width="14.140625" style="47" customWidth="1"/>
    <col min="11" max="16384" width="11.42578125" style="47"/>
  </cols>
  <sheetData>
    <row r="2" spans="1:13" ht="38.25">
      <c r="A2" s="2" t="s">
        <v>184</v>
      </c>
      <c r="B2" s="2" t="s">
        <v>129</v>
      </c>
      <c r="C2" s="2" t="s">
        <v>190</v>
      </c>
      <c r="D2" s="2" t="s">
        <v>185</v>
      </c>
      <c r="E2" s="2" t="s">
        <v>186</v>
      </c>
      <c r="F2" s="29" t="s">
        <v>187</v>
      </c>
      <c r="G2" s="29" t="s">
        <v>190</v>
      </c>
      <c r="H2" s="29" t="s">
        <v>193</v>
      </c>
      <c r="J2" s="29" t="s">
        <v>194</v>
      </c>
      <c r="K2" s="29" t="s">
        <v>195</v>
      </c>
      <c r="L2" s="91"/>
    </row>
    <row r="3" spans="1:13">
      <c r="A3" s="87">
        <v>2024</v>
      </c>
      <c r="B3" s="47" t="s">
        <v>188</v>
      </c>
      <c r="C3" s="20">
        <v>200</v>
      </c>
      <c r="D3" s="87">
        <v>40.234999999999999</v>
      </c>
      <c r="E3" s="47">
        <v>61.848213999999999</v>
      </c>
      <c r="F3" s="89">
        <f>E3/D3-1</f>
        <v>0.53717445010562948</v>
      </c>
      <c r="G3" s="88">
        <f>-C3*F3</f>
        <v>-107.4348900211259</v>
      </c>
      <c r="H3" s="47" t="s">
        <v>191</v>
      </c>
      <c r="J3" s="47">
        <v>1000</v>
      </c>
      <c r="K3" s="92">
        <f>G3/J3</f>
        <v>-0.1074348900211259</v>
      </c>
      <c r="L3" s="90"/>
      <c r="M3" s="91"/>
    </row>
    <row r="4" spans="1:13">
      <c r="A4" s="87">
        <v>2024</v>
      </c>
      <c r="B4" s="47" t="s">
        <v>189</v>
      </c>
      <c r="C4" s="47">
        <v>100</v>
      </c>
      <c r="D4" s="87">
        <v>40.234999999999999</v>
      </c>
      <c r="E4" s="47">
        <v>61.848213999999999</v>
      </c>
      <c r="F4" s="89">
        <f>E4/D4-1</f>
        <v>0.53717445010562948</v>
      </c>
      <c r="G4" s="89">
        <f>C4*F4</f>
        <v>53.717445010562948</v>
      </c>
      <c r="H4" s="47" t="s">
        <v>192</v>
      </c>
      <c r="J4" s="47">
        <v>1000</v>
      </c>
      <c r="K4" s="92">
        <f>G4/J4</f>
        <v>5.3717445010562949E-2</v>
      </c>
      <c r="L4" s="90"/>
      <c r="M4" s="91"/>
    </row>
    <row r="5" spans="1:13">
      <c r="A5" s="87">
        <v>2024</v>
      </c>
      <c r="B5" s="47" t="s">
        <v>10</v>
      </c>
      <c r="C5" s="47">
        <v>30</v>
      </c>
      <c r="D5" s="87">
        <v>40.234999999999999</v>
      </c>
      <c r="E5" s="47">
        <v>61.848213999999999</v>
      </c>
      <c r="F5" s="89">
        <f>E5/D5-1</f>
        <v>0.53717445010562948</v>
      </c>
      <c r="G5" s="89">
        <f>C5*F5</f>
        <v>16.115233503168884</v>
      </c>
      <c r="H5" s="47" t="s">
        <v>192</v>
      </c>
      <c r="J5" s="47">
        <v>1000</v>
      </c>
      <c r="K5" s="92">
        <f>G5/J5</f>
        <v>1.6115233503168885E-2</v>
      </c>
      <c r="L5" s="90"/>
      <c r="M5" s="91"/>
    </row>
    <row r="6" spans="1:13">
      <c r="L6" s="90"/>
    </row>
    <row r="8" spans="1:13">
      <c r="J8" s="47" t="s">
        <v>184</v>
      </c>
      <c r="K8" s="47" t="s">
        <v>196</v>
      </c>
    </row>
    <row r="9" spans="1:13">
      <c r="J9" s="47">
        <v>2023</v>
      </c>
      <c r="K9" s="93">
        <v>0.02</v>
      </c>
    </row>
    <row r="10" spans="1:13">
      <c r="J10" s="47">
        <v>2024</v>
      </c>
      <c r="K10" s="93">
        <f>SUM(K3:K5)</f>
        <v>-3.7602211507394068E-2</v>
      </c>
    </row>
    <row r="11" spans="1:13">
      <c r="J11" s="47">
        <v>2025</v>
      </c>
      <c r="K11" s="93">
        <v>7.0000000000000007E-2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4944-F9E6-4CF7-924B-FB89C3FFAEEE}">
  <dimension ref="B2:F21"/>
  <sheetViews>
    <sheetView showGridLines="0" workbookViewId="0">
      <selection activeCell="C17" sqref="C17"/>
    </sheetView>
  </sheetViews>
  <sheetFormatPr baseColWidth="10" defaultRowHeight="15"/>
  <cols>
    <col min="2" max="2" width="29.85546875" customWidth="1"/>
    <col min="3" max="3" width="19.42578125" customWidth="1"/>
  </cols>
  <sheetData>
    <row r="2" spans="2:6">
      <c r="B2" s="81" t="s">
        <v>179</v>
      </c>
      <c r="C2" s="81"/>
      <c r="D2" s="81"/>
      <c r="E2" s="81"/>
      <c r="F2" s="81"/>
    </row>
    <row r="3" spans="2:6">
      <c r="B3" s="51" t="s">
        <v>129</v>
      </c>
      <c r="C3" s="51" t="s">
        <v>174</v>
      </c>
      <c r="D3" s="51" t="s">
        <v>2</v>
      </c>
      <c r="E3" s="51" t="s">
        <v>167</v>
      </c>
      <c r="F3" s="51" t="s">
        <v>6</v>
      </c>
    </row>
    <row r="4" spans="2:6" ht="22.5" customHeight="1">
      <c r="B4" s="70" t="s">
        <v>5</v>
      </c>
      <c r="C4" s="71">
        <v>0.18099999999999999</v>
      </c>
      <c r="D4" s="72" t="s">
        <v>7</v>
      </c>
      <c r="E4" s="73" t="s">
        <v>173</v>
      </c>
      <c r="F4" s="74" t="s">
        <v>14</v>
      </c>
    </row>
    <row r="5" spans="2:6">
      <c r="B5" s="47" t="s">
        <v>10</v>
      </c>
      <c r="C5" s="52">
        <v>9.2999999999999999E-2</v>
      </c>
      <c r="D5" s="53" t="s">
        <v>7</v>
      </c>
      <c r="E5" s="53"/>
      <c r="F5" s="67" t="s">
        <v>12</v>
      </c>
    </row>
    <row r="6" spans="2:6">
      <c r="B6" s="47" t="s">
        <v>15</v>
      </c>
      <c r="C6" s="52">
        <v>8.4699999999999998E-2</v>
      </c>
      <c r="D6" s="53" t="s">
        <v>7</v>
      </c>
      <c r="E6" s="53"/>
      <c r="F6" s="67" t="s">
        <v>16</v>
      </c>
    </row>
    <row r="7" spans="2:6">
      <c r="B7" s="47" t="s">
        <v>0</v>
      </c>
      <c r="C7" s="52">
        <v>0.42</v>
      </c>
      <c r="D7" s="53" t="s">
        <v>4</v>
      </c>
      <c r="E7" s="53"/>
      <c r="F7" s="67" t="s">
        <v>18</v>
      </c>
    </row>
    <row r="8" spans="2:6">
      <c r="B8" s="47" t="s">
        <v>168</v>
      </c>
      <c r="C8" s="52">
        <v>7.7000000000000002E-3</v>
      </c>
      <c r="D8" s="53" t="s">
        <v>7</v>
      </c>
      <c r="E8" s="53"/>
      <c r="F8" s="67" t="s">
        <v>98</v>
      </c>
    </row>
    <row r="9" spans="2:6">
      <c r="B9" s="47" t="s">
        <v>169</v>
      </c>
      <c r="C9" s="52">
        <v>8.5000000000000006E-3</v>
      </c>
      <c r="D9" s="53" t="s">
        <v>7</v>
      </c>
      <c r="E9" s="47"/>
      <c r="F9" s="67" t="s">
        <v>171</v>
      </c>
    </row>
    <row r="14" spans="2:6">
      <c r="B14" s="81" t="s">
        <v>180</v>
      </c>
      <c r="C14" s="81"/>
      <c r="D14" s="81"/>
      <c r="E14" s="81"/>
      <c r="F14" s="81"/>
    </row>
    <row r="15" spans="2:6">
      <c r="B15" s="51" t="s">
        <v>129</v>
      </c>
      <c r="C15" s="51" t="s">
        <v>174</v>
      </c>
      <c r="D15" s="51" t="s">
        <v>2</v>
      </c>
      <c r="E15" s="51" t="s">
        <v>167</v>
      </c>
      <c r="F15" s="51" t="s">
        <v>6</v>
      </c>
    </row>
    <row r="16" spans="2:6" ht="18.75" customHeight="1">
      <c r="B16" s="70" t="s">
        <v>5</v>
      </c>
      <c r="C16" s="71">
        <v>0.22700000000000001</v>
      </c>
      <c r="D16" s="72" t="s">
        <v>7</v>
      </c>
      <c r="E16" s="73" t="s">
        <v>173</v>
      </c>
      <c r="F16" s="74" t="s">
        <v>14</v>
      </c>
    </row>
    <row r="17" spans="2:6">
      <c r="B17" s="47" t="s">
        <v>10</v>
      </c>
      <c r="C17" s="52">
        <v>9.2999999999999999E-2</v>
      </c>
      <c r="D17" s="53" t="s">
        <v>7</v>
      </c>
      <c r="E17" s="53"/>
      <c r="F17" s="67" t="s">
        <v>12</v>
      </c>
    </row>
    <row r="18" spans="2:6">
      <c r="B18" s="47" t="s">
        <v>15</v>
      </c>
      <c r="C18" s="52">
        <v>8.4699999999999998E-2</v>
      </c>
      <c r="D18" s="53" t="s">
        <v>7</v>
      </c>
      <c r="E18" s="53"/>
      <c r="F18" s="67" t="s">
        <v>16</v>
      </c>
    </row>
    <row r="19" spans="2:6">
      <c r="B19" s="47" t="s">
        <v>0</v>
      </c>
      <c r="C19" s="52">
        <v>0.107</v>
      </c>
      <c r="D19" s="53" t="s">
        <v>4</v>
      </c>
      <c r="E19" s="53"/>
      <c r="F19" s="67" t="s">
        <v>18</v>
      </c>
    </row>
    <row r="20" spans="2:6">
      <c r="B20" s="47" t="s">
        <v>168</v>
      </c>
      <c r="C20" s="52">
        <v>1.06E-2</v>
      </c>
      <c r="D20" s="53" t="s">
        <v>7</v>
      </c>
      <c r="E20" s="53"/>
      <c r="F20" s="67" t="s">
        <v>98</v>
      </c>
    </row>
    <row r="21" spans="2:6">
      <c r="B21" s="47" t="s">
        <v>169</v>
      </c>
      <c r="C21" s="52">
        <v>1.8100000000000002E-2</v>
      </c>
      <c r="D21" s="53" t="s">
        <v>7</v>
      </c>
      <c r="E21" s="47"/>
      <c r="F21" s="67" t="s">
        <v>171</v>
      </c>
    </row>
  </sheetData>
  <hyperlinks>
    <hyperlink ref="F8" location="'Importación Maquinaria'!A1" display="Efecto aumento consumo capital fijo maquinaria importada / consumo de capital fijo" xr:uid="{00A37012-51D7-4D2A-9871-D9A7065D8C53}"/>
    <hyperlink ref="F7" location="Exportaciones!A1" display="Exportaciones / VBP" xr:uid="{5C028533-7C8B-4F97-B379-562741150D39}"/>
    <hyperlink ref="F6" location="Intereses!A1" display="Intereses pagados / VBP" xr:uid="{765B06D1-BD7D-4E19-96F6-EE0129DA4B01}"/>
    <hyperlink ref="F5" location="'Masa salarial'!A1" display="Importado / masa salarial manufacturera" xr:uid="{ABA6FD52-1310-4665-B53A-F3EDF8211477}"/>
    <hyperlink ref="F9" location="'Importación Maquinaria'!A1" display="Aumento stock respecto del stock de maquinaria" xr:uid="{F3EE43B7-D439-470B-B09C-C405A565A0D8}"/>
    <hyperlink ref="F20" location="'Importación Maquinaria'!A1" display="Efecto aumento consumo capital fijo maquinaria importada / consumo de capital fijo" xr:uid="{A4A0F5B5-C551-4B7A-9CFA-A37820FC01C4}"/>
    <hyperlink ref="F19" location="Exportaciones!A1" display="Exportaciones / VBP" xr:uid="{2549AF48-3E3A-4483-8163-6816735FE37E}"/>
    <hyperlink ref="F18" location="Intereses!A1" display="Intereses pagados / VBP" xr:uid="{75E92730-C5B2-4913-AF84-BDA0D5D92626}"/>
    <hyperlink ref="F17" location="'Masa salarial'!A1" display="Importado / masa salarial manufacturera" xr:uid="{7051FD1A-8F7D-47D8-82A7-C3D6DB1A1F50}"/>
    <hyperlink ref="F21" location="'Importación Maquinaria'!A1" display="Aumento stock respecto del stock de maquinaria" xr:uid="{4B3DA889-D20A-430E-9704-D167B3BD9B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370F-198D-4AA3-A7E3-8251830EA13D}">
  <dimension ref="B2:G30"/>
  <sheetViews>
    <sheetView showGridLines="0" workbookViewId="0">
      <selection activeCell="E10" sqref="E10"/>
    </sheetView>
  </sheetViews>
  <sheetFormatPr baseColWidth="10" defaultRowHeight="15"/>
  <cols>
    <col min="2" max="2" width="29.85546875" customWidth="1"/>
    <col min="3" max="3" width="19.42578125" customWidth="1"/>
  </cols>
  <sheetData>
    <row r="2" spans="2:7">
      <c r="B2" s="81" t="s">
        <v>179</v>
      </c>
      <c r="C2" s="81"/>
      <c r="D2" s="81"/>
      <c r="E2" s="81"/>
      <c r="F2" s="81"/>
    </row>
    <row r="3" spans="2:7">
      <c r="B3" s="51" t="s">
        <v>129</v>
      </c>
      <c r="C3" s="51" t="s">
        <v>174</v>
      </c>
      <c r="D3" s="51" t="s">
        <v>2</v>
      </c>
      <c r="E3" s="51" t="s">
        <v>167</v>
      </c>
      <c r="F3" s="51" t="s">
        <v>6</v>
      </c>
      <c r="G3" s="51" t="s">
        <v>3</v>
      </c>
    </row>
    <row r="4" spans="2:7" ht="22.5" customHeight="1">
      <c r="B4" s="70" t="s">
        <v>5</v>
      </c>
      <c r="C4" s="52">
        <v>0.82</v>
      </c>
      <c r="D4" s="72" t="s">
        <v>7</v>
      </c>
      <c r="E4" s="73" t="s">
        <v>173</v>
      </c>
      <c r="F4" s="74" t="s">
        <v>14</v>
      </c>
    </row>
    <row r="5" spans="2:7">
      <c r="B5" s="47" t="s">
        <v>10</v>
      </c>
      <c r="C5" s="52">
        <v>0.13300000000000001</v>
      </c>
      <c r="D5" s="53" t="s">
        <v>7</v>
      </c>
      <c r="E5" s="53"/>
      <c r="F5" s="67" t="s">
        <v>13</v>
      </c>
    </row>
    <row r="6" spans="2:7">
      <c r="B6" s="47" t="s">
        <v>15</v>
      </c>
      <c r="C6" s="52">
        <v>8.4699999999999998E-2</v>
      </c>
      <c r="D6" s="53" t="s">
        <v>7</v>
      </c>
      <c r="E6" s="53"/>
      <c r="F6" s="67" t="s">
        <v>16</v>
      </c>
    </row>
    <row r="7" spans="2:7">
      <c r="B7" s="47" t="s">
        <v>0</v>
      </c>
      <c r="C7" s="52">
        <v>0.97199999999999998</v>
      </c>
      <c r="D7" s="53" t="s">
        <v>4</v>
      </c>
      <c r="E7" s="53"/>
      <c r="F7" s="67" t="s">
        <v>18</v>
      </c>
    </row>
    <row r="8" spans="2:7">
      <c r="B8" s="47" t="s">
        <v>168</v>
      </c>
      <c r="C8" s="52">
        <v>7.7000000000000002E-3</v>
      </c>
      <c r="D8" s="53" t="s">
        <v>7</v>
      </c>
      <c r="E8" s="53"/>
      <c r="F8" s="67" t="s">
        <v>98</v>
      </c>
    </row>
    <row r="9" spans="2:7">
      <c r="B9" s="47" t="s">
        <v>169</v>
      </c>
      <c r="C9" s="52">
        <v>8.5000000000000006E-3</v>
      </c>
      <c r="D9" s="53" t="s">
        <v>7</v>
      </c>
      <c r="E9" s="47"/>
      <c r="F9" s="67" t="s">
        <v>171</v>
      </c>
    </row>
    <row r="14" spans="2:7">
      <c r="B14" s="81" t="s">
        <v>180</v>
      </c>
      <c r="C14" s="81"/>
      <c r="D14" s="81"/>
      <c r="E14" s="81"/>
      <c r="F14" s="81"/>
    </row>
    <row r="15" spans="2:7">
      <c r="B15" s="51" t="s">
        <v>129</v>
      </c>
      <c r="C15" s="51" t="s">
        <v>174</v>
      </c>
      <c r="D15" s="51" t="s">
        <v>2</v>
      </c>
      <c r="E15" s="51" t="s">
        <v>167</v>
      </c>
      <c r="F15" s="51" t="s">
        <v>6</v>
      </c>
    </row>
    <row r="16" spans="2:7" ht="18.75" customHeight="1">
      <c r="B16" s="70" t="s">
        <v>5</v>
      </c>
      <c r="C16" s="52">
        <v>0.76400000000000001</v>
      </c>
      <c r="D16" s="72" t="s">
        <v>7</v>
      </c>
      <c r="E16" s="73" t="s">
        <v>173</v>
      </c>
      <c r="F16" s="74" t="s">
        <v>14</v>
      </c>
    </row>
    <row r="17" spans="2:6">
      <c r="B17" s="47" t="s">
        <v>10</v>
      </c>
      <c r="C17" s="52">
        <v>8.3000000000000004E-2</v>
      </c>
      <c r="D17" s="53" t="s">
        <v>7</v>
      </c>
      <c r="E17" s="53"/>
      <c r="F17" s="67" t="s">
        <v>13</v>
      </c>
    </row>
    <row r="18" spans="2:6">
      <c r="B18" s="47" t="s">
        <v>15</v>
      </c>
      <c r="C18" s="52">
        <v>8.4699999999999998E-2</v>
      </c>
      <c r="D18" s="53" t="s">
        <v>7</v>
      </c>
      <c r="E18" s="53"/>
      <c r="F18" s="67" t="s">
        <v>16</v>
      </c>
    </row>
    <row r="19" spans="2:6">
      <c r="B19" s="47" t="s">
        <v>0</v>
      </c>
      <c r="C19" s="52">
        <v>0.92400000000000004</v>
      </c>
      <c r="D19" s="53" t="s">
        <v>4</v>
      </c>
      <c r="E19" s="53"/>
      <c r="F19" s="67" t="s">
        <v>18</v>
      </c>
    </row>
    <row r="20" spans="2:6">
      <c r="B20" s="47" t="s">
        <v>168</v>
      </c>
      <c r="C20" s="52">
        <v>1.06E-2</v>
      </c>
      <c r="D20" s="53" t="s">
        <v>7</v>
      </c>
      <c r="E20" s="53"/>
      <c r="F20" s="67" t="s">
        <v>98</v>
      </c>
    </row>
    <row r="21" spans="2:6">
      <c r="B21" s="47" t="s">
        <v>169</v>
      </c>
      <c r="C21" s="52">
        <v>1.8100000000000002E-2</v>
      </c>
      <c r="D21" s="53" t="s">
        <v>7</v>
      </c>
      <c r="E21" s="47"/>
      <c r="F21" s="67" t="s">
        <v>171</v>
      </c>
    </row>
    <row r="26" spans="2:6">
      <c r="B26" t="s">
        <v>182</v>
      </c>
    </row>
    <row r="27" spans="2:6">
      <c r="B27" t="s">
        <v>10</v>
      </c>
    </row>
    <row r="28" spans="2:6">
      <c r="B28" s="86" t="s">
        <v>181</v>
      </c>
    </row>
    <row r="29" spans="2:6">
      <c r="B29" t="s">
        <v>5</v>
      </c>
    </row>
    <row r="30" spans="2:6">
      <c r="B30" s="86" t="s">
        <v>183</v>
      </c>
    </row>
  </sheetData>
  <hyperlinks>
    <hyperlink ref="F8" location="'Importación Maquinaria'!A1" display="Efecto aumento consumo capital fijo maquinaria importada / consumo de capital fijo" xr:uid="{D300C7EE-6CD0-4998-8E0E-73400C61825A}"/>
    <hyperlink ref="F7" location="Exportaciones!A1" display="Exportaciones / VBP" xr:uid="{26522A2F-3227-4099-9BA5-A2C9C6A20284}"/>
    <hyperlink ref="F6" location="Intereses!A1" display="Intereses pagados / VBP" xr:uid="{AFA8876B-A8D1-46BA-AC47-62E4002FD0CE}"/>
    <hyperlink ref="F5" location="'Masa salarial'!A1" display="Importado / masa salarial manufacturera" xr:uid="{384061E8-DF8D-4279-9DE9-ECB2DB6D0BE0}"/>
    <hyperlink ref="F9" location="'Importación Maquinaria'!A1" display="Aumento stock respecto del stock de maquinaria" xr:uid="{B5F39209-D43E-4791-9EF2-E1329030A184}"/>
    <hyperlink ref="F20" location="'Importación Maquinaria'!A1" display="Efecto aumento consumo capital fijo maquinaria importada / consumo de capital fijo" xr:uid="{3771A00C-A861-47BE-AB0F-C11DF585442F}"/>
    <hyperlink ref="F19" location="Exportaciones!A1" display="Exportaciones / VBP" xr:uid="{BC425EF6-4CDD-4DA6-9DF9-48D68F4C636D}"/>
    <hyperlink ref="F18" location="Intereses!A1" display="Intereses pagados / VBP" xr:uid="{C849E2AA-171E-4397-91D6-BA5A7C96B1FF}"/>
    <hyperlink ref="F17" location="'Masa salarial'!A1" display="Importado / masa salarial manufacturera" xr:uid="{212BAAB1-4CA3-4F35-B423-26EDD4AAFF84}"/>
    <hyperlink ref="F21" location="'Importación Maquinaria'!A1" display="Aumento stock respecto del stock de maquinaria" xr:uid="{96836F4A-DB27-411F-A6C1-45A415A19932}"/>
    <hyperlink ref="B28" r:id="rId1" location="gid=1825138045 " xr:uid="{2AA52CF2-9F35-4AB7-8EFC-1FEEC4FC594A}"/>
    <hyperlink ref="B30" r:id="rId2" location="gid=1371237672 " xr:uid="{A617560D-9979-4B89-88F7-6470D90734E5}"/>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EDF3E-8649-4CAC-8443-C3577C8C6B53}">
  <dimension ref="B1:M30"/>
  <sheetViews>
    <sheetView showGridLines="0" workbookViewId="0">
      <pane xSplit="1" ySplit="3" topLeftCell="B13" activePane="bottomRight" state="frozen"/>
      <selection pane="topRight" activeCell="B1" sqref="B1"/>
      <selection pane="bottomLeft" activeCell="A4" sqref="A4"/>
      <selection pane="bottomRight" activeCell="D3" sqref="D3"/>
    </sheetView>
  </sheetViews>
  <sheetFormatPr baseColWidth="10" defaultRowHeight="15"/>
  <sheetData>
    <row r="1" spans="2:13" ht="18">
      <c r="C1" s="30" t="s">
        <v>164</v>
      </c>
    </row>
    <row r="3" spans="2:13" ht="25.5">
      <c r="C3" s="2" t="s">
        <v>20</v>
      </c>
      <c r="D3" s="2" t="s">
        <v>21</v>
      </c>
      <c r="E3" s="2" t="s">
        <v>175</v>
      </c>
      <c r="F3" s="21" t="s">
        <v>176</v>
      </c>
      <c r="G3" s="21" t="s">
        <v>178</v>
      </c>
      <c r="H3" s="21"/>
      <c r="I3" s="21"/>
      <c r="J3" s="21" t="s">
        <v>177</v>
      </c>
    </row>
    <row r="4" spans="2:13">
      <c r="B4" s="20">
        <v>2000</v>
      </c>
      <c r="C4" s="5">
        <v>12.114924999999999</v>
      </c>
      <c r="D4" s="5">
        <v>17.830572</v>
      </c>
      <c r="E4" s="24">
        <f>D4/C4-1</f>
        <v>0.47178558678654636</v>
      </c>
      <c r="F4" s="79">
        <f>D4/C4</f>
        <v>1.4717855867865464</v>
      </c>
      <c r="G4" s="79"/>
      <c r="H4" s="79"/>
      <c r="I4" s="79"/>
      <c r="J4" s="28">
        <f>C4*E4</f>
        <v>5.7156469999999997</v>
      </c>
      <c r="K4" s="28">
        <f>J4+C4</f>
        <v>17.830572</v>
      </c>
      <c r="M4" s="28">
        <f>C4*F4</f>
        <v>17.830572</v>
      </c>
    </row>
    <row r="5" spans="2:13">
      <c r="B5" s="20">
        <v>2001</v>
      </c>
      <c r="C5" s="5">
        <v>13.408852</v>
      </c>
      <c r="D5" s="5">
        <v>19.078999</v>
      </c>
      <c r="E5" s="24">
        <f t="shared" ref="E5:E28" si="0">D5/C5-1</f>
        <v>0.42286595452019315</v>
      </c>
      <c r="F5" s="79">
        <f t="shared" ref="F5:F28" si="1">D5/C5</f>
        <v>1.4228659545201932</v>
      </c>
      <c r="G5" s="80">
        <v>0.28460835851101435</v>
      </c>
      <c r="H5" s="79"/>
      <c r="I5" s="79"/>
    </row>
    <row r="6" spans="2:13">
      <c r="B6" s="20">
        <v>2002</v>
      </c>
      <c r="C6" s="5">
        <v>21.587268000000002</v>
      </c>
      <c r="D6" s="5">
        <v>22.652647000000002</v>
      </c>
      <c r="E6" s="24">
        <f t="shared" si="0"/>
        <v>4.9352192227381408E-2</v>
      </c>
      <c r="F6" s="79">
        <f t="shared" si="1"/>
        <v>1.0493521922273814</v>
      </c>
      <c r="G6" s="80">
        <v>0.34834259074438767</v>
      </c>
      <c r="H6" s="79"/>
      <c r="I6" s="79"/>
    </row>
    <row r="7" spans="2:13">
      <c r="B7" s="20">
        <v>2003</v>
      </c>
      <c r="C7" s="5">
        <v>28.369938999999999</v>
      </c>
      <c r="D7" s="5">
        <v>26.367311999999998</v>
      </c>
      <c r="E7" s="24">
        <f t="shared" si="0"/>
        <v>-7.0589753471094863E-2</v>
      </c>
      <c r="F7" s="79">
        <f t="shared" si="1"/>
        <v>0.92941024652890514</v>
      </c>
      <c r="G7" s="80">
        <v>0.40834628953989777</v>
      </c>
      <c r="H7" s="79"/>
      <c r="I7" s="79"/>
    </row>
    <row r="8" spans="2:13">
      <c r="B8" s="20">
        <v>2004</v>
      </c>
      <c r="C8" s="5">
        <v>28.703792</v>
      </c>
      <c r="D8" s="5">
        <v>29.122845999999999</v>
      </c>
      <c r="E8" s="24">
        <f t="shared" si="0"/>
        <v>1.4599255735966876E-2</v>
      </c>
      <c r="F8" s="79">
        <f t="shared" si="1"/>
        <v>1.0145992557359669</v>
      </c>
      <c r="G8" s="80">
        <v>0.44131203719992446</v>
      </c>
      <c r="H8" s="79"/>
      <c r="I8" s="79"/>
    </row>
    <row r="9" spans="2:13">
      <c r="B9" s="20">
        <v>2005</v>
      </c>
      <c r="C9" s="5">
        <v>24.478579</v>
      </c>
      <c r="D9" s="5">
        <v>28.325216999999999</v>
      </c>
      <c r="E9" s="24">
        <f t="shared" si="0"/>
        <v>0.15714302697064242</v>
      </c>
      <c r="F9" s="79">
        <f t="shared" si="1"/>
        <v>1.1571430269706424</v>
      </c>
      <c r="G9" s="80">
        <v>0.34889623382713192</v>
      </c>
      <c r="H9" s="79"/>
      <c r="I9" s="79"/>
    </row>
    <row r="10" spans="2:13">
      <c r="B10" s="20">
        <v>2006</v>
      </c>
      <c r="C10" s="5">
        <v>24.073374000000001</v>
      </c>
      <c r="D10" s="5">
        <v>29.954262</v>
      </c>
      <c r="E10" s="24">
        <f t="shared" si="0"/>
        <v>0.24429014395738613</v>
      </c>
      <c r="F10" s="79">
        <f t="shared" si="1"/>
        <v>1.2442901439573861</v>
      </c>
      <c r="G10" s="80">
        <v>0.49998349460013031</v>
      </c>
      <c r="H10" s="79"/>
      <c r="I10" s="79"/>
    </row>
    <row r="11" spans="2:13">
      <c r="B11" s="20">
        <v>2007</v>
      </c>
      <c r="C11" s="5">
        <v>23.471036000000002</v>
      </c>
      <c r="D11" s="5">
        <v>30.861639</v>
      </c>
      <c r="E11" s="24">
        <f t="shared" si="0"/>
        <v>0.31488183989833241</v>
      </c>
      <c r="F11" s="79">
        <f t="shared" si="1"/>
        <v>1.3148818398983324</v>
      </c>
      <c r="G11" s="80">
        <v>0.42429764786563906</v>
      </c>
      <c r="H11" s="79"/>
      <c r="I11" s="79"/>
    </row>
    <row r="12" spans="2:13">
      <c r="B12" s="20">
        <v>2008</v>
      </c>
      <c r="C12" s="5">
        <v>20.949345000000001</v>
      </c>
      <c r="D12" s="5">
        <v>30.471964</v>
      </c>
      <c r="E12" s="24">
        <f t="shared" si="0"/>
        <v>0.45455449800459147</v>
      </c>
      <c r="F12" s="79">
        <f t="shared" si="1"/>
        <v>1.4545544980045915</v>
      </c>
      <c r="G12" s="80">
        <v>0.43855249708647037</v>
      </c>
      <c r="H12" s="79"/>
      <c r="I12" s="79"/>
    </row>
    <row r="13" spans="2:13">
      <c r="B13" s="20">
        <v>2009</v>
      </c>
      <c r="C13" s="5">
        <v>22.567971</v>
      </c>
      <c r="D13" s="5">
        <v>32.276463</v>
      </c>
      <c r="E13" s="24">
        <f t="shared" si="0"/>
        <v>0.43018896116093019</v>
      </c>
      <c r="F13" s="79">
        <f t="shared" si="1"/>
        <v>1.4301889611609302</v>
      </c>
      <c r="G13" s="80">
        <v>0.4388624526209251</v>
      </c>
      <c r="H13" s="79"/>
      <c r="I13" s="79"/>
    </row>
    <row r="14" spans="2:13">
      <c r="B14" s="20">
        <v>2010</v>
      </c>
      <c r="C14" s="5">
        <v>20.059238000000001</v>
      </c>
      <c r="D14" s="5">
        <v>32.828747999999997</v>
      </c>
      <c r="E14" s="24">
        <f t="shared" si="0"/>
        <v>0.63658998412601697</v>
      </c>
      <c r="F14" s="79">
        <f t="shared" si="1"/>
        <v>1.636589984126017</v>
      </c>
      <c r="G14" s="80">
        <v>0.41892363666253929</v>
      </c>
      <c r="H14" s="79"/>
      <c r="I14" s="79"/>
    </row>
    <row r="15" spans="2:13">
      <c r="B15" s="20">
        <v>2011</v>
      </c>
      <c r="C15" s="5">
        <v>19.314209000000002</v>
      </c>
      <c r="D15" s="5">
        <v>34.651024999999997</v>
      </c>
      <c r="E15" s="24">
        <f t="shared" si="0"/>
        <v>0.79406907111753799</v>
      </c>
      <c r="F15" s="79">
        <f t="shared" si="1"/>
        <v>1.794069071117538</v>
      </c>
      <c r="G15" s="80">
        <v>0.43893667453321772</v>
      </c>
      <c r="H15" s="79"/>
      <c r="I15" s="79"/>
    </row>
    <row r="16" spans="2:13">
      <c r="B16" s="20">
        <v>2012</v>
      </c>
      <c r="C16" s="5">
        <v>20.310164</v>
      </c>
      <c r="D16" s="5">
        <v>35.243068000000001</v>
      </c>
      <c r="E16" s="24">
        <f t="shared" si="0"/>
        <v>0.73524290596570263</v>
      </c>
      <c r="F16" s="79">
        <f t="shared" si="1"/>
        <v>1.7352429059657026</v>
      </c>
      <c r="G16" s="80">
        <v>0.40940176603651685</v>
      </c>
      <c r="H16" s="79"/>
      <c r="I16" s="79"/>
    </row>
    <row r="17" spans="2:9">
      <c r="B17" s="20">
        <v>2013</v>
      </c>
      <c r="C17" s="5">
        <v>20.481618000000001</v>
      </c>
      <c r="D17" s="5">
        <v>35.991435000000003</v>
      </c>
      <c r="E17" s="24">
        <f t="shared" si="0"/>
        <v>0.75725545706398778</v>
      </c>
      <c r="F17" s="79">
        <f t="shared" si="1"/>
        <v>1.7572554570639878</v>
      </c>
      <c r="G17" s="80">
        <v>0.38728306688080694</v>
      </c>
      <c r="H17" s="79"/>
      <c r="I17" s="79"/>
    </row>
    <row r="18" spans="2:9">
      <c r="B18" s="20">
        <v>2014</v>
      </c>
      <c r="C18" s="5">
        <v>23.246061000000001</v>
      </c>
      <c r="D18" s="5">
        <v>38.372773000000002</v>
      </c>
      <c r="E18" s="24">
        <f t="shared" si="0"/>
        <v>0.65072151363622432</v>
      </c>
      <c r="F18" s="79">
        <f t="shared" si="1"/>
        <v>1.6507215136362243</v>
      </c>
      <c r="G18" s="80">
        <v>0.39717052779537015</v>
      </c>
      <c r="H18" s="79"/>
      <c r="I18" s="79"/>
    </row>
    <row r="19" spans="2:9">
      <c r="B19" s="20">
        <v>2015</v>
      </c>
      <c r="C19" s="5">
        <v>27.327226</v>
      </c>
      <c r="D19" s="5">
        <v>41.149155999999998</v>
      </c>
      <c r="E19" s="24">
        <f t="shared" si="0"/>
        <v>0.50579337983299144</v>
      </c>
      <c r="F19" s="79">
        <f t="shared" si="1"/>
        <v>1.5057933798329914</v>
      </c>
      <c r="G19" s="80">
        <v>0.41913278377797447</v>
      </c>
      <c r="H19" s="79"/>
      <c r="I19" s="79"/>
    </row>
    <row r="20" spans="2:9">
      <c r="B20" s="20">
        <v>2016</v>
      </c>
      <c r="C20" s="5">
        <v>30.162600000000001</v>
      </c>
      <c r="D20" s="5">
        <v>44.043940999999997</v>
      </c>
      <c r="E20" s="24">
        <f t="shared" si="0"/>
        <v>0.46021699057773513</v>
      </c>
      <c r="F20" s="79">
        <f t="shared" si="1"/>
        <v>1.4602169905777351</v>
      </c>
      <c r="G20" s="80">
        <v>0.42511183352414034</v>
      </c>
      <c r="H20" s="79"/>
      <c r="I20" s="79"/>
    </row>
    <row r="21" spans="2:9">
      <c r="B21" s="20">
        <v>2017</v>
      </c>
      <c r="C21" s="5">
        <v>28.65</v>
      </c>
      <c r="D21" s="5">
        <v>44.520021999999997</v>
      </c>
      <c r="E21" s="24">
        <f t="shared" si="0"/>
        <v>0.55392746945898774</v>
      </c>
      <c r="F21" s="79">
        <f t="shared" si="1"/>
        <v>1.5539274694589877</v>
      </c>
      <c r="G21" s="80">
        <v>0.43016951215011334</v>
      </c>
      <c r="H21" s="79"/>
      <c r="I21" s="79"/>
    </row>
    <row r="22" spans="2:9">
      <c r="B22" s="20">
        <v>2018</v>
      </c>
      <c r="C22" s="5">
        <v>30.77</v>
      </c>
      <c r="D22" s="5">
        <v>47.589359999999999</v>
      </c>
      <c r="E22" s="24">
        <f t="shared" si="0"/>
        <v>0.54661553461163481</v>
      </c>
      <c r="F22" s="79">
        <f t="shared" si="1"/>
        <v>1.5466155346116348</v>
      </c>
      <c r="G22" s="80">
        <v>0.42484750141574157</v>
      </c>
      <c r="H22" s="79"/>
      <c r="I22" s="79"/>
    </row>
    <row r="23" spans="2:9">
      <c r="B23" s="20">
        <v>2019</v>
      </c>
      <c r="C23" s="5">
        <v>35.299999999999997</v>
      </c>
      <c r="D23" s="5">
        <v>50.391058999999998</v>
      </c>
      <c r="E23" s="24">
        <f t="shared" si="0"/>
        <v>0.42750875354107665</v>
      </c>
      <c r="F23" s="79">
        <f t="shared" si="1"/>
        <v>1.4275087535410766</v>
      </c>
      <c r="G23" s="80">
        <v>0.44703264988503499</v>
      </c>
      <c r="H23" s="79"/>
      <c r="I23" s="79"/>
    </row>
    <row r="24" spans="2:9">
      <c r="B24" s="20">
        <v>2020</v>
      </c>
      <c r="C24" s="5">
        <v>42</v>
      </c>
      <c r="D24" s="5">
        <v>57.605680999999997</v>
      </c>
      <c r="E24" s="24">
        <f t="shared" si="0"/>
        <v>0.37156383333333332</v>
      </c>
      <c r="F24" s="79">
        <f t="shared" si="1"/>
        <v>1.3715638333333333</v>
      </c>
      <c r="G24" s="80">
        <v>0.46026071299938642</v>
      </c>
      <c r="H24" s="79"/>
      <c r="I24" s="79"/>
    </row>
    <row r="25" spans="2:9">
      <c r="B25" s="20">
        <v>2021</v>
      </c>
      <c r="C25" s="5">
        <v>43.56</v>
      </c>
      <c r="D25" s="5">
        <v>58.976208</v>
      </c>
      <c r="E25" s="24">
        <f t="shared" si="0"/>
        <v>0.3539074380165288</v>
      </c>
      <c r="F25" s="79">
        <f t="shared" si="1"/>
        <v>1.3539074380165288</v>
      </c>
      <c r="G25" s="80">
        <v>0.52357997344165752</v>
      </c>
      <c r="H25" s="79"/>
      <c r="I25" s="79"/>
    </row>
    <row r="26" spans="2:9">
      <c r="B26" s="20">
        <v>2022</v>
      </c>
      <c r="C26" s="5">
        <v>41.3</v>
      </c>
      <c r="D26" s="5">
        <v>58.134197</v>
      </c>
      <c r="E26" s="24">
        <f t="shared" si="0"/>
        <v>0.40760767554479438</v>
      </c>
      <c r="F26" s="79">
        <f t="shared" si="1"/>
        <v>1.4076076755447944</v>
      </c>
      <c r="G26" s="80">
        <v>0.47644441403649712</v>
      </c>
      <c r="H26" s="79"/>
      <c r="I26" s="79"/>
    </row>
    <row r="27" spans="2:9">
      <c r="B27" s="20">
        <v>2023</v>
      </c>
      <c r="C27" s="5">
        <v>38.695</v>
      </c>
      <c r="D27" s="5">
        <v>60.006461000000002</v>
      </c>
      <c r="E27" s="24">
        <f t="shared" si="0"/>
        <v>0.55075490373433267</v>
      </c>
      <c r="F27" s="79">
        <f t="shared" si="1"/>
        <v>1.5507549037343327</v>
      </c>
      <c r="G27" s="80">
        <v>0.46207367213865569</v>
      </c>
      <c r="H27" s="79"/>
      <c r="I27" s="79"/>
    </row>
    <row r="28" spans="2:9">
      <c r="B28" s="20">
        <v>2024</v>
      </c>
      <c r="C28" s="5">
        <v>40.234999999999999</v>
      </c>
      <c r="D28" s="5">
        <v>61.848213999999999</v>
      </c>
      <c r="E28" s="24">
        <f t="shared" si="0"/>
        <v>0.53717445010562948</v>
      </c>
      <c r="F28" s="79">
        <f t="shared" si="1"/>
        <v>1.5371744501056295</v>
      </c>
      <c r="G28" s="80">
        <v>0.4833685527412751</v>
      </c>
      <c r="H28" s="79"/>
      <c r="I28" s="79"/>
    </row>
    <row r="30" spans="2:9">
      <c r="C30"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A464-64AE-4626-87D8-979B3FE666C8}">
  <sheetPr>
    <outlinePr summaryBelow="0" summaryRight="0"/>
  </sheetPr>
  <dimension ref="A1:G1001"/>
  <sheetViews>
    <sheetView workbookViewId="0">
      <pane xSplit="2" ySplit="6" topLeftCell="E10" activePane="bottomRight" state="frozen"/>
      <selection pane="topRight" activeCell="C1" sqref="C1"/>
      <selection pane="bottomLeft" activeCell="A7" sqref="A7"/>
      <selection pane="bottomRight" activeCell="B26" sqref="B26"/>
    </sheetView>
  </sheetViews>
  <sheetFormatPr baseColWidth="10" defaultColWidth="14.42578125" defaultRowHeight="15" customHeight="1"/>
  <cols>
    <col min="2" max="2" width="46.28515625" customWidth="1"/>
    <col min="3" max="3" width="17.42578125" customWidth="1"/>
    <col min="4" max="4" width="24.28515625" customWidth="1"/>
    <col min="5" max="5" width="26.5703125" customWidth="1"/>
    <col min="6" max="6" width="34.28515625" customWidth="1"/>
    <col min="7" max="7" width="41.42578125" customWidth="1"/>
  </cols>
  <sheetData>
    <row r="1" spans="1:7" ht="18">
      <c r="A1" s="30" t="s">
        <v>101</v>
      </c>
      <c r="B1" s="31"/>
      <c r="C1" s="31"/>
      <c r="D1" s="31"/>
      <c r="E1" s="31"/>
      <c r="F1" s="31"/>
      <c r="G1" s="31"/>
    </row>
    <row r="2" spans="1:7">
      <c r="A2" s="32" t="s">
        <v>102</v>
      </c>
      <c r="B2" s="31"/>
      <c r="C2" s="31"/>
      <c r="D2" s="31"/>
      <c r="E2" s="31"/>
      <c r="F2" s="31"/>
      <c r="G2" s="31"/>
    </row>
    <row r="3" spans="1:7">
      <c r="A3" s="55" t="s">
        <v>130</v>
      </c>
      <c r="B3" s="31"/>
      <c r="C3" s="31"/>
      <c r="D3" s="31"/>
      <c r="E3" s="31"/>
      <c r="F3" s="31"/>
      <c r="G3" s="31"/>
    </row>
    <row r="4" spans="1:7">
      <c r="A4" s="31"/>
      <c r="B4" s="31"/>
      <c r="C4" s="31"/>
      <c r="D4" s="31"/>
      <c r="E4" s="31"/>
      <c r="F4" s="31"/>
      <c r="G4" s="31"/>
    </row>
    <row r="5" spans="1:7" s="85" customFormat="1" ht="69" customHeight="1">
      <c r="A5" s="84" t="s">
        <v>3</v>
      </c>
      <c r="B5" s="84" t="s">
        <v>103</v>
      </c>
      <c r="C5" s="84" t="s">
        <v>104</v>
      </c>
      <c r="D5" s="84" t="s">
        <v>105</v>
      </c>
      <c r="E5" s="84" t="s">
        <v>106</v>
      </c>
      <c r="F5" s="84" t="s">
        <v>107</v>
      </c>
      <c r="G5" s="84" t="s">
        <v>108</v>
      </c>
    </row>
    <row r="6" spans="1:7">
      <c r="A6" s="33" t="s">
        <v>109</v>
      </c>
      <c r="B6" s="33" t="s">
        <v>110</v>
      </c>
      <c r="C6" s="34"/>
      <c r="D6" s="34"/>
      <c r="E6" s="34"/>
      <c r="F6" s="34"/>
      <c r="G6" s="34"/>
    </row>
    <row r="7" spans="1:7">
      <c r="A7" s="35"/>
      <c r="B7" s="36" t="s">
        <v>10</v>
      </c>
      <c r="C7" s="37"/>
      <c r="D7" s="38">
        <v>721193</v>
      </c>
      <c r="E7" s="38">
        <v>65854</v>
      </c>
      <c r="F7" s="38">
        <v>42302</v>
      </c>
      <c r="G7" s="38">
        <v>19854</v>
      </c>
    </row>
    <row r="8" spans="1:7">
      <c r="A8" s="35"/>
      <c r="B8" s="35" t="s">
        <v>111</v>
      </c>
      <c r="C8" s="39">
        <v>8.7999999999999995E-2</v>
      </c>
      <c r="D8" s="40">
        <v>63452</v>
      </c>
      <c r="E8" s="40">
        <v>5794</v>
      </c>
      <c r="F8" s="40">
        <v>3722</v>
      </c>
      <c r="G8" s="40">
        <v>1747</v>
      </c>
    </row>
    <row r="9" spans="1:7">
      <c r="A9" s="35"/>
      <c r="B9" s="35" t="s">
        <v>112</v>
      </c>
      <c r="C9" s="39">
        <v>4.3999999999999997E-2</v>
      </c>
      <c r="D9" s="40">
        <v>31591</v>
      </c>
      <c r="E9" s="40">
        <v>2885</v>
      </c>
      <c r="F9" s="40">
        <v>1853</v>
      </c>
      <c r="G9" s="41">
        <v>870</v>
      </c>
    </row>
    <row r="10" spans="1:7">
      <c r="A10" s="35"/>
      <c r="B10" s="35" t="s">
        <v>113</v>
      </c>
      <c r="C10" s="39">
        <v>0.32600000000000001</v>
      </c>
      <c r="D10" s="40">
        <v>235362</v>
      </c>
      <c r="E10" s="40">
        <v>21492</v>
      </c>
      <c r="F10" s="40">
        <v>13805</v>
      </c>
      <c r="G10" s="40">
        <v>6479</v>
      </c>
    </row>
    <row r="11" spans="1:7">
      <c r="A11" s="35"/>
      <c r="B11" s="35" t="s">
        <v>114</v>
      </c>
      <c r="C11" s="39">
        <v>8.7999999999999995E-2</v>
      </c>
      <c r="D11" s="40">
        <v>63452</v>
      </c>
      <c r="E11" s="40">
        <v>5794</v>
      </c>
      <c r="F11" s="40">
        <v>3722</v>
      </c>
      <c r="G11" s="40">
        <v>1747</v>
      </c>
    </row>
    <row r="12" spans="1:7">
      <c r="A12" s="35"/>
      <c r="B12" s="36" t="s">
        <v>115</v>
      </c>
      <c r="C12" s="39">
        <v>0.45800000000000002</v>
      </c>
      <c r="D12" s="38">
        <v>330405</v>
      </c>
      <c r="E12" s="38">
        <v>30170</v>
      </c>
      <c r="F12" s="38">
        <v>19380</v>
      </c>
      <c r="G12" s="38">
        <v>9096</v>
      </c>
    </row>
    <row r="13" spans="1:7">
      <c r="A13" s="35"/>
      <c r="B13" s="35" t="s">
        <v>116</v>
      </c>
      <c r="C13" s="39">
        <v>2.9000000000000001E-2</v>
      </c>
      <c r="D13" s="40">
        <v>20773</v>
      </c>
      <c r="E13" s="40">
        <v>1897</v>
      </c>
      <c r="F13" s="40">
        <v>1218</v>
      </c>
      <c r="G13" s="41">
        <v>572</v>
      </c>
    </row>
    <row r="14" spans="1:7">
      <c r="A14" s="35"/>
      <c r="B14" s="35" t="s">
        <v>117</v>
      </c>
      <c r="C14" s="39">
        <v>0</v>
      </c>
      <c r="D14" s="41">
        <v>0</v>
      </c>
      <c r="E14" s="41">
        <v>0</v>
      </c>
      <c r="F14" s="41">
        <v>0</v>
      </c>
      <c r="G14" s="41">
        <v>0</v>
      </c>
    </row>
    <row r="15" spans="1:7">
      <c r="A15" s="35"/>
      <c r="B15" s="35" t="s">
        <v>118</v>
      </c>
      <c r="C15" s="39">
        <v>0.51300000000000001</v>
      </c>
      <c r="D15" s="40">
        <v>370015</v>
      </c>
      <c r="E15" s="40">
        <v>33787</v>
      </c>
      <c r="F15" s="40">
        <v>21704</v>
      </c>
      <c r="G15" s="40">
        <v>10186</v>
      </c>
    </row>
    <row r="16" spans="1:7">
      <c r="A16" s="35"/>
      <c r="B16" s="36" t="s">
        <v>119</v>
      </c>
      <c r="C16" s="39">
        <v>0.54200000000000004</v>
      </c>
      <c r="D16" s="38">
        <v>390788</v>
      </c>
      <c r="E16" s="38">
        <v>35684</v>
      </c>
      <c r="F16" s="38">
        <v>22922</v>
      </c>
      <c r="G16" s="38">
        <v>10758</v>
      </c>
    </row>
    <row r="17" spans="1:7">
      <c r="A17" s="35"/>
      <c r="B17" s="35" t="s">
        <v>120</v>
      </c>
      <c r="C17" s="39">
        <v>3.2000000000000001E-2</v>
      </c>
      <c r="D17" s="40">
        <v>23382</v>
      </c>
      <c r="E17" s="40">
        <v>2135</v>
      </c>
      <c r="F17" s="40">
        <v>1371</v>
      </c>
      <c r="G17" s="41">
        <v>644</v>
      </c>
    </row>
    <row r="18" spans="1:7">
      <c r="A18" s="33" t="s">
        <v>109</v>
      </c>
      <c r="B18" s="33" t="s">
        <v>121</v>
      </c>
      <c r="C18" s="34"/>
      <c r="D18" s="34"/>
      <c r="E18" s="34"/>
      <c r="F18" s="34"/>
      <c r="G18" s="34"/>
    </row>
    <row r="19" spans="1:7">
      <c r="A19" s="35"/>
      <c r="B19" s="36" t="s">
        <v>10</v>
      </c>
      <c r="C19" s="37"/>
      <c r="D19" s="38">
        <v>786593</v>
      </c>
      <c r="E19" s="38">
        <v>70585</v>
      </c>
      <c r="F19" s="38">
        <v>46277</v>
      </c>
      <c r="G19" s="38">
        <v>20558</v>
      </c>
    </row>
    <row r="20" spans="1:7">
      <c r="A20" s="35"/>
      <c r="B20" s="35" t="s">
        <v>111</v>
      </c>
      <c r="C20" s="39">
        <v>8.8999999999999996E-2</v>
      </c>
      <c r="D20" s="40">
        <v>69887</v>
      </c>
      <c r="E20" s="40">
        <v>6271</v>
      </c>
      <c r="F20" s="40">
        <v>4112</v>
      </c>
      <c r="G20" s="40">
        <v>1827</v>
      </c>
    </row>
    <row r="21" spans="1:7">
      <c r="A21" s="35"/>
      <c r="B21" s="35" t="s">
        <v>112</v>
      </c>
      <c r="C21" s="39">
        <v>4.1000000000000002E-2</v>
      </c>
      <c r="D21" s="40">
        <v>32259</v>
      </c>
      <c r="E21" s="40">
        <v>2895</v>
      </c>
      <c r="F21" s="40">
        <v>1898</v>
      </c>
      <c r="G21" s="41">
        <v>843</v>
      </c>
    </row>
    <row r="22" spans="1:7">
      <c r="A22" s="35"/>
      <c r="B22" s="35" t="s">
        <v>113</v>
      </c>
      <c r="C22" s="39">
        <v>0.318</v>
      </c>
      <c r="D22" s="40">
        <v>250458</v>
      </c>
      <c r="E22" s="40">
        <v>22475</v>
      </c>
      <c r="F22" s="40">
        <v>14735</v>
      </c>
      <c r="G22" s="40">
        <v>6546</v>
      </c>
    </row>
    <row r="23" spans="1:7">
      <c r="A23" s="35"/>
      <c r="B23" s="35" t="s">
        <v>114</v>
      </c>
      <c r="C23" s="39">
        <v>8.8999999999999996E-2</v>
      </c>
      <c r="D23" s="40">
        <v>69887</v>
      </c>
      <c r="E23" s="40">
        <v>6271</v>
      </c>
      <c r="F23" s="40">
        <v>4112</v>
      </c>
      <c r="G23" s="40">
        <v>1827</v>
      </c>
    </row>
    <row r="24" spans="1:7">
      <c r="A24" s="35">
        <f>(C24+C12)/2</f>
        <v>0.45300000000000001</v>
      </c>
      <c r="B24" s="42" t="s">
        <v>115</v>
      </c>
      <c r="C24" s="43">
        <v>0.44800000000000001</v>
      </c>
      <c r="D24" s="38">
        <v>352605</v>
      </c>
      <c r="E24" s="38">
        <v>31641</v>
      </c>
      <c r="F24" s="38">
        <v>20744</v>
      </c>
      <c r="G24" s="38">
        <v>9215</v>
      </c>
    </row>
    <row r="25" spans="1:7">
      <c r="A25" s="35"/>
      <c r="B25" s="35" t="s">
        <v>116</v>
      </c>
      <c r="C25" s="39">
        <v>2.9000000000000001E-2</v>
      </c>
      <c r="D25" s="40">
        <v>22574</v>
      </c>
      <c r="E25" s="40">
        <v>2026</v>
      </c>
      <c r="F25" s="40">
        <v>1328</v>
      </c>
      <c r="G25" s="41">
        <v>590</v>
      </c>
    </row>
    <row r="26" spans="1:7">
      <c r="A26" s="35"/>
      <c r="B26" s="35" t="s">
        <v>117</v>
      </c>
      <c r="C26" s="39">
        <v>0</v>
      </c>
      <c r="D26" s="41">
        <v>0</v>
      </c>
      <c r="E26" s="41">
        <v>0</v>
      </c>
      <c r="F26" s="41">
        <v>0</v>
      </c>
      <c r="G26" s="41">
        <v>0</v>
      </c>
    </row>
    <row r="27" spans="1:7">
      <c r="A27" s="35"/>
      <c r="B27" s="35" t="s">
        <v>118</v>
      </c>
      <c r="C27" s="39">
        <v>0.52300000000000002</v>
      </c>
      <c r="D27" s="40">
        <v>411414</v>
      </c>
      <c r="E27" s="40">
        <v>36918</v>
      </c>
      <c r="F27" s="40">
        <v>24204</v>
      </c>
      <c r="G27" s="40">
        <v>10752</v>
      </c>
    </row>
    <row r="28" spans="1:7">
      <c r="A28" s="35"/>
      <c r="B28" s="36" t="s">
        <v>119</v>
      </c>
      <c r="C28" s="39">
        <v>0.55200000000000005</v>
      </c>
      <c r="D28" s="38">
        <v>433988</v>
      </c>
      <c r="E28" s="38">
        <v>38944</v>
      </c>
      <c r="F28" s="38">
        <v>25532</v>
      </c>
      <c r="G28" s="38">
        <v>11342</v>
      </c>
    </row>
    <row r="29" spans="1:7">
      <c r="A29" s="35"/>
      <c r="B29" s="35" t="s">
        <v>120</v>
      </c>
      <c r="C29" s="39">
        <v>3.4000000000000002E-2</v>
      </c>
      <c r="D29" s="40">
        <v>26597</v>
      </c>
      <c r="E29" s="40">
        <v>2387</v>
      </c>
      <c r="F29" s="40">
        <v>1565</v>
      </c>
      <c r="G29" s="41">
        <v>695</v>
      </c>
    </row>
    <row r="30" spans="1:7">
      <c r="A30" s="33" t="s">
        <v>122</v>
      </c>
      <c r="B30" s="33" t="s">
        <v>123</v>
      </c>
      <c r="C30" s="34"/>
      <c r="D30" s="34"/>
      <c r="E30" s="34"/>
      <c r="F30" s="34"/>
      <c r="G30" s="34"/>
    </row>
    <row r="31" spans="1:7">
      <c r="A31" s="35"/>
      <c r="B31" s="36" t="s">
        <v>10</v>
      </c>
      <c r="C31" s="37"/>
      <c r="D31" s="38">
        <v>721193</v>
      </c>
      <c r="E31" s="38">
        <v>75585</v>
      </c>
      <c r="F31" s="38">
        <v>42637</v>
      </c>
      <c r="G31" s="38">
        <v>31079</v>
      </c>
    </row>
    <row r="32" spans="1:7">
      <c r="A32" s="35"/>
      <c r="B32" s="44" t="s">
        <v>111</v>
      </c>
      <c r="C32" s="43">
        <v>9.2999999999999999E-2</v>
      </c>
      <c r="D32" s="40">
        <v>67012</v>
      </c>
      <c r="E32" s="40">
        <v>7023</v>
      </c>
      <c r="F32" s="40">
        <v>3962</v>
      </c>
      <c r="G32" s="40">
        <v>2888</v>
      </c>
    </row>
    <row r="33" spans="1:7">
      <c r="A33" s="35"/>
      <c r="B33" s="35" t="s">
        <v>112</v>
      </c>
      <c r="C33" s="39">
        <v>2.5000000000000001E-2</v>
      </c>
      <c r="D33" s="40">
        <v>18153</v>
      </c>
      <c r="E33" s="40">
        <v>1903</v>
      </c>
      <c r="F33" s="40">
        <v>1073</v>
      </c>
      <c r="G33" s="41">
        <v>782</v>
      </c>
    </row>
    <row r="34" spans="1:7">
      <c r="A34" s="35" t="s">
        <v>124</v>
      </c>
      <c r="B34" s="35" t="s">
        <v>113</v>
      </c>
      <c r="C34" s="39">
        <v>0.14000000000000001</v>
      </c>
      <c r="D34" s="40">
        <v>100885</v>
      </c>
      <c r="E34" s="40">
        <v>10573</v>
      </c>
      <c r="F34" s="40">
        <v>5964</v>
      </c>
      <c r="G34" s="40">
        <v>4347</v>
      </c>
    </row>
    <row r="35" spans="1:7">
      <c r="A35" s="35"/>
      <c r="B35" s="35" t="s">
        <v>114</v>
      </c>
      <c r="C35" s="39">
        <v>9.2999999999999999E-2</v>
      </c>
      <c r="D35" s="40">
        <v>67012</v>
      </c>
      <c r="E35" s="40">
        <v>7023</v>
      </c>
      <c r="F35" s="40">
        <v>3962</v>
      </c>
      <c r="G35" s="40">
        <v>2888</v>
      </c>
    </row>
    <row r="36" spans="1:7">
      <c r="A36" s="45">
        <f>C36+C24</f>
        <v>0.70599999999999996</v>
      </c>
      <c r="B36" s="42" t="s">
        <v>115</v>
      </c>
      <c r="C36" s="43">
        <v>0.25800000000000001</v>
      </c>
      <c r="D36" s="38">
        <v>186050</v>
      </c>
      <c r="E36" s="38">
        <v>19499</v>
      </c>
      <c r="F36" s="38">
        <v>10999</v>
      </c>
      <c r="G36" s="38">
        <v>8018</v>
      </c>
    </row>
    <row r="37" spans="1:7">
      <c r="A37" s="35"/>
      <c r="B37" s="35" t="s">
        <v>116</v>
      </c>
      <c r="C37" s="39">
        <v>3.1E-2</v>
      </c>
      <c r="D37" s="40">
        <v>22268</v>
      </c>
      <c r="E37" s="40">
        <v>2334</v>
      </c>
      <c r="F37" s="40">
        <v>1316</v>
      </c>
      <c r="G37" s="41">
        <v>960</v>
      </c>
    </row>
    <row r="38" spans="1:7">
      <c r="A38" s="35"/>
      <c r="B38" s="35" t="s">
        <v>117</v>
      </c>
      <c r="C38" s="39">
        <v>0</v>
      </c>
      <c r="D38" s="41">
        <v>0</v>
      </c>
      <c r="E38" s="41">
        <v>0</v>
      </c>
      <c r="F38" s="41">
        <v>0</v>
      </c>
      <c r="G38" s="41">
        <v>0</v>
      </c>
    </row>
    <row r="39" spans="1:7">
      <c r="A39" s="35"/>
      <c r="B39" s="35" t="s">
        <v>118</v>
      </c>
      <c r="C39" s="39">
        <v>0.71099999999999997</v>
      </c>
      <c r="D39" s="40">
        <v>512874</v>
      </c>
      <c r="E39" s="40">
        <v>53752</v>
      </c>
      <c r="F39" s="40">
        <v>30321</v>
      </c>
      <c r="G39" s="40">
        <v>22102</v>
      </c>
    </row>
    <row r="40" spans="1:7">
      <c r="A40" s="35"/>
      <c r="B40" s="36" t="s">
        <v>119</v>
      </c>
      <c r="C40" s="39">
        <v>0.74199999999999999</v>
      </c>
      <c r="D40" s="38">
        <v>535143</v>
      </c>
      <c r="E40" s="38">
        <v>56086</v>
      </c>
      <c r="F40" s="38">
        <v>31637</v>
      </c>
      <c r="G40" s="38">
        <v>23061</v>
      </c>
    </row>
    <row r="41" spans="1:7">
      <c r="A41" s="35"/>
      <c r="B41" s="35" t="s">
        <v>120</v>
      </c>
      <c r="C41" s="39">
        <v>1.6E-2</v>
      </c>
      <c r="D41" s="40">
        <v>11484</v>
      </c>
      <c r="E41" s="40">
        <v>1204</v>
      </c>
      <c r="F41" s="41">
        <v>679</v>
      </c>
      <c r="G41" s="41">
        <v>495</v>
      </c>
    </row>
    <row r="42" spans="1:7">
      <c r="A42" s="31"/>
      <c r="B42" s="31"/>
      <c r="C42" s="31"/>
      <c r="D42" s="31"/>
      <c r="E42" s="31"/>
      <c r="F42" s="31"/>
      <c r="G42" s="31"/>
    </row>
    <row r="43" spans="1:7">
      <c r="A43" s="31"/>
      <c r="B43" s="31"/>
      <c r="C43" s="31"/>
      <c r="D43" s="31"/>
      <c r="E43" s="31"/>
      <c r="F43" s="31"/>
      <c r="G43" s="31"/>
    </row>
    <row r="44" spans="1:7">
      <c r="A44" s="31"/>
      <c r="B44" s="31"/>
      <c r="C44" s="31"/>
      <c r="D44" s="31"/>
      <c r="E44" s="31"/>
      <c r="F44" s="31"/>
      <c r="G44" s="31"/>
    </row>
    <row r="45" spans="1:7">
      <c r="A45" s="31"/>
      <c r="B45" s="31"/>
      <c r="C45" s="31"/>
      <c r="D45" s="31"/>
      <c r="E45" s="31"/>
      <c r="F45" s="31"/>
      <c r="G45" s="31"/>
    </row>
    <row r="46" spans="1:7">
      <c r="A46" s="31"/>
      <c r="B46" s="31"/>
      <c r="C46" s="31"/>
      <c r="D46" s="31"/>
      <c r="E46" s="31"/>
      <c r="F46" s="31"/>
      <c r="G46" s="31"/>
    </row>
    <row r="47" spans="1:7">
      <c r="A47" s="31"/>
      <c r="B47" s="31"/>
      <c r="C47" s="31"/>
      <c r="D47" s="31"/>
      <c r="E47" s="31"/>
      <c r="F47" s="31"/>
      <c r="G47" s="31"/>
    </row>
    <row r="48" spans="1:7">
      <c r="A48" s="31"/>
      <c r="B48" s="31"/>
      <c r="C48" s="31"/>
      <c r="D48" s="31"/>
      <c r="E48" s="31"/>
      <c r="F48" s="31"/>
      <c r="G48" s="31"/>
    </row>
    <row r="49" spans="1:7">
      <c r="A49" s="31"/>
      <c r="B49" s="31"/>
      <c r="C49" s="31"/>
      <c r="D49" s="31"/>
      <c r="E49" s="31"/>
      <c r="F49" s="31"/>
      <c r="G49" s="31"/>
    </row>
    <row r="50" spans="1:7">
      <c r="A50" s="31"/>
      <c r="B50" s="31"/>
      <c r="C50" s="31"/>
      <c r="D50" s="31"/>
      <c r="E50" s="31"/>
      <c r="F50" s="31"/>
      <c r="G50" s="31"/>
    </row>
    <row r="51" spans="1:7">
      <c r="A51" s="31"/>
      <c r="B51" s="31"/>
      <c r="C51" s="31"/>
      <c r="D51" s="31"/>
      <c r="E51" s="31"/>
      <c r="F51" s="31"/>
      <c r="G51" s="31"/>
    </row>
    <row r="52" spans="1:7">
      <c r="A52" s="31"/>
      <c r="B52" s="31"/>
      <c r="C52" s="31"/>
      <c r="D52" s="31"/>
      <c r="E52" s="31"/>
      <c r="F52" s="31"/>
      <c r="G52" s="31"/>
    </row>
    <row r="53" spans="1:7">
      <c r="A53" s="31"/>
      <c r="B53" s="31"/>
      <c r="C53" s="31"/>
      <c r="D53" s="31"/>
      <c r="E53" s="31"/>
      <c r="F53" s="31"/>
      <c r="G53" s="31"/>
    </row>
    <row r="54" spans="1:7">
      <c r="A54" s="31"/>
      <c r="B54" s="31"/>
      <c r="C54" s="31"/>
      <c r="D54" s="31"/>
      <c r="E54" s="31"/>
      <c r="F54" s="31"/>
      <c r="G54" s="31"/>
    </row>
    <row r="55" spans="1:7">
      <c r="A55" s="31"/>
      <c r="B55" s="31"/>
      <c r="C55" s="31"/>
      <c r="D55" s="31"/>
      <c r="E55" s="31"/>
      <c r="F55" s="31"/>
      <c r="G55" s="31"/>
    </row>
    <row r="56" spans="1:7">
      <c r="A56" s="31"/>
      <c r="B56" s="31"/>
      <c r="C56" s="31"/>
      <c r="D56" s="31"/>
      <c r="E56" s="31"/>
      <c r="F56" s="31"/>
      <c r="G56" s="31"/>
    </row>
    <row r="57" spans="1:7">
      <c r="A57" s="31"/>
      <c r="B57" s="31"/>
      <c r="C57" s="31"/>
      <c r="D57" s="31"/>
      <c r="E57" s="31"/>
      <c r="F57" s="31"/>
      <c r="G57" s="31"/>
    </row>
    <row r="58" spans="1:7">
      <c r="A58" s="31"/>
      <c r="B58" s="31"/>
      <c r="C58" s="31"/>
      <c r="D58" s="31"/>
      <c r="E58" s="31"/>
      <c r="F58" s="31"/>
      <c r="G58" s="31"/>
    </row>
    <row r="59" spans="1:7">
      <c r="A59" s="31"/>
      <c r="B59" s="31"/>
      <c r="C59" s="31"/>
      <c r="D59" s="31"/>
      <c r="E59" s="31"/>
      <c r="F59" s="31"/>
      <c r="G59" s="31"/>
    </row>
    <row r="60" spans="1:7">
      <c r="A60" s="31"/>
      <c r="B60" s="31"/>
      <c r="C60" s="31"/>
      <c r="D60" s="31"/>
      <c r="E60" s="31"/>
      <c r="F60" s="31"/>
      <c r="G60" s="31"/>
    </row>
    <row r="61" spans="1:7">
      <c r="A61" s="31"/>
      <c r="B61" s="31"/>
      <c r="C61" s="31"/>
      <c r="D61" s="31"/>
      <c r="E61" s="31"/>
      <c r="F61" s="31"/>
      <c r="G61" s="31"/>
    </row>
    <row r="62" spans="1:7">
      <c r="A62" s="31"/>
      <c r="B62" s="31"/>
      <c r="C62" s="31"/>
      <c r="D62" s="31"/>
      <c r="E62" s="31"/>
      <c r="F62" s="31"/>
      <c r="G62" s="31"/>
    </row>
    <row r="63" spans="1:7">
      <c r="A63" s="31"/>
      <c r="B63" s="31"/>
      <c r="C63" s="31"/>
      <c r="D63" s="31"/>
      <c r="E63" s="31"/>
      <c r="F63" s="31"/>
      <c r="G63" s="31"/>
    </row>
    <row r="64" spans="1:7">
      <c r="A64" s="31"/>
      <c r="B64" s="31"/>
      <c r="C64" s="31"/>
      <c r="D64" s="31"/>
      <c r="E64" s="31"/>
      <c r="F64" s="31"/>
      <c r="G64" s="31"/>
    </row>
    <row r="65" spans="1:7">
      <c r="A65" s="31"/>
      <c r="B65" s="31"/>
      <c r="C65" s="31"/>
      <c r="D65" s="31"/>
      <c r="E65" s="31"/>
      <c r="F65" s="31"/>
      <c r="G65" s="31"/>
    </row>
    <row r="66" spans="1:7">
      <c r="A66" s="31"/>
      <c r="B66" s="31"/>
      <c r="C66" s="31"/>
      <c r="D66" s="31"/>
      <c r="E66" s="31"/>
      <c r="F66" s="31"/>
      <c r="G66" s="31"/>
    </row>
    <row r="67" spans="1:7">
      <c r="A67" s="31"/>
      <c r="B67" s="31"/>
      <c r="C67" s="31"/>
      <c r="D67" s="31"/>
      <c r="E67" s="31"/>
      <c r="F67" s="31"/>
      <c r="G67" s="31"/>
    </row>
    <row r="68" spans="1:7">
      <c r="A68" s="31"/>
      <c r="B68" s="31"/>
      <c r="C68" s="31"/>
      <c r="D68" s="31"/>
      <c r="E68" s="31"/>
      <c r="F68" s="31"/>
      <c r="G68" s="31"/>
    </row>
    <row r="69" spans="1:7">
      <c r="A69" s="31"/>
      <c r="B69" s="31"/>
      <c r="C69" s="31"/>
      <c r="D69" s="31"/>
      <c r="E69" s="31"/>
      <c r="F69" s="31"/>
      <c r="G69" s="31"/>
    </row>
    <row r="70" spans="1:7">
      <c r="A70" s="31"/>
      <c r="B70" s="31"/>
      <c r="C70" s="31"/>
      <c r="D70" s="31"/>
      <c r="E70" s="31"/>
      <c r="F70" s="31"/>
      <c r="G70" s="31"/>
    </row>
    <row r="71" spans="1:7">
      <c r="A71" s="31"/>
      <c r="B71" s="31"/>
      <c r="C71" s="31"/>
      <c r="D71" s="31"/>
      <c r="E71" s="31"/>
      <c r="F71" s="31"/>
      <c r="G71" s="31"/>
    </row>
    <row r="72" spans="1:7">
      <c r="A72" s="31"/>
      <c r="B72" s="31"/>
      <c r="C72" s="31"/>
      <c r="D72" s="31"/>
      <c r="E72" s="31"/>
      <c r="F72" s="31"/>
      <c r="G72" s="31"/>
    </row>
    <row r="73" spans="1:7">
      <c r="A73" s="31"/>
      <c r="B73" s="31"/>
      <c r="C73" s="31"/>
      <c r="D73" s="31"/>
      <c r="E73" s="31"/>
      <c r="F73" s="31"/>
      <c r="G73" s="31"/>
    </row>
    <row r="74" spans="1:7">
      <c r="A74" s="31"/>
      <c r="B74" s="31"/>
      <c r="C74" s="31"/>
      <c r="D74" s="31"/>
      <c r="E74" s="31"/>
      <c r="F74" s="31"/>
      <c r="G74" s="31"/>
    </row>
    <row r="75" spans="1:7">
      <c r="A75" s="31"/>
      <c r="B75" s="31"/>
      <c r="C75" s="31"/>
      <c r="D75" s="31"/>
      <c r="E75" s="31"/>
      <c r="F75" s="31"/>
      <c r="G75" s="31"/>
    </row>
    <row r="76" spans="1:7">
      <c r="A76" s="31"/>
      <c r="B76" s="31"/>
      <c r="C76" s="31"/>
      <c r="D76" s="31"/>
      <c r="E76" s="31"/>
      <c r="F76" s="31"/>
      <c r="G76" s="31"/>
    </row>
    <row r="77" spans="1:7">
      <c r="A77" s="31"/>
      <c r="B77" s="31"/>
      <c r="C77" s="31"/>
      <c r="D77" s="31"/>
      <c r="E77" s="31"/>
      <c r="F77" s="31"/>
      <c r="G77" s="31"/>
    </row>
    <row r="78" spans="1:7">
      <c r="A78" s="31"/>
      <c r="B78" s="31"/>
      <c r="C78" s="31"/>
      <c r="D78" s="31"/>
      <c r="E78" s="31"/>
      <c r="F78" s="31"/>
      <c r="G78" s="31"/>
    </row>
    <row r="79" spans="1:7">
      <c r="A79" s="31"/>
      <c r="B79" s="31"/>
      <c r="C79" s="31"/>
      <c r="D79" s="31"/>
      <c r="E79" s="31"/>
      <c r="F79" s="31"/>
      <c r="G79" s="31"/>
    </row>
    <row r="80" spans="1:7">
      <c r="A80" s="31"/>
      <c r="B80" s="31"/>
      <c r="C80" s="31"/>
      <c r="D80" s="31"/>
      <c r="E80" s="31"/>
      <c r="F80" s="31"/>
      <c r="G80" s="31"/>
    </row>
    <row r="81" spans="1:7">
      <c r="A81" s="31"/>
      <c r="B81" s="31"/>
      <c r="C81" s="31"/>
      <c r="D81" s="31"/>
      <c r="E81" s="31"/>
      <c r="F81" s="31"/>
      <c r="G81" s="31"/>
    </row>
    <row r="82" spans="1:7">
      <c r="A82" s="31"/>
      <c r="B82" s="31"/>
      <c r="C82" s="31"/>
      <c r="D82" s="31"/>
      <c r="E82" s="31"/>
      <c r="F82" s="31"/>
      <c r="G82" s="31"/>
    </row>
    <row r="83" spans="1:7">
      <c r="A83" s="31"/>
      <c r="B83" s="31"/>
      <c r="C83" s="31"/>
      <c r="D83" s="31"/>
      <c r="E83" s="31"/>
      <c r="F83" s="31"/>
      <c r="G83" s="31"/>
    </row>
    <row r="84" spans="1:7">
      <c r="A84" s="31"/>
      <c r="B84" s="31"/>
      <c r="C84" s="31"/>
      <c r="D84" s="31"/>
      <c r="E84" s="31"/>
      <c r="F84" s="31"/>
      <c r="G84" s="31"/>
    </row>
    <row r="85" spans="1:7">
      <c r="A85" s="31"/>
      <c r="B85" s="31"/>
      <c r="C85" s="31"/>
      <c r="D85" s="31"/>
      <c r="E85" s="31"/>
      <c r="F85" s="31"/>
      <c r="G85" s="31"/>
    </row>
    <row r="86" spans="1:7">
      <c r="A86" s="31"/>
      <c r="B86" s="31"/>
      <c r="C86" s="31"/>
      <c r="D86" s="31"/>
      <c r="E86" s="31"/>
      <c r="F86" s="31"/>
      <c r="G86" s="31"/>
    </row>
    <row r="87" spans="1:7">
      <c r="A87" s="31"/>
      <c r="B87" s="31"/>
      <c r="C87" s="31"/>
      <c r="D87" s="31"/>
      <c r="E87" s="31"/>
      <c r="F87" s="31"/>
      <c r="G87" s="31"/>
    </row>
    <row r="88" spans="1:7">
      <c r="A88" s="31"/>
      <c r="B88" s="31"/>
      <c r="C88" s="31"/>
      <c r="D88" s="31"/>
      <c r="E88" s="31"/>
      <c r="F88" s="31"/>
      <c r="G88" s="31"/>
    </row>
    <row r="89" spans="1:7">
      <c r="A89" s="31"/>
      <c r="B89" s="31"/>
      <c r="C89" s="31"/>
      <c r="D89" s="31"/>
      <c r="E89" s="31"/>
      <c r="F89" s="31"/>
      <c r="G89" s="31"/>
    </row>
    <row r="90" spans="1:7">
      <c r="A90" s="31"/>
      <c r="B90" s="31"/>
      <c r="C90" s="31"/>
      <c r="D90" s="31"/>
      <c r="E90" s="31"/>
      <c r="F90" s="31"/>
      <c r="G90" s="31"/>
    </row>
    <row r="91" spans="1:7">
      <c r="A91" s="31"/>
      <c r="B91" s="31"/>
      <c r="C91" s="31"/>
      <c r="D91" s="31"/>
      <c r="E91" s="31"/>
      <c r="F91" s="31"/>
      <c r="G91" s="31"/>
    </row>
    <row r="92" spans="1:7">
      <c r="A92" s="31"/>
      <c r="B92" s="31"/>
      <c r="C92" s="31"/>
      <c r="D92" s="31"/>
      <c r="E92" s="31"/>
      <c r="F92" s="31"/>
      <c r="G92" s="31"/>
    </row>
    <row r="93" spans="1:7">
      <c r="A93" s="31"/>
      <c r="B93" s="31"/>
      <c r="C93" s="31"/>
      <c r="D93" s="31"/>
      <c r="E93" s="31"/>
      <c r="F93" s="31"/>
      <c r="G93" s="31"/>
    </row>
    <row r="94" spans="1:7">
      <c r="A94" s="31"/>
      <c r="B94" s="31"/>
      <c r="C94" s="31"/>
      <c r="D94" s="31"/>
      <c r="E94" s="31"/>
      <c r="F94" s="31"/>
      <c r="G94" s="31"/>
    </row>
    <row r="95" spans="1:7">
      <c r="A95" s="31"/>
      <c r="B95" s="31"/>
      <c r="C95" s="31"/>
      <c r="D95" s="31"/>
      <c r="E95" s="31"/>
      <c r="F95" s="31"/>
      <c r="G95" s="31"/>
    </row>
    <row r="96" spans="1:7">
      <c r="A96" s="31"/>
      <c r="B96" s="31"/>
      <c r="C96" s="31"/>
      <c r="D96" s="31"/>
      <c r="E96" s="31"/>
      <c r="F96" s="31"/>
      <c r="G96" s="31"/>
    </row>
    <row r="97" spans="1:7">
      <c r="A97" s="31"/>
      <c r="B97" s="31"/>
      <c r="C97" s="31"/>
      <c r="D97" s="31"/>
      <c r="E97" s="31"/>
      <c r="F97" s="31"/>
      <c r="G97" s="31"/>
    </row>
    <row r="98" spans="1:7">
      <c r="A98" s="31"/>
      <c r="B98" s="31"/>
      <c r="C98" s="31"/>
      <c r="D98" s="31"/>
      <c r="E98" s="31"/>
      <c r="F98" s="31"/>
      <c r="G98" s="31"/>
    </row>
    <row r="99" spans="1:7">
      <c r="A99" s="31"/>
      <c r="B99" s="31"/>
      <c r="C99" s="31"/>
      <c r="D99" s="31"/>
      <c r="E99" s="31"/>
      <c r="F99" s="31"/>
      <c r="G99" s="31"/>
    </row>
    <row r="100" spans="1:7">
      <c r="A100" s="31"/>
      <c r="B100" s="31"/>
      <c r="C100" s="31"/>
      <c r="D100" s="31"/>
      <c r="E100" s="31"/>
      <c r="F100" s="31"/>
      <c r="G100" s="31"/>
    </row>
    <row r="101" spans="1:7">
      <c r="A101" s="31"/>
      <c r="B101" s="31"/>
      <c r="C101" s="31"/>
      <c r="D101" s="31"/>
      <c r="E101" s="31"/>
      <c r="F101" s="31"/>
      <c r="G101" s="31"/>
    </row>
    <row r="102" spans="1:7">
      <c r="A102" s="31"/>
      <c r="B102" s="31"/>
      <c r="C102" s="31"/>
      <c r="D102" s="31"/>
      <c r="E102" s="31"/>
      <c r="F102" s="31"/>
      <c r="G102" s="31"/>
    </row>
    <row r="103" spans="1:7">
      <c r="A103" s="31"/>
      <c r="B103" s="31"/>
      <c r="C103" s="31"/>
      <c r="D103" s="31"/>
      <c r="E103" s="31"/>
      <c r="F103" s="31"/>
      <c r="G103" s="31"/>
    </row>
    <row r="104" spans="1:7">
      <c r="A104" s="31"/>
      <c r="B104" s="31"/>
      <c r="C104" s="31"/>
      <c r="D104" s="31"/>
      <c r="E104" s="31"/>
      <c r="F104" s="31"/>
      <c r="G104" s="31"/>
    </row>
    <row r="105" spans="1:7">
      <c r="A105" s="31"/>
      <c r="B105" s="31"/>
      <c r="C105" s="31"/>
      <c r="D105" s="31"/>
      <c r="E105" s="31"/>
      <c r="F105" s="31"/>
      <c r="G105" s="31"/>
    </row>
    <row r="106" spans="1:7">
      <c r="A106" s="31"/>
      <c r="B106" s="31"/>
      <c r="C106" s="31"/>
      <c r="D106" s="31"/>
      <c r="E106" s="31"/>
      <c r="F106" s="31"/>
      <c r="G106" s="31"/>
    </row>
    <row r="107" spans="1:7">
      <c r="A107" s="31"/>
      <c r="B107" s="31"/>
      <c r="C107" s="31"/>
      <c r="D107" s="31"/>
      <c r="E107" s="31"/>
      <c r="F107" s="31"/>
      <c r="G107" s="31"/>
    </row>
    <row r="108" spans="1:7">
      <c r="A108" s="31"/>
      <c r="B108" s="31"/>
      <c r="C108" s="31"/>
      <c r="D108" s="31"/>
      <c r="E108" s="31"/>
      <c r="F108" s="31"/>
      <c r="G108" s="31"/>
    </row>
    <row r="109" spans="1:7">
      <c r="A109" s="31"/>
      <c r="B109" s="31"/>
      <c r="C109" s="31"/>
      <c r="D109" s="31"/>
      <c r="E109" s="31"/>
      <c r="F109" s="31"/>
      <c r="G109" s="31"/>
    </row>
    <row r="110" spans="1:7">
      <c r="A110" s="31"/>
      <c r="B110" s="31"/>
      <c r="C110" s="31"/>
      <c r="D110" s="31"/>
      <c r="E110" s="31"/>
      <c r="F110" s="31"/>
      <c r="G110" s="31"/>
    </row>
    <row r="111" spans="1:7">
      <c r="A111" s="31"/>
      <c r="B111" s="31"/>
      <c r="C111" s="31"/>
      <c r="D111" s="31"/>
      <c r="E111" s="31"/>
      <c r="F111" s="31"/>
      <c r="G111" s="31"/>
    </row>
    <row r="112" spans="1:7">
      <c r="A112" s="31"/>
      <c r="B112" s="31"/>
      <c r="C112" s="31"/>
      <c r="D112" s="31"/>
      <c r="E112" s="31"/>
      <c r="F112" s="31"/>
      <c r="G112" s="31"/>
    </row>
    <row r="113" spans="1:7">
      <c r="A113" s="31"/>
      <c r="B113" s="31"/>
      <c r="C113" s="31"/>
      <c r="D113" s="31"/>
      <c r="E113" s="31"/>
      <c r="F113" s="31"/>
      <c r="G113" s="31"/>
    </row>
    <row r="114" spans="1:7">
      <c r="A114" s="31"/>
      <c r="B114" s="31"/>
      <c r="C114" s="31"/>
      <c r="D114" s="31"/>
      <c r="E114" s="31"/>
      <c r="F114" s="31"/>
      <c r="G114" s="31"/>
    </row>
    <row r="115" spans="1:7">
      <c r="A115" s="31"/>
      <c r="B115" s="31"/>
      <c r="C115" s="31"/>
      <c r="D115" s="31"/>
      <c r="E115" s="31"/>
      <c r="F115" s="31"/>
      <c r="G115" s="31"/>
    </row>
    <row r="116" spans="1:7">
      <c r="A116" s="31"/>
      <c r="B116" s="31"/>
      <c r="C116" s="31"/>
      <c r="D116" s="31"/>
      <c r="E116" s="31"/>
      <c r="F116" s="31"/>
      <c r="G116" s="31"/>
    </row>
    <row r="117" spans="1:7">
      <c r="A117" s="31"/>
      <c r="B117" s="31"/>
      <c r="C117" s="31"/>
      <c r="D117" s="31"/>
      <c r="E117" s="31"/>
      <c r="F117" s="31"/>
      <c r="G117" s="31"/>
    </row>
    <row r="118" spans="1:7">
      <c r="A118" s="31"/>
      <c r="B118" s="31"/>
      <c r="C118" s="31"/>
      <c r="D118" s="31"/>
      <c r="E118" s="31"/>
      <c r="F118" s="31"/>
      <c r="G118" s="31"/>
    </row>
    <row r="119" spans="1:7">
      <c r="A119" s="31"/>
      <c r="B119" s="31"/>
      <c r="C119" s="31"/>
      <c r="D119" s="31"/>
      <c r="E119" s="31"/>
      <c r="F119" s="31"/>
      <c r="G119" s="31"/>
    </row>
    <row r="120" spans="1:7">
      <c r="A120" s="31"/>
      <c r="B120" s="31"/>
      <c r="C120" s="31"/>
      <c r="D120" s="31"/>
      <c r="E120" s="31"/>
      <c r="F120" s="31"/>
      <c r="G120" s="31"/>
    </row>
    <row r="121" spans="1:7">
      <c r="A121" s="31"/>
      <c r="B121" s="31"/>
      <c r="C121" s="31"/>
      <c r="D121" s="31"/>
      <c r="E121" s="31"/>
      <c r="F121" s="31"/>
      <c r="G121" s="31"/>
    </row>
    <row r="122" spans="1:7">
      <c r="A122" s="31"/>
      <c r="B122" s="31"/>
      <c r="C122" s="31"/>
      <c r="D122" s="31"/>
      <c r="E122" s="31"/>
      <c r="F122" s="31"/>
      <c r="G122" s="31"/>
    </row>
    <row r="123" spans="1:7">
      <c r="A123" s="31"/>
      <c r="B123" s="31"/>
      <c r="C123" s="31"/>
      <c r="D123" s="31"/>
      <c r="E123" s="31"/>
      <c r="F123" s="31"/>
      <c r="G123" s="31"/>
    </row>
    <row r="124" spans="1:7">
      <c r="A124" s="31"/>
      <c r="B124" s="31"/>
      <c r="C124" s="31"/>
      <c r="D124" s="31"/>
      <c r="E124" s="31"/>
      <c r="F124" s="31"/>
      <c r="G124" s="31"/>
    </row>
    <row r="125" spans="1:7">
      <c r="A125" s="31"/>
      <c r="B125" s="31"/>
      <c r="C125" s="31"/>
      <c r="D125" s="31"/>
      <c r="E125" s="31"/>
      <c r="F125" s="31"/>
      <c r="G125" s="31"/>
    </row>
    <row r="126" spans="1:7">
      <c r="A126" s="31"/>
      <c r="B126" s="31"/>
      <c r="C126" s="31"/>
      <c r="D126" s="31"/>
      <c r="E126" s="31"/>
      <c r="F126" s="31"/>
      <c r="G126" s="31"/>
    </row>
    <row r="127" spans="1:7">
      <c r="A127" s="31"/>
      <c r="B127" s="31"/>
      <c r="C127" s="31"/>
      <c r="D127" s="31"/>
      <c r="E127" s="31"/>
      <c r="F127" s="31"/>
      <c r="G127" s="31"/>
    </row>
    <row r="128" spans="1:7">
      <c r="A128" s="31"/>
      <c r="B128" s="31"/>
      <c r="C128" s="31"/>
      <c r="D128" s="31"/>
      <c r="E128" s="31"/>
      <c r="F128" s="31"/>
      <c r="G128" s="31"/>
    </row>
    <row r="129" spans="1:7">
      <c r="A129" s="31"/>
      <c r="B129" s="31"/>
      <c r="C129" s="31"/>
      <c r="D129" s="31"/>
      <c r="E129" s="31"/>
      <c r="F129" s="31"/>
      <c r="G129" s="31"/>
    </row>
    <row r="130" spans="1:7">
      <c r="A130" s="31"/>
      <c r="B130" s="31"/>
      <c r="C130" s="31"/>
      <c r="D130" s="31"/>
      <c r="E130" s="31"/>
      <c r="F130" s="31"/>
      <c r="G130" s="31"/>
    </row>
    <row r="131" spans="1:7">
      <c r="A131" s="31"/>
      <c r="B131" s="31"/>
      <c r="C131" s="31"/>
      <c r="D131" s="31"/>
      <c r="E131" s="31"/>
      <c r="F131" s="31"/>
      <c r="G131" s="31"/>
    </row>
    <row r="132" spans="1:7">
      <c r="A132" s="31"/>
      <c r="B132" s="31"/>
      <c r="C132" s="31"/>
      <c r="D132" s="31"/>
      <c r="E132" s="31"/>
      <c r="F132" s="31"/>
      <c r="G132" s="31"/>
    </row>
    <row r="133" spans="1:7">
      <c r="A133" s="31"/>
      <c r="B133" s="31"/>
      <c r="C133" s="31"/>
      <c r="D133" s="31"/>
      <c r="E133" s="31"/>
      <c r="F133" s="31"/>
      <c r="G133" s="31"/>
    </row>
    <row r="134" spans="1:7">
      <c r="A134" s="31"/>
      <c r="B134" s="31"/>
      <c r="C134" s="31"/>
      <c r="D134" s="31"/>
      <c r="E134" s="31"/>
      <c r="F134" s="31"/>
      <c r="G134" s="31"/>
    </row>
    <row r="135" spans="1:7">
      <c r="A135" s="31"/>
      <c r="B135" s="31"/>
      <c r="C135" s="31"/>
      <c r="D135" s="31"/>
      <c r="E135" s="31"/>
      <c r="F135" s="31"/>
      <c r="G135" s="31"/>
    </row>
    <row r="136" spans="1:7">
      <c r="A136" s="31"/>
      <c r="B136" s="31"/>
      <c r="C136" s="31"/>
      <c r="D136" s="31"/>
      <c r="E136" s="31"/>
      <c r="F136" s="31"/>
      <c r="G136" s="31"/>
    </row>
    <row r="137" spans="1:7">
      <c r="A137" s="31"/>
      <c r="B137" s="31"/>
      <c r="C137" s="31"/>
      <c r="D137" s="31"/>
      <c r="E137" s="31"/>
      <c r="F137" s="31"/>
      <c r="G137" s="31"/>
    </row>
    <row r="138" spans="1:7">
      <c r="A138" s="31"/>
      <c r="B138" s="31"/>
      <c r="C138" s="31"/>
      <c r="D138" s="31"/>
      <c r="E138" s="31"/>
      <c r="F138" s="31"/>
      <c r="G138" s="31"/>
    </row>
    <row r="139" spans="1:7">
      <c r="A139" s="31"/>
      <c r="B139" s="31"/>
      <c r="C139" s="31"/>
      <c r="D139" s="31"/>
      <c r="E139" s="31"/>
      <c r="F139" s="31"/>
      <c r="G139" s="31"/>
    </row>
    <row r="140" spans="1:7">
      <c r="A140" s="31"/>
      <c r="B140" s="31"/>
      <c r="C140" s="31"/>
      <c r="D140" s="31"/>
      <c r="E140" s="31"/>
      <c r="F140" s="31"/>
      <c r="G140" s="31"/>
    </row>
    <row r="141" spans="1:7">
      <c r="A141" s="31"/>
      <c r="B141" s="31"/>
      <c r="C141" s="31"/>
      <c r="D141" s="31"/>
      <c r="E141" s="31"/>
      <c r="F141" s="31"/>
      <c r="G141" s="31"/>
    </row>
    <row r="142" spans="1:7">
      <c r="A142" s="31"/>
      <c r="B142" s="31"/>
      <c r="C142" s="31"/>
      <c r="D142" s="31"/>
      <c r="E142" s="31"/>
      <c r="F142" s="31"/>
      <c r="G142" s="31"/>
    </row>
    <row r="143" spans="1:7">
      <c r="A143" s="31"/>
      <c r="B143" s="31"/>
      <c r="C143" s="31"/>
      <c r="D143" s="31"/>
      <c r="E143" s="31"/>
      <c r="F143" s="31"/>
      <c r="G143" s="31"/>
    </row>
    <row r="144" spans="1:7">
      <c r="A144" s="31"/>
      <c r="B144" s="31"/>
      <c r="C144" s="31"/>
      <c r="D144" s="31"/>
      <c r="E144" s="31"/>
      <c r="F144" s="31"/>
      <c r="G144" s="31"/>
    </row>
    <row r="145" spans="1:7">
      <c r="A145" s="31"/>
      <c r="B145" s="31"/>
      <c r="C145" s="31"/>
      <c r="D145" s="31"/>
      <c r="E145" s="31"/>
      <c r="F145" s="31"/>
      <c r="G145" s="31"/>
    </row>
    <row r="146" spans="1:7">
      <c r="A146" s="31"/>
      <c r="B146" s="31"/>
      <c r="C146" s="31"/>
      <c r="D146" s="31"/>
      <c r="E146" s="31"/>
      <c r="F146" s="31"/>
      <c r="G146" s="31"/>
    </row>
    <row r="147" spans="1:7">
      <c r="A147" s="31"/>
      <c r="B147" s="31"/>
      <c r="C147" s="31"/>
      <c r="D147" s="31"/>
      <c r="E147" s="31"/>
      <c r="F147" s="31"/>
      <c r="G147" s="31"/>
    </row>
    <row r="148" spans="1:7">
      <c r="A148" s="31"/>
      <c r="B148" s="31"/>
      <c r="C148" s="31"/>
      <c r="D148" s="31"/>
      <c r="E148" s="31"/>
      <c r="F148" s="31"/>
      <c r="G148" s="31"/>
    </row>
    <row r="149" spans="1:7">
      <c r="A149" s="31"/>
      <c r="B149" s="31"/>
      <c r="C149" s="31"/>
      <c r="D149" s="31"/>
      <c r="E149" s="31"/>
      <c r="F149" s="31"/>
      <c r="G149" s="31"/>
    </row>
    <row r="150" spans="1:7">
      <c r="A150" s="31"/>
      <c r="B150" s="31"/>
      <c r="C150" s="31"/>
      <c r="D150" s="31"/>
      <c r="E150" s="31"/>
      <c r="F150" s="31"/>
      <c r="G150" s="31"/>
    </row>
    <row r="151" spans="1:7">
      <c r="A151" s="31"/>
      <c r="B151" s="31"/>
      <c r="C151" s="31"/>
      <c r="D151" s="31"/>
      <c r="E151" s="31"/>
      <c r="F151" s="31"/>
      <c r="G151" s="31"/>
    </row>
    <row r="152" spans="1:7">
      <c r="A152" s="31"/>
      <c r="B152" s="31"/>
      <c r="C152" s="31"/>
      <c r="D152" s="31"/>
      <c r="E152" s="31"/>
      <c r="F152" s="31"/>
      <c r="G152" s="31"/>
    </row>
    <row r="153" spans="1:7">
      <c r="A153" s="31"/>
      <c r="B153" s="31"/>
      <c r="C153" s="31"/>
      <c r="D153" s="31"/>
      <c r="E153" s="31"/>
      <c r="F153" s="31"/>
      <c r="G153" s="31"/>
    </row>
    <row r="154" spans="1:7">
      <c r="A154" s="31"/>
      <c r="B154" s="31"/>
      <c r="C154" s="31"/>
      <c r="D154" s="31"/>
      <c r="E154" s="31"/>
      <c r="F154" s="31"/>
      <c r="G154" s="31"/>
    </row>
    <row r="155" spans="1:7">
      <c r="A155" s="31"/>
      <c r="B155" s="31"/>
      <c r="C155" s="31"/>
      <c r="D155" s="31"/>
      <c r="E155" s="31"/>
      <c r="F155" s="31"/>
      <c r="G155" s="31"/>
    </row>
    <row r="156" spans="1:7">
      <c r="A156" s="31"/>
      <c r="B156" s="31"/>
      <c r="C156" s="31"/>
      <c r="D156" s="31"/>
      <c r="E156" s="31"/>
      <c r="F156" s="31"/>
      <c r="G156" s="31"/>
    </row>
    <row r="157" spans="1:7">
      <c r="A157" s="31"/>
      <c r="B157" s="31"/>
      <c r="C157" s="31"/>
      <c r="D157" s="31"/>
      <c r="E157" s="31"/>
      <c r="F157" s="31"/>
      <c r="G157" s="31"/>
    </row>
    <row r="158" spans="1:7">
      <c r="A158" s="31"/>
      <c r="B158" s="31"/>
      <c r="C158" s="31"/>
      <c r="D158" s="31"/>
      <c r="E158" s="31"/>
      <c r="F158" s="31"/>
      <c r="G158" s="31"/>
    </row>
    <row r="159" spans="1:7">
      <c r="A159" s="31"/>
      <c r="B159" s="31"/>
      <c r="C159" s="31"/>
      <c r="D159" s="31"/>
      <c r="E159" s="31"/>
      <c r="F159" s="31"/>
      <c r="G159" s="31"/>
    </row>
    <row r="160" spans="1:7">
      <c r="A160" s="31"/>
      <c r="B160" s="31"/>
      <c r="C160" s="31"/>
      <c r="D160" s="31"/>
      <c r="E160" s="31"/>
      <c r="F160" s="31"/>
      <c r="G160" s="31"/>
    </row>
    <row r="161" spans="1:7">
      <c r="A161" s="31"/>
      <c r="B161" s="31"/>
      <c r="C161" s="31"/>
      <c r="D161" s="31"/>
      <c r="E161" s="31"/>
      <c r="F161" s="31"/>
      <c r="G161" s="31"/>
    </row>
    <row r="162" spans="1:7">
      <c r="A162" s="31"/>
      <c r="B162" s="31"/>
      <c r="C162" s="31"/>
      <c r="D162" s="31"/>
      <c r="E162" s="31"/>
      <c r="F162" s="31"/>
      <c r="G162" s="31"/>
    </row>
    <row r="163" spans="1:7">
      <c r="A163" s="31"/>
      <c r="B163" s="31"/>
      <c r="C163" s="31"/>
      <c r="D163" s="31"/>
      <c r="E163" s="31"/>
      <c r="F163" s="31"/>
      <c r="G163" s="31"/>
    </row>
    <row r="164" spans="1:7">
      <c r="A164" s="31"/>
      <c r="B164" s="31"/>
      <c r="C164" s="31"/>
      <c r="D164" s="31"/>
      <c r="E164" s="31"/>
      <c r="F164" s="31"/>
      <c r="G164" s="31"/>
    </row>
    <row r="165" spans="1:7">
      <c r="A165" s="31"/>
      <c r="B165" s="31"/>
      <c r="C165" s="31"/>
      <c r="D165" s="31"/>
      <c r="E165" s="31"/>
      <c r="F165" s="31"/>
      <c r="G165" s="31"/>
    </row>
    <row r="166" spans="1:7">
      <c r="A166" s="31"/>
      <c r="B166" s="31"/>
      <c r="C166" s="31"/>
      <c r="D166" s="31"/>
      <c r="E166" s="31"/>
      <c r="F166" s="31"/>
      <c r="G166" s="31"/>
    </row>
    <row r="167" spans="1:7">
      <c r="A167" s="31"/>
      <c r="B167" s="31"/>
      <c r="C167" s="31"/>
      <c r="D167" s="31"/>
      <c r="E167" s="31"/>
      <c r="F167" s="31"/>
      <c r="G167" s="31"/>
    </row>
    <row r="168" spans="1:7">
      <c r="A168" s="31"/>
      <c r="B168" s="31"/>
      <c r="C168" s="31"/>
      <c r="D168" s="31"/>
      <c r="E168" s="31"/>
      <c r="F168" s="31"/>
      <c r="G168" s="31"/>
    </row>
    <row r="169" spans="1:7">
      <c r="A169" s="31"/>
      <c r="B169" s="31"/>
      <c r="C169" s="31"/>
      <c r="D169" s="31"/>
      <c r="E169" s="31"/>
      <c r="F169" s="31"/>
      <c r="G169" s="31"/>
    </row>
    <row r="170" spans="1:7">
      <c r="A170" s="31"/>
      <c r="B170" s="31"/>
      <c r="C170" s="31"/>
      <c r="D170" s="31"/>
      <c r="E170" s="31"/>
      <c r="F170" s="31"/>
      <c r="G170" s="31"/>
    </row>
    <row r="171" spans="1:7">
      <c r="A171" s="31"/>
      <c r="B171" s="31"/>
      <c r="C171" s="31"/>
      <c r="D171" s="31"/>
      <c r="E171" s="31"/>
      <c r="F171" s="31"/>
      <c r="G171" s="31"/>
    </row>
    <row r="172" spans="1:7">
      <c r="A172" s="31"/>
      <c r="B172" s="31"/>
      <c r="C172" s="31"/>
      <c r="D172" s="31"/>
      <c r="E172" s="31"/>
      <c r="F172" s="31"/>
      <c r="G172" s="31"/>
    </row>
    <row r="173" spans="1:7">
      <c r="A173" s="31"/>
      <c r="B173" s="31"/>
      <c r="C173" s="31"/>
      <c r="D173" s="31"/>
      <c r="E173" s="31"/>
      <c r="F173" s="31"/>
      <c r="G173" s="31"/>
    </row>
    <row r="174" spans="1:7">
      <c r="A174" s="31"/>
      <c r="B174" s="31"/>
      <c r="C174" s="31"/>
      <c r="D174" s="31"/>
      <c r="E174" s="31"/>
      <c r="F174" s="31"/>
      <c r="G174" s="31"/>
    </row>
    <row r="175" spans="1:7">
      <c r="A175" s="31"/>
      <c r="B175" s="31"/>
      <c r="C175" s="31"/>
      <c r="D175" s="31"/>
      <c r="E175" s="31"/>
      <c r="F175" s="31"/>
      <c r="G175" s="31"/>
    </row>
    <row r="176" spans="1:7">
      <c r="A176" s="31"/>
      <c r="B176" s="31"/>
      <c r="C176" s="31"/>
      <c r="D176" s="31"/>
      <c r="E176" s="31"/>
      <c r="F176" s="31"/>
      <c r="G176" s="31"/>
    </row>
    <row r="177" spans="1:7">
      <c r="A177" s="31"/>
      <c r="B177" s="31"/>
      <c r="C177" s="31"/>
      <c r="D177" s="31"/>
      <c r="E177" s="31"/>
      <c r="F177" s="31"/>
      <c r="G177" s="31"/>
    </row>
    <row r="178" spans="1:7">
      <c r="A178" s="31"/>
      <c r="B178" s="31"/>
      <c r="C178" s="31"/>
      <c r="D178" s="31"/>
      <c r="E178" s="31"/>
      <c r="F178" s="31"/>
      <c r="G178" s="31"/>
    </row>
    <row r="179" spans="1:7">
      <c r="A179" s="31"/>
      <c r="B179" s="31"/>
      <c r="C179" s="31"/>
      <c r="D179" s="31"/>
      <c r="E179" s="31"/>
      <c r="F179" s="31"/>
      <c r="G179" s="31"/>
    </row>
    <row r="180" spans="1:7">
      <c r="A180" s="31"/>
      <c r="B180" s="31"/>
      <c r="C180" s="31"/>
      <c r="D180" s="31"/>
      <c r="E180" s="31"/>
      <c r="F180" s="31"/>
      <c r="G180" s="31"/>
    </row>
    <row r="181" spans="1:7">
      <c r="A181" s="31"/>
      <c r="B181" s="31"/>
      <c r="C181" s="31"/>
      <c r="D181" s="31"/>
      <c r="E181" s="31"/>
      <c r="F181" s="31"/>
      <c r="G181" s="31"/>
    </row>
    <row r="182" spans="1:7">
      <c r="A182" s="31"/>
      <c r="B182" s="31"/>
      <c r="C182" s="31"/>
      <c r="D182" s="31"/>
      <c r="E182" s="31"/>
      <c r="F182" s="31"/>
      <c r="G182" s="31"/>
    </row>
    <row r="183" spans="1:7">
      <c r="A183" s="31"/>
      <c r="B183" s="31"/>
      <c r="C183" s="31"/>
      <c r="D183" s="31"/>
      <c r="E183" s="31"/>
      <c r="F183" s="31"/>
      <c r="G183" s="31"/>
    </row>
    <row r="184" spans="1:7">
      <c r="A184" s="31"/>
      <c r="B184" s="31"/>
      <c r="C184" s="31"/>
      <c r="D184" s="31"/>
      <c r="E184" s="31"/>
      <c r="F184" s="31"/>
      <c r="G184" s="31"/>
    </row>
    <row r="185" spans="1:7">
      <c r="A185" s="31"/>
      <c r="B185" s="31"/>
      <c r="C185" s="31"/>
      <c r="D185" s="31"/>
      <c r="E185" s="31"/>
      <c r="F185" s="31"/>
      <c r="G185" s="31"/>
    </row>
    <row r="186" spans="1:7">
      <c r="A186" s="31"/>
      <c r="B186" s="31"/>
      <c r="C186" s="31"/>
      <c r="D186" s="31"/>
      <c r="E186" s="31"/>
      <c r="F186" s="31"/>
      <c r="G186" s="31"/>
    </row>
    <row r="187" spans="1:7">
      <c r="A187" s="31"/>
      <c r="B187" s="31"/>
      <c r="C187" s="31"/>
      <c r="D187" s="31"/>
      <c r="E187" s="31"/>
      <c r="F187" s="31"/>
      <c r="G187" s="31"/>
    </row>
    <row r="188" spans="1:7">
      <c r="A188" s="31"/>
      <c r="B188" s="31"/>
      <c r="C188" s="31"/>
      <c r="D188" s="31"/>
      <c r="E188" s="31"/>
      <c r="F188" s="31"/>
      <c r="G188" s="31"/>
    </row>
    <row r="189" spans="1:7">
      <c r="A189" s="31"/>
      <c r="B189" s="31"/>
      <c r="C189" s="31"/>
      <c r="D189" s="31"/>
      <c r="E189" s="31"/>
      <c r="F189" s="31"/>
      <c r="G189" s="31"/>
    </row>
    <row r="190" spans="1:7">
      <c r="A190" s="31"/>
      <c r="B190" s="31"/>
      <c r="C190" s="31"/>
      <c r="D190" s="31"/>
      <c r="E190" s="31"/>
      <c r="F190" s="31"/>
      <c r="G190" s="31"/>
    </row>
    <row r="191" spans="1:7">
      <c r="A191" s="31"/>
      <c r="B191" s="31"/>
      <c r="C191" s="31"/>
      <c r="D191" s="31"/>
      <c r="E191" s="31"/>
      <c r="F191" s="31"/>
      <c r="G191" s="31"/>
    </row>
    <row r="192" spans="1:7">
      <c r="A192" s="31"/>
      <c r="B192" s="31"/>
      <c r="C192" s="31"/>
      <c r="D192" s="31"/>
      <c r="E192" s="31"/>
      <c r="F192" s="31"/>
      <c r="G192" s="31"/>
    </row>
    <row r="193" spans="1:7">
      <c r="A193" s="31"/>
      <c r="B193" s="31"/>
      <c r="C193" s="31"/>
      <c r="D193" s="31"/>
      <c r="E193" s="31"/>
      <c r="F193" s="31"/>
      <c r="G193" s="31"/>
    </row>
    <row r="194" spans="1:7">
      <c r="A194" s="31"/>
      <c r="B194" s="31"/>
      <c r="C194" s="31"/>
      <c r="D194" s="31"/>
      <c r="E194" s="31"/>
      <c r="F194" s="31"/>
      <c r="G194" s="31"/>
    </row>
    <row r="195" spans="1:7">
      <c r="A195" s="31"/>
      <c r="B195" s="31"/>
      <c r="C195" s="31"/>
      <c r="D195" s="31"/>
      <c r="E195" s="31"/>
      <c r="F195" s="31"/>
      <c r="G195" s="31"/>
    </row>
    <row r="196" spans="1:7">
      <c r="A196" s="31"/>
      <c r="B196" s="31"/>
      <c r="C196" s="31"/>
      <c r="D196" s="31"/>
      <c r="E196" s="31"/>
      <c r="F196" s="31"/>
      <c r="G196" s="31"/>
    </row>
    <row r="197" spans="1:7">
      <c r="A197" s="31"/>
      <c r="B197" s="31"/>
      <c r="C197" s="31"/>
      <c r="D197" s="31"/>
      <c r="E197" s="31"/>
      <c r="F197" s="31"/>
      <c r="G197" s="31"/>
    </row>
    <row r="198" spans="1:7">
      <c r="A198" s="31"/>
      <c r="B198" s="31"/>
      <c r="C198" s="31"/>
      <c r="D198" s="31"/>
      <c r="E198" s="31"/>
      <c r="F198" s="31"/>
      <c r="G198" s="31"/>
    </row>
    <row r="199" spans="1:7">
      <c r="A199" s="31"/>
      <c r="B199" s="31"/>
      <c r="C199" s="31"/>
      <c r="D199" s="31"/>
      <c r="E199" s="31"/>
      <c r="F199" s="31"/>
      <c r="G199" s="31"/>
    </row>
    <row r="200" spans="1:7">
      <c r="A200" s="31"/>
      <c r="B200" s="31"/>
      <c r="C200" s="31"/>
      <c r="D200" s="31"/>
      <c r="E200" s="31"/>
      <c r="F200" s="31"/>
      <c r="G200" s="31"/>
    </row>
    <row r="201" spans="1:7">
      <c r="A201" s="31"/>
      <c r="B201" s="31"/>
      <c r="C201" s="31"/>
      <c r="D201" s="31"/>
      <c r="E201" s="31"/>
      <c r="F201" s="31"/>
      <c r="G201" s="31"/>
    </row>
    <row r="202" spans="1:7">
      <c r="A202" s="31"/>
      <c r="B202" s="31"/>
      <c r="C202" s="31"/>
      <c r="D202" s="31"/>
      <c r="E202" s="31"/>
      <c r="F202" s="31"/>
      <c r="G202" s="31"/>
    </row>
    <row r="203" spans="1:7">
      <c r="A203" s="31"/>
      <c r="B203" s="31"/>
      <c r="C203" s="31"/>
      <c r="D203" s="31"/>
      <c r="E203" s="31"/>
      <c r="F203" s="31"/>
      <c r="G203" s="31"/>
    </row>
    <row r="204" spans="1:7">
      <c r="A204" s="31"/>
      <c r="B204" s="31"/>
      <c r="C204" s="31"/>
      <c r="D204" s="31"/>
      <c r="E204" s="31"/>
      <c r="F204" s="31"/>
      <c r="G204" s="31"/>
    </row>
    <row r="205" spans="1:7">
      <c r="A205" s="31"/>
      <c r="B205" s="31"/>
      <c r="C205" s="31"/>
      <c r="D205" s="31"/>
      <c r="E205" s="31"/>
      <c r="F205" s="31"/>
      <c r="G205" s="31"/>
    </row>
    <row r="206" spans="1:7">
      <c r="A206" s="31"/>
      <c r="B206" s="31"/>
      <c r="C206" s="31"/>
      <c r="D206" s="31"/>
      <c r="E206" s="31"/>
      <c r="F206" s="31"/>
      <c r="G206" s="31"/>
    </row>
    <row r="207" spans="1:7">
      <c r="A207" s="31"/>
      <c r="B207" s="31"/>
      <c r="C207" s="31"/>
      <c r="D207" s="31"/>
      <c r="E207" s="31"/>
      <c r="F207" s="31"/>
      <c r="G207" s="31"/>
    </row>
    <row r="208" spans="1:7">
      <c r="A208" s="31"/>
      <c r="B208" s="31"/>
      <c r="C208" s="31"/>
      <c r="D208" s="31"/>
      <c r="E208" s="31"/>
      <c r="F208" s="31"/>
      <c r="G208" s="31"/>
    </row>
    <row r="209" spans="1:7">
      <c r="A209" s="31"/>
      <c r="B209" s="31"/>
      <c r="C209" s="31"/>
      <c r="D209" s="31"/>
      <c r="E209" s="31"/>
      <c r="F209" s="31"/>
      <c r="G209" s="31"/>
    </row>
    <row r="210" spans="1:7">
      <c r="A210" s="31"/>
      <c r="B210" s="31"/>
      <c r="C210" s="31"/>
      <c r="D210" s="31"/>
      <c r="E210" s="31"/>
      <c r="F210" s="31"/>
      <c r="G210" s="31"/>
    </row>
    <row r="211" spans="1:7">
      <c r="A211" s="31"/>
      <c r="B211" s="31"/>
      <c r="C211" s="31"/>
      <c r="D211" s="31"/>
      <c r="E211" s="31"/>
      <c r="F211" s="31"/>
      <c r="G211" s="31"/>
    </row>
    <row r="212" spans="1:7">
      <c r="A212" s="31"/>
      <c r="B212" s="31"/>
      <c r="C212" s="31"/>
      <c r="D212" s="31"/>
      <c r="E212" s="31"/>
      <c r="F212" s="31"/>
      <c r="G212" s="31"/>
    </row>
    <row r="213" spans="1:7">
      <c r="A213" s="31"/>
      <c r="B213" s="31"/>
      <c r="C213" s="31"/>
      <c r="D213" s="31"/>
      <c r="E213" s="31"/>
      <c r="F213" s="31"/>
      <c r="G213" s="31"/>
    </row>
    <row r="214" spans="1:7">
      <c r="A214" s="31"/>
      <c r="B214" s="31"/>
      <c r="C214" s="31"/>
      <c r="D214" s="31"/>
      <c r="E214" s="31"/>
      <c r="F214" s="31"/>
      <c r="G214" s="31"/>
    </row>
    <row r="215" spans="1:7">
      <c r="A215" s="31"/>
      <c r="B215" s="31"/>
      <c r="C215" s="31"/>
      <c r="D215" s="31"/>
      <c r="E215" s="31"/>
      <c r="F215" s="31"/>
      <c r="G215" s="31"/>
    </row>
    <row r="216" spans="1:7">
      <c r="A216" s="31"/>
      <c r="B216" s="31"/>
      <c r="C216" s="31"/>
      <c r="D216" s="31"/>
      <c r="E216" s="31"/>
      <c r="F216" s="31"/>
      <c r="G216" s="31"/>
    </row>
    <row r="217" spans="1:7">
      <c r="A217" s="31"/>
      <c r="B217" s="31"/>
      <c r="C217" s="31"/>
      <c r="D217" s="31"/>
      <c r="E217" s="31"/>
      <c r="F217" s="31"/>
      <c r="G217" s="31"/>
    </row>
    <row r="218" spans="1:7">
      <c r="A218" s="31"/>
      <c r="B218" s="31"/>
      <c r="C218" s="31"/>
      <c r="D218" s="31"/>
      <c r="E218" s="31"/>
      <c r="F218" s="31"/>
      <c r="G218" s="31"/>
    </row>
    <row r="219" spans="1:7">
      <c r="A219" s="31"/>
      <c r="B219" s="31"/>
      <c r="C219" s="31"/>
      <c r="D219" s="31"/>
      <c r="E219" s="31"/>
      <c r="F219" s="31"/>
      <c r="G219" s="31"/>
    </row>
    <row r="220" spans="1:7">
      <c r="A220" s="31"/>
      <c r="B220" s="31"/>
      <c r="C220" s="31"/>
      <c r="D220" s="31"/>
      <c r="E220" s="31"/>
      <c r="F220" s="31"/>
      <c r="G220" s="31"/>
    </row>
    <row r="221" spans="1:7">
      <c r="A221" s="31"/>
      <c r="B221" s="31"/>
      <c r="C221" s="31"/>
      <c r="D221" s="31"/>
      <c r="E221" s="31"/>
      <c r="F221" s="31"/>
      <c r="G221" s="31"/>
    </row>
    <row r="222" spans="1:7">
      <c r="A222" s="31"/>
      <c r="B222" s="31"/>
      <c r="C222" s="31"/>
      <c r="D222" s="31"/>
      <c r="E222" s="31"/>
      <c r="F222" s="31"/>
      <c r="G222" s="31"/>
    </row>
    <row r="223" spans="1:7">
      <c r="A223" s="31"/>
      <c r="B223" s="31"/>
      <c r="C223" s="31"/>
      <c r="D223" s="31"/>
      <c r="E223" s="31"/>
      <c r="F223" s="31"/>
      <c r="G223" s="31"/>
    </row>
    <row r="224" spans="1:7">
      <c r="A224" s="31"/>
      <c r="B224" s="31"/>
      <c r="C224" s="31"/>
      <c r="D224" s="31"/>
      <c r="E224" s="31"/>
      <c r="F224" s="31"/>
      <c r="G224" s="31"/>
    </row>
    <row r="225" spans="1:7">
      <c r="A225" s="31"/>
      <c r="B225" s="31"/>
      <c r="C225" s="31"/>
      <c r="D225" s="31"/>
      <c r="E225" s="31"/>
      <c r="F225" s="31"/>
      <c r="G225" s="31"/>
    </row>
    <row r="226" spans="1:7">
      <c r="A226" s="31"/>
      <c r="B226" s="31"/>
      <c r="C226" s="31"/>
      <c r="D226" s="31"/>
      <c r="E226" s="31"/>
      <c r="F226" s="31"/>
      <c r="G226" s="31"/>
    </row>
    <row r="227" spans="1:7">
      <c r="A227" s="31"/>
      <c r="B227" s="31"/>
      <c r="C227" s="31"/>
      <c r="D227" s="31"/>
      <c r="E227" s="31"/>
      <c r="F227" s="31"/>
      <c r="G227" s="31"/>
    </row>
    <row r="228" spans="1:7">
      <c r="A228" s="31"/>
      <c r="B228" s="31"/>
      <c r="C228" s="31"/>
      <c r="D228" s="31"/>
      <c r="E228" s="31"/>
      <c r="F228" s="31"/>
      <c r="G228" s="31"/>
    </row>
    <row r="229" spans="1:7">
      <c r="A229" s="31"/>
      <c r="B229" s="31"/>
      <c r="C229" s="31"/>
      <c r="D229" s="31"/>
      <c r="E229" s="31"/>
      <c r="F229" s="31"/>
      <c r="G229" s="31"/>
    </row>
    <row r="230" spans="1:7">
      <c r="A230" s="31"/>
      <c r="B230" s="31"/>
      <c r="C230" s="31"/>
      <c r="D230" s="31"/>
      <c r="E230" s="31"/>
      <c r="F230" s="31"/>
      <c r="G230" s="31"/>
    </row>
    <row r="231" spans="1:7">
      <c r="A231" s="31"/>
      <c r="B231" s="31"/>
      <c r="C231" s="31"/>
      <c r="D231" s="31"/>
      <c r="E231" s="31"/>
      <c r="F231" s="31"/>
      <c r="G231" s="31"/>
    </row>
    <row r="232" spans="1:7">
      <c r="A232" s="31"/>
      <c r="B232" s="31"/>
      <c r="C232" s="31"/>
      <c r="D232" s="31"/>
      <c r="E232" s="31"/>
      <c r="F232" s="31"/>
      <c r="G232" s="31"/>
    </row>
    <row r="233" spans="1:7">
      <c r="A233" s="31"/>
      <c r="B233" s="31"/>
      <c r="C233" s="31"/>
      <c r="D233" s="31"/>
      <c r="E233" s="31"/>
      <c r="F233" s="31"/>
      <c r="G233" s="31"/>
    </row>
    <row r="234" spans="1:7">
      <c r="A234" s="31"/>
      <c r="B234" s="31"/>
      <c r="C234" s="31"/>
      <c r="D234" s="31"/>
      <c r="E234" s="31"/>
      <c r="F234" s="31"/>
      <c r="G234" s="31"/>
    </row>
    <row r="235" spans="1:7">
      <c r="A235" s="31"/>
      <c r="B235" s="31"/>
      <c r="C235" s="31"/>
      <c r="D235" s="31"/>
      <c r="E235" s="31"/>
      <c r="F235" s="31"/>
      <c r="G235" s="31"/>
    </row>
    <row r="236" spans="1:7">
      <c r="A236" s="31"/>
      <c r="B236" s="31"/>
      <c r="C236" s="31"/>
      <c r="D236" s="31"/>
      <c r="E236" s="31"/>
      <c r="F236" s="31"/>
      <c r="G236" s="31"/>
    </row>
    <row r="237" spans="1:7">
      <c r="A237" s="31"/>
      <c r="B237" s="31"/>
      <c r="C237" s="31"/>
      <c r="D237" s="31"/>
      <c r="E237" s="31"/>
      <c r="F237" s="31"/>
      <c r="G237" s="31"/>
    </row>
    <row r="238" spans="1:7">
      <c r="A238" s="31"/>
      <c r="B238" s="31"/>
      <c r="C238" s="31"/>
      <c r="D238" s="31"/>
      <c r="E238" s="31"/>
      <c r="F238" s="31"/>
      <c r="G238" s="31"/>
    </row>
    <row r="239" spans="1:7">
      <c r="A239" s="31"/>
      <c r="B239" s="31"/>
      <c r="C239" s="31"/>
      <c r="D239" s="31"/>
      <c r="E239" s="31"/>
      <c r="F239" s="31"/>
      <c r="G239" s="31"/>
    </row>
    <row r="240" spans="1:7">
      <c r="A240" s="31"/>
      <c r="B240" s="31"/>
      <c r="C240" s="31"/>
      <c r="D240" s="31"/>
      <c r="E240" s="31"/>
      <c r="F240" s="31"/>
      <c r="G240" s="31"/>
    </row>
    <row r="241" spans="1:7">
      <c r="A241" s="31"/>
      <c r="B241" s="31"/>
      <c r="C241" s="31"/>
      <c r="D241" s="31"/>
      <c r="E241" s="31"/>
      <c r="F241" s="31"/>
      <c r="G241" s="31"/>
    </row>
    <row r="242" spans="1:7">
      <c r="A242" s="31"/>
      <c r="B242" s="31"/>
      <c r="C242" s="31"/>
      <c r="D242" s="31"/>
      <c r="E242" s="31"/>
      <c r="F242" s="31"/>
      <c r="G242" s="31"/>
    </row>
    <row r="243" spans="1:7">
      <c r="A243" s="31"/>
      <c r="B243" s="31"/>
      <c r="C243" s="31"/>
      <c r="D243" s="31"/>
      <c r="E243" s="31"/>
      <c r="F243" s="31"/>
      <c r="G243" s="31"/>
    </row>
    <row r="244" spans="1:7">
      <c r="A244" s="31"/>
      <c r="B244" s="31"/>
      <c r="C244" s="31"/>
      <c r="D244" s="31"/>
      <c r="E244" s="31"/>
      <c r="F244" s="31"/>
      <c r="G244" s="31"/>
    </row>
    <row r="245" spans="1:7">
      <c r="A245" s="31"/>
      <c r="B245" s="31"/>
      <c r="C245" s="31"/>
      <c r="D245" s="31"/>
      <c r="E245" s="31"/>
      <c r="F245" s="31"/>
      <c r="G245" s="31"/>
    </row>
    <row r="246" spans="1:7">
      <c r="A246" s="31"/>
      <c r="B246" s="31"/>
      <c r="C246" s="31"/>
      <c r="D246" s="31"/>
      <c r="E246" s="31"/>
      <c r="F246" s="31"/>
      <c r="G246" s="31"/>
    </row>
    <row r="247" spans="1:7">
      <c r="A247" s="31"/>
      <c r="B247" s="31"/>
      <c r="C247" s="31"/>
      <c r="D247" s="31"/>
      <c r="E247" s="31"/>
      <c r="F247" s="31"/>
      <c r="G247" s="31"/>
    </row>
    <row r="248" spans="1:7">
      <c r="A248" s="31"/>
      <c r="B248" s="31"/>
      <c r="C248" s="31"/>
      <c r="D248" s="31"/>
      <c r="E248" s="31"/>
      <c r="F248" s="31"/>
      <c r="G248" s="31"/>
    </row>
    <row r="249" spans="1:7">
      <c r="A249" s="31"/>
      <c r="B249" s="31"/>
      <c r="C249" s="31"/>
      <c r="D249" s="31"/>
      <c r="E249" s="31"/>
      <c r="F249" s="31"/>
      <c r="G249" s="31"/>
    </row>
    <row r="250" spans="1:7">
      <c r="A250" s="31"/>
      <c r="B250" s="31"/>
      <c r="C250" s="31"/>
      <c r="D250" s="31"/>
      <c r="E250" s="31"/>
      <c r="F250" s="31"/>
      <c r="G250" s="31"/>
    </row>
    <row r="251" spans="1:7">
      <c r="A251" s="31"/>
      <c r="B251" s="31"/>
      <c r="C251" s="31"/>
      <c r="D251" s="31"/>
      <c r="E251" s="31"/>
      <c r="F251" s="31"/>
      <c r="G251" s="31"/>
    </row>
    <row r="252" spans="1:7">
      <c r="A252" s="31"/>
      <c r="B252" s="31"/>
      <c r="C252" s="31"/>
      <c r="D252" s="31"/>
      <c r="E252" s="31"/>
      <c r="F252" s="31"/>
      <c r="G252" s="31"/>
    </row>
    <row r="253" spans="1:7">
      <c r="A253" s="31"/>
      <c r="B253" s="31"/>
      <c r="C253" s="31"/>
      <c r="D253" s="31"/>
      <c r="E253" s="31"/>
      <c r="F253" s="31"/>
      <c r="G253" s="31"/>
    </row>
    <row r="254" spans="1:7">
      <c r="A254" s="31"/>
      <c r="B254" s="31"/>
      <c r="C254" s="31"/>
      <c r="D254" s="31"/>
      <c r="E254" s="31"/>
      <c r="F254" s="31"/>
      <c r="G254" s="31"/>
    </row>
    <row r="255" spans="1:7">
      <c r="A255" s="31"/>
      <c r="B255" s="31"/>
      <c r="C255" s="31"/>
      <c r="D255" s="31"/>
      <c r="E255" s="31"/>
      <c r="F255" s="31"/>
      <c r="G255" s="31"/>
    </row>
    <row r="256" spans="1:7">
      <c r="A256" s="31"/>
      <c r="B256" s="31"/>
      <c r="C256" s="31"/>
      <c r="D256" s="31"/>
      <c r="E256" s="31"/>
      <c r="F256" s="31"/>
      <c r="G256" s="31"/>
    </row>
    <row r="257" spans="1:7">
      <c r="A257" s="31"/>
      <c r="B257" s="31"/>
      <c r="C257" s="31"/>
      <c r="D257" s="31"/>
      <c r="E257" s="31"/>
      <c r="F257" s="31"/>
      <c r="G257" s="31"/>
    </row>
    <row r="258" spans="1:7">
      <c r="A258" s="31"/>
      <c r="B258" s="31"/>
      <c r="C258" s="31"/>
      <c r="D258" s="31"/>
      <c r="E258" s="31"/>
      <c r="F258" s="31"/>
      <c r="G258" s="31"/>
    </row>
    <row r="259" spans="1:7">
      <c r="A259" s="31"/>
      <c r="B259" s="31"/>
      <c r="C259" s="31"/>
      <c r="D259" s="31"/>
      <c r="E259" s="31"/>
      <c r="F259" s="31"/>
      <c r="G259" s="31"/>
    </row>
    <row r="260" spans="1:7">
      <c r="A260" s="31"/>
      <c r="B260" s="31"/>
      <c r="C260" s="31"/>
      <c r="D260" s="31"/>
      <c r="E260" s="31"/>
      <c r="F260" s="31"/>
      <c r="G260" s="31"/>
    </row>
    <row r="261" spans="1:7">
      <c r="A261" s="31"/>
      <c r="B261" s="31"/>
      <c r="C261" s="31"/>
      <c r="D261" s="31"/>
      <c r="E261" s="31"/>
      <c r="F261" s="31"/>
      <c r="G261" s="31"/>
    </row>
    <row r="262" spans="1:7">
      <c r="A262" s="31"/>
      <c r="B262" s="31"/>
      <c r="C262" s="31"/>
      <c r="D262" s="31"/>
      <c r="E262" s="31"/>
      <c r="F262" s="31"/>
      <c r="G262" s="31"/>
    </row>
    <row r="263" spans="1:7">
      <c r="A263" s="31"/>
      <c r="B263" s="31"/>
      <c r="C263" s="31"/>
      <c r="D263" s="31"/>
      <c r="E263" s="31"/>
      <c r="F263" s="31"/>
      <c r="G263" s="31"/>
    </row>
    <row r="264" spans="1:7">
      <c r="A264" s="31"/>
      <c r="B264" s="31"/>
      <c r="C264" s="31"/>
      <c r="D264" s="31"/>
      <c r="E264" s="31"/>
      <c r="F264" s="31"/>
      <c r="G264" s="31"/>
    </row>
    <row r="265" spans="1:7">
      <c r="A265" s="31"/>
      <c r="B265" s="31"/>
      <c r="C265" s="31"/>
      <c r="D265" s="31"/>
      <c r="E265" s="31"/>
      <c r="F265" s="31"/>
      <c r="G265" s="31"/>
    </row>
    <row r="266" spans="1:7">
      <c r="A266" s="31"/>
      <c r="B266" s="31"/>
      <c r="C266" s="31"/>
      <c r="D266" s="31"/>
      <c r="E266" s="31"/>
      <c r="F266" s="31"/>
      <c r="G266" s="31"/>
    </row>
    <row r="267" spans="1:7">
      <c r="A267" s="31"/>
      <c r="B267" s="31"/>
      <c r="C267" s="31"/>
      <c r="D267" s="31"/>
      <c r="E267" s="31"/>
      <c r="F267" s="31"/>
      <c r="G267" s="31"/>
    </row>
    <row r="268" spans="1:7">
      <c r="A268" s="31"/>
      <c r="B268" s="31"/>
      <c r="C268" s="31"/>
      <c r="D268" s="31"/>
      <c r="E268" s="31"/>
      <c r="F268" s="31"/>
      <c r="G268" s="31"/>
    </row>
    <row r="269" spans="1:7">
      <c r="A269" s="31"/>
      <c r="B269" s="31"/>
      <c r="C269" s="31"/>
      <c r="D269" s="31"/>
      <c r="E269" s="31"/>
      <c r="F269" s="31"/>
      <c r="G269" s="31"/>
    </row>
    <row r="270" spans="1:7">
      <c r="A270" s="31"/>
      <c r="B270" s="31"/>
      <c r="C270" s="31"/>
      <c r="D270" s="31"/>
      <c r="E270" s="31"/>
      <c r="F270" s="31"/>
      <c r="G270" s="31"/>
    </row>
    <row r="271" spans="1:7">
      <c r="A271" s="31"/>
      <c r="B271" s="31"/>
      <c r="C271" s="31"/>
      <c r="D271" s="31"/>
      <c r="E271" s="31"/>
      <c r="F271" s="31"/>
      <c r="G271" s="31"/>
    </row>
    <row r="272" spans="1:7">
      <c r="A272" s="31"/>
      <c r="B272" s="31"/>
      <c r="C272" s="31"/>
      <c r="D272" s="31"/>
      <c r="E272" s="31"/>
      <c r="F272" s="31"/>
      <c r="G272" s="31"/>
    </row>
    <row r="273" spans="1:7">
      <c r="A273" s="31"/>
      <c r="B273" s="31"/>
      <c r="C273" s="31"/>
      <c r="D273" s="31"/>
      <c r="E273" s="31"/>
      <c r="F273" s="31"/>
      <c r="G273" s="31"/>
    </row>
    <row r="274" spans="1:7">
      <c r="A274" s="31"/>
      <c r="B274" s="31"/>
      <c r="C274" s="31"/>
      <c r="D274" s="31"/>
      <c r="E274" s="31"/>
      <c r="F274" s="31"/>
      <c r="G274" s="31"/>
    </row>
    <row r="275" spans="1:7">
      <c r="A275" s="31"/>
      <c r="B275" s="31"/>
      <c r="C275" s="31"/>
      <c r="D275" s="31"/>
      <c r="E275" s="31"/>
      <c r="F275" s="31"/>
      <c r="G275" s="31"/>
    </row>
    <row r="276" spans="1:7">
      <c r="A276" s="31"/>
      <c r="B276" s="31"/>
      <c r="C276" s="31"/>
      <c r="D276" s="31"/>
      <c r="E276" s="31"/>
      <c r="F276" s="31"/>
      <c r="G276" s="31"/>
    </row>
    <row r="277" spans="1:7">
      <c r="A277" s="31"/>
      <c r="B277" s="31"/>
      <c r="C277" s="31"/>
      <c r="D277" s="31"/>
      <c r="E277" s="31"/>
      <c r="F277" s="31"/>
      <c r="G277" s="31"/>
    </row>
    <row r="278" spans="1:7">
      <c r="A278" s="31"/>
      <c r="B278" s="31"/>
      <c r="C278" s="31"/>
      <c r="D278" s="31"/>
      <c r="E278" s="31"/>
      <c r="F278" s="31"/>
      <c r="G278" s="31"/>
    </row>
    <row r="279" spans="1:7">
      <c r="A279" s="31"/>
      <c r="B279" s="31"/>
      <c r="C279" s="31"/>
      <c r="D279" s="31"/>
      <c r="E279" s="31"/>
      <c r="F279" s="31"/>
      <c r="G279" s="31"/>
    </row>
    <row r="280" spans="1:7">
      <c r="A280" s="31"/>
      <c r="B280" s="31"/>
      <c r="C280" s="31"/>
      <c r="D280" s="31"/>
      <c r="E280" s="31"/>
      <c r="F280" s="31"/>
      <c r="G280" s="31"/>
    </row>
    <row r="281" spans="1:7">
      <c r="A281" s="31"/>
      <c r="B281" s="31"/>
      <c r="C281" s="31"/>
      <c r="D281" s="31"/>
      <c r="E281" s="31"/>
      <c r="F281" s="31"/>
      <c r="G281" s="31"/>
    </row>
    <row r="282" spans="1:7">
      <c r="A282" s="31"/>
      <c r="B282" s="31"/>
      <c r="C282" s="31"/>
      <c r="D282" s="31"/>
      <c r="E282" s="31"/>
      <c r="F282" s="31"/>
      <c r="G282" s="31"/>
    </row>
    <row r="283" spans="1:7">
      <c r="A283" s="31"/>
      <c r="B283" s="31"/>
      <c r="C283" s="31"/>
      <c r="D283" s="31"/>
      <c r="E283" s="31"/>
      <c r="F283" s="31"/>
      <c r="G283" s="31"/>
    </row>
    <row r="284" spans="1:7">
      <c r="A284" s="31"/>
      <c r="B284" s="31"/>
      <c r="C284" s="31"/>
      <c r="D284" s="31"/>
      <c r="E284" s="31"/>
      <c r="F284" s="31"/>
      <c r="G284" s="31"/>
    </row>
    <row r="285" spans="1:7">
      <c r="A285" s="31"/>
      <c r="B285" s="31"/>
      <c r="C285" s="31"/>
      <c r="D285" s="31"/>
      <c r="E285" s="31"/>
      <c r="F285" s="31"/>
      <c r="G285" s="31"/>
    </row>
    <row r="286" spans="1:7">
      <c r="A286" s="31"/>
      <c r="B286" s="31"/>
      <c r="C286" s="31"/>
      <c r="D286" s="31"/>
      <c r="E286" s="31"/>
      <c r="F286" s="31"/>
      <c r="G286" s="31"/>
    </row>
    <row r="287" spans="1:7">
      <c r="A287" s="31"/>
      <c r="B287" s="31"/>
      <c r="C287" s="31"/>
      <c r="D287" s="31"/>
      <c r="E287" s="31"/>
      <c r="F287" s="31"/>
      <c r="G287" s="31"/>
    </row>
    <row r="288" spans="1:7">
      <c r="A288" s="31"/>
      <c r="B288" s="31"/>
      <c r="C288" s="31"/>
      <c r="D288" s="31"/>
      <c r="E288" s="31"/>
      <c r="F288" s="31"/>
      <c r="G288" s="31"/>
    </row>
    <row r="289" spans="1:7">
      <c r="A289" s="31"/>
      <c r="B289" s="31"/>
      <c r="C289" s="31"/>
      <c r="D289" s="31"/>
      <c r="E289" s="31"/>
      <c r="F289" s="31"/>
      <c r="G289" s="31"/>
    </row>
    <row r="290" spans="1:7">
      <c r="A290" s="31"/>
      <c r="B290" s="31"/>
      <c r="C290" s="31"/>
      <c r="D290" s="31"/>
      <c r="E290" s="31"/>
      <c r="F290" s="31"/>
      <c r="G290" s="31"/>
    </row>
    <row r="291" spans="1:7">
      <c r="A291" s="31"/>
      <c r="B291" s="31"/>
      <c r="C291" s="31"/>
      <c r="D291" s="31"/>
      <c r="E291" s="31"/>
      <c r="F291" s="31"/>
      <c r="G291" s="31"/>
    </row>
    <row r="292" spans="1:7">
      <c r="A292" s="31"/>
      <c r="B292" s="31"/>
      <c r="C292" s="31"/>
      <c r="D292" s="31"/>
      <c r="E292" s="31"/>
      <c r="F292" s="31"/>
      <c r="G292" s="31"/>
    </row>
    <row r="293" spans="1:7">
      <c r="A293" s="31"/>
      <c r="B293" s="31"/>
      <c r="C293" s="31"/>
      <c r="D293" s="31"/>
      <c r="E293" s="31"/>
      <c r="F293" s="31"/>
      <c r="G293" s="31"/>
    </row>
    <row r="294" spans="1:7">
      <c r="A294" s="31"/>
      <c r="B294" s="31"/>
      <c r="C294" s="31"/>
      <c r="D294" s="31"/>
      <c r="E294" s="31"/>
      <c r="F294" s="31"/>
      <c r="G294" s="31"/>
    </row>
    <row r="295" spans="1:7">
      <c r="A295" s="31"/>
      <c r="B295" s="31"/>
      <c r="C295" s="31"/>
      <c r="D295" s="31"/>
      <c r="E295" s="31"/>
      <c r="F295" s="31"/>
      <c r="G295" s="31"/>
    </row>
    <row r="296" spans="1:7">
      <c r="A296" s="31"/>
      <c r="B296" s="31"/>
      <c r="C296" s="31"/>
      <c r="D296" s="31"/>
      <c r="E296" s="31"/>
      <c r="F296" s="31"/>
      <c r="G296" s="31"/>
    </row>
    <row r="297" spans="1:7">
      <c r="A297" s="31"/>
      <c r="B297" s="31"/>
      <c r="C297" s="31"/>
      <c r="D297" s="31"/>
      <c r="E297" s="31"/>
      <c r="F297" s="31"/>
      <c r="G297" s="31"/>
    </row>
    <row r="298" spans="1:7">
      <c r="A298" s="31"/>
      <c r="B298" s="31"/>
      <c r="C298" s="31"/>
      <c r="D298" s="31"/>
      <c r="E298" s="31"/>
      <c r="F298" s="31"/>
      <c r="G298" s="31"/>
    </row>
    <row r="299" spans="1:7">
      <c r="A299" s="31"/>
      <c r="B299" s="31"/>
      <c r="C299" s="31"/>
      <c r="D299" s="31"/>
      <c r="E299" s="31"/>
      <c r="F299" s="31"/>
      <c r="G299" s="31"/>
    </row>
    <row r="300" spans="1:7">
      <c r="A300" s="31"/>
      <c r="B300" s="31"/>
      <c r="C300" s="31"/>
      <c r="D300" s="31"/>
      <c r="E300" s="31"/>
      <c r="F300" s="31"/>
      <c r="G300" s="31"/>
    </row>
    <row r="301" spans="1:7">
      <c r="A301" s="31"/>
      <c r="B301" s="31"/>
      <c r="C301" s="31"/>
      <c r="D301" s="31"/>
      <c r="E301" s="31"/>
      <c r="F301" s="31"/>
      <c r="G301" s="31"/>
    </row>
    <row r="302" spans="1:7">
      <c r="A302" s="31"/>
      <c r="B302" s="31"/>
      <c r="C302" s="31"/>
      <c r="D302" s="31"/>
      <c r="E302" s="31"/>
      <c r="F302" s="31"/>
      <c r="G302" s="31"/>
    </row>
    <row r="303" spans="1:7">
      <c r="A303" s="31"/>
      <c r="B303" s="31"/>
      <c r="C303" s="31"/>
      <c r="D303" s="31"/>
      <c r="E303" s="31"/>
      <c r="F303" s="31"/>
      <c r="G303" s="31"/>
    </row>
    <row r="304" spans="1:7">
      <c r="A304" s="31"/>
      <c r="B304" s="31"/>
      <c r="C304" s="31"/>
      <c r="D304" s="31"/>
      <c r="E304" s="31"/>
      <c r="F304" s="31"/>
      <c r="G304" s="31"/>
    </row>
    <row r="305" spans="1:7">
      <c r="A305" s="31"/>
      <c r="B305" s="31"/>
      <c r="C305" s="31"/>
      <c r="D305" s="31"/>
      <c r="E305" s="31"/>
      <c r="F305" s="31"/>
      <c r="G305" s="31"/>
    </row>
    <row r="306" spans="1:7">
      <c r="A306" s="31"/>
      <c r="B306" s="31"/>
      <c r="C306" s="31"/>
      <c r="D306" s="31"/>
      <c r="E306" s="31"/>
      <c r="F306" s="31"/>
      <c r="G306" s="31"/>
    </row>
    <row r="307" spans="1:7">
      <c r="A307" s="31"/>
      <c r="B307" s="31"/>
      <c r="C307" s="31"/>
      <c r="D307" s="31"/>
      <c r="E307" s="31"/>
      <c r="F307" s="31"/>
      <c r="G307" s="31"/>
    </row>
    <row r="308" spans="1:7">
      <c r="A308" s="31"/>
      <c r="B308" s="31"/>
      <c r="C308" s="31"/>
      <c r="D308" s="31"/>
      <c r="E308" s="31"/>
      <c r="F308" s="31"/>
      <c r="G308" s="31"/>
    </row>
    <row r="309" spans="1:7">
      <c r="A309" s="31"/>
      <c r="B309" s="31"/>
      <c r="C309" s="31"/>
      <c r="D309" s="31"/>
      <c r="E309" s="31"/>
      <c r="F309" s="31"/>
      <c r="G309" s="31"/>
    </row>
    <row r="310" spans="1:7">
      <c r="A310" s="31"/>
      <c r="B310" s="31"/>
      <c r="C310" s="31"/>
      <c r="D310" s="31"/>
      <c r="E310" s="31"/>
      <c r="F310" s="31"/>
      <c r="G310" s="31"/>
    </row>
    <row r="311" spans="1:7">
      <c r="A311" s="31"/>
      <c r="B311" s="31"/>
      <c r="C311" s="31"/>
      <c r="D311" s="31"/>
      <c r="E311" s="31"/>
      <c r="F311" s="31"/>
      <c r="G311" s="31"/>
    </row>
    <row r="312" spans="1:7">
      <c r="A312" s="31"/>
      <c r="B312" s="31"/>
      <c r="C312" s="31"/>
      <c r="D312" s="31"/>
      <c r="E312" s="31"/>
      <c r="F312" s="31"/>
      <c r="G312" s="31"/>
    </row>
    <row r="313" spans="1:7">
      <c r="A313" s="31"/>
      <c r="B313" s="31"/>
      <c r="C313" s="31"/>
      <c r="D313" s="31"/>
      <c r="E313" s="31"/>
      <c r="F313" s="31"/>
      <c r="G313" s="31"/>
    </row>
    <row r="314" spans="1:7">
      <c r="A314" s="31"/>
      <c r="B314" s="31"/>
      <c r="C314" s="31"/>
      <c r="D314" s="31"/>
      <c r="E314" s="31"/>
      <c r="F314" s="31"/>
      <c r="G314" s="31"/>
    </row>
    <row r="315" spans="1:7">
      <c r="A315" s="31"/>
      <c r="B315" s="31"/>
      <c r="C315" s="31"/>
      <c r="D315" s="31"/>
      <c r="E315" s="31"/>
      <c r="F315" s="31"/>
      <c r="G315" s="31"/>
    </row>
    <row r="316" spans="1:7">
      <c r="A316" s="31"/>
      <c r="B316" s="31"/>
      <c r="C316" s="31"/>
      <c r="D316" s="31"/>
      <c r="E316" s="31"/>
      <c r="F316" s="31"/>
      <c r="G316" s="31"/>
    </row>
    <row r="317" spans="1:7">
      <c r="A317" s="31"/>
      <c r="B317" s="31"/>
      <c r="C317" s="31"/>
      <c r="D317" s="31"/>
      <c r="E317" s="31"/>
      <c r="F317" s="31"/>
      <c r="G317" s="31"/>
    </row>
    <row r="318" spans="1:7">
      <c r="A318" s="31"/>
      <c r="B318" s="31"/>
      <c r="C318" s="31"/>
      <c r="D318" s="31"/>
      <c r="E318" s="31"/>
      <c r="F318" s="31"/>
      <c r="G318" s="31"/>
    </row>
    <row r="319" spans="1:7">
      <c r="A319" s="31"/>
      <c r="B319" s="31"/>
      <c r="C319" s="31"/>
      <c r="D319" s="31"/>
      <c r="E319" s="31"/>
      <c r="F319" s="31"/>
      <c r="G319" s="31"/>
    </row>
    <row r="320" spans="1:7">
      <c r="A320" s="31"/>
      <c r="B320" s="31"/>
      <c r="C320" s="31"/>
      <c r="D320" s="31"/>
      <c r="E320" s="31"/>
      <c r="F320" s="31"/>
      <c r="G320" s="31"/>
    </row>
    <row r="321" spans="1:7">
      <c r="A321" s="31"/>
      <c r="B321" s="31"/>
      <c r="C321" s="31"/>
      <c r="D321" s="31"/>
      <c r="E321" s="31"/>
      <c r="F321" s="31"/>
      <c r="G321" s="31"/>
    </row>
    <row r="322" spans="1:7">
      <c r="A322" s="31"/>
      <c r="B322" s="31"/>
      <c r="C322" s="31"/>
      <c r="D322" s="31"/>
      <c r="E322" s="31"/>
      <c r="F322" s="31"/>
      <c r="G322" s="31"/>
    </row>
    <row r="323" spans="1:7">
      <c r="A323" s="31"/>
      <c r="B323" s="31"/>
      <c r="C323" s="31"/>
      <c r="D323" s="31"/>
      <c r="E323" s="31"/>
      <c r="F323" s="31"/>
      <c r="G323" s="31"/>
    </row>
    <row r="324" spans="1:7">
      <c r="A324" s="31"/>
      <c r="B324" s="31"/>
      <c r="C324" s="31"/>
      <c r="D324" s="31"/>
      <c r="E324" s="31"/>
      <c r="F324" s="31"/>
      <c r="G324" s="31"/>
    </row>
    <row r="325" spans="1:7">
      <c r="A325" s="31"/>
      <c r="B325" s="31"/>
      <c r="C325" s="31"/>
      <c r="D325" s="31"/>
      <c r="E325" s="31"/>
      <c r="F325" s="31"/>
      <c r="G325" s="31"/>
    </row>
    <row r="326" spans="1:7">
      <c r="A326" s="31"/>
      <c r="B326" s="31"/>
      <c r="C326" s="31"/>
      <c r="D326" s="31"/>
      <c r="E326" s="31"/>
      <c r="F326" s="31"/>
      <c r="G326" s="31"/>
    </row>
    <row r="327" spans="1:7">
      <c r="A327" s="31"/>
      <c r="B327" s="31"/>
      <c r="C327" s="31"/>
      <c r="D327" s="31"/>
      <c r="E327" s="31"/>
      <c r="F327" s="31"/>
      <c r="G327" s="31"/>
    </row>
    <row r="328" spans="1:7">
      <c r="A328" s="31"/>
      <c r="B328" s="31"/>
      <c r="C328" s="31"/>
      <c r="D328" s="31"/>
      <c r="E328" s="31"/>
      <c r="F328" s="31"/>
      <c r="G328" s="31"/>
    </row>
    <row r="329" spans="1:7">
      <c r="A329" s="31"/>
      <c r="B329" s="31"/>
      <c r="C329" s="31"/>
      <c r="D329" s="31"/>
      <c r="E329" s="31"/>
      <c r="F329" s="31"/>
      <c r="G329" s="31"/>
    </row>
    <row r="330" spans="1:7">
      <c r="A330" s="31"/>
      <c r="B330" s="31"/>
      <c r="C330" s="31"/>
      <c r="D330" s="31"/>
      <c r="E330" s="31"/>
      <c r="F330" s="31"/>
      <c r="G330" s="31"/>
    </row>
    <row r="331" spans="1:7">
      <c r="A331" s="31"/>
      <c r="B331" s="31"/>
      <c r="C331" s="31"/>
      <c r="D331" s="31"/>
      <c r="E331" s="31"/>
      <c r="F331" s="31"/>
      <c r="G331" s="31"/>
    </row>
    <row r="332" spans="1:7">
      <c r="A332" s="31"/>
      <c r="B332" s="31"/>
      <c r="C332" s="31"/>
      <c r="D332" s="31"/>
      <c r="E332" s="31"/>
      <c r="F332" s="31"/>
      <c r="G332" s="31"/>
    </row>
    <row r="333" spans="1:7">
      <c r="A333" s="31"/>
      <c r="B333" s="31"/>
      <c r="C333" s="31"/>
      <c r="D333" s="31"/>
      <c r="E333" s="31"/>
      <c r="F333" s="31"/>
      <c r="G333" s="31"/>
    </row>
    <row r="334" spans="1:7">
      <c r="A334" s="31"/>
      <c r="B334" s="31"/>
      <c r="C334" s="31"/>
      <c r="D334" s="31"/>
      <c r="E334" s="31"/>
      <c r="F334" s="31"/>
      <c r="G334" s="31"/>
    </row>
    <row r="335" spans="1:7">
      <c r="A335" s="31"/>
      <c r="B335" s="31"/>
      <c r="C335" s="31"/>
      <c r="D335" s="31"/>
      <c r="E335" s="31"/>
      <c r="F335" s="31"/>
      <c r="G335" s="31"/>
    </row>
    <row r="336" spans="1:7">
      <c r="A336" s="31"/>
      <c r="B336" s="31"/>
      <c r="C336" s="31"/>
      <c r="D336" s="31"/>
      <c r="E336" s="31"/>
      <c r="F336" s="31"/>
      <c r="G336" s="31"/>
    </row>
    <row r="337" spans="1:7">
      <c r="A337" s="31"/>
      <c r="B337" s="31"/>
      <c r="C337" s="31"/>
      <c r="D337" s="31"/>
      <c r="E337" s="31"/>
      <c r="F337" s="31"/>
      <c r="G337" s="31"/>
    </row>
    <row r="338" spans="1:7">
      <c r="A338" s="31"/>
      <c r="B338" s="31"/>
      <c r="C338" s="31"/>
      <c r="D338" s="31"/>
      <c r="E338" s="31"/>
      <c r="F338" s="31"/>
      <c r="G338" s="31"/>
    </row>
    <row r="339" spans="1:7">
      <c r="A339" s="31"/>
      <c r="B339" s="31"/>
      <c r="C339" s="31"/>
      <c r="D339" s="31"/>
      <c r="E339" s="31"/>
      <c r="F339" s="31"/>
      <c r="G339" s="31"/>
    </row>
    <row r="340" spans="1:7">
      <c r="A340" s="31"/>
      <c r="B340" s="31"/>
      <c r="C340" s="31"/>
      <c r="D340" s="31"/>
      <c r="E340" s="31"/>
      <c r="F340" s="31"/>
      <c r="G340" s="31"/>
    </row>
    <row r="341" spans="1:7">
      <c r="A341" s="31"/>
      <c r="B341" s="31"/>
      <c r="C341" s="31"/>
      <c r="D341" s="31"/>
      <c r="E341" s="31"/>
      <c r="F341" s="31"/>
      <c r="G341" s="31"/>
    </row>
    <row r="342" spans="1:7">
      <c r="A342" s="31"/>
      <c r="B342" s="31"/>
      <c r="C342" s="31"/>
      <c r="D342" s="31"/>
      <c r="E342" s="31"/>
      <c r="F342" s="31"/>
      <c r="G342" s="31"/>
    </row>
    <row r="343" spans="1:7">
      <c r="A343" s="31"/>
      <c r="B343" s="31"/>
      <c r="C343" s="31"/>
      <c r="D343" s="31"/>
      <c r="E343" s="31"/>
      <c r="F343" s="31"/>
      <c r="G343" s="31"/>
    </row>
    <row r="344" spans="1:7">
      <c r="A344" s="31"/>
      <c r="B344" s="31"/>
      <c r="C344" s="31"/>
      <c r="D344" s="31"/>
      <c r="E344" s="31"/>
      <c r="F344" s="31"/>
      <c r="G344" s="31"/>
    </row>
    <row r="345" spans="1:7">
      <c r="A345" s="31"/>
      <c r="B345" s="31"/>
      <c r="C345" s="31"/>
      <c r="D345" s="31"/>
      <c r="E345" s="31"/>
      <c r="F345" s="31"/>
      <c r="G345" s="31"/>
    </row>
    <row r="346" spans="1:7">
      <c r="A346" s="31"/>
      <c r="B346" s="31"/>
      <c r="C346" s="31"/>
      <c r="D346" s="31"/>
      <c r="E346" s="31"/>
      <c r="F346" s="31"/>
      <c r="G346" s="31"/>
    </row>
    <row r="347" spans="1:7">
      <c r="A347" s="31"/>
      <c r="B347" s="31"/>
      <c r="C347" s="31"/>
      <c r="D347" s="31"/>
      <c r="E347" s="31"/>
      <c r="F347" s="31"/>
      <c r="G347" s="31"/>
    </row>
    <row r="348" spans="1:7">
      <c r="A348" s="31"/>
      <c r="B348" s="31"/>
      <c r="C348" s="31"/>
      <c r="D348" s="31"/>
      <c r="E348" s="31"/>
      <c r="F348" s="31"/>
      <c r="G348" s="31"/>
    </row>
    <row r="349" spans="1:7">
      <c r="A349" s="31"/>
      <c r="B349" s="31"/>
      <c r="C349" s="31"/>
      <c r="D349" s="31"/>
      <c r="E349" s="31"/>
      <c r="F349" s="31"/>
      <c r="G349" s="31"/>
    </row>
    <row r="350" spans="1:7">
      <c r="A350" s="31"/>
      <c r="B350" s="31"/>
      <c r="C350" s="31"/>
      <c r="D350" s="31"/>
      <c r="E350" s="31"/>
      <c r="F350" s="31"/>
      <c r="G350" s="31"/>
    </row>
    <row r="351" spans="1:7">
      <c r="A351" s="31"/>
      <c r="B351" s="31"/>
      <c r="C351" s="31"/>
      <c r="D351" s="31"/>
      <c r="E351" s="31"/>
      <c r="F351" s="31"/>
      <c r="G351" s="31"/>
    </row>
    <row r="352" spans="1:7">
      <c r="A352" s="31"/>
      <c r="B352" s="31"/>
      <c r="C352" s="31"/>
      <c r="D352" s="31"/>
      <c r="E352" s="31"/>
      <c r="F352" s="31"/>
      <c r="G352" s="31"/>
    </row>
    <row r="353" spans="1:7">
      <c r="A353" s="31"/>
      <c r="B353" s="31"/>
      <c r="C353" s="31"/>
      <c r="D353" s="31"/>
      <c r="E353" s="31"/>
      <c r="F353" s="31"/>
      <c r="G353" s="31"/>
    </row>
    <row r="354" spans="1:7">
      <c r="A354" s="31"/>
      <c r="B354" s="31"/>
      <c r="C354" s="31"/>
      <c r="D354" s="31"/>
      <c r="E354" s="31"/>
      <c r="F354" s="31"/>
      <c r="G354" s="31"/>
    </row>
    <row r="355" spans="1:7">
      <c r="A355" s="31"/>
      <c r="B355" s="31"/>
      <c r="C355" s="31"/>
      <c r="D355" s="31"/>
      <c r="E355" s="31"/>
      <c r="F355" s="31"/>
      <c r="G355" s="31"/>
    </row>
    <row r="356" spans="1:7">
      <c r="A356" s="31"/>
      <c r="B356" s="31"/>
      <c r="C356" s="31"/>
      <c r="D356" s="31"/>
      <c r="E356" s="31"/>
      <c r="F356" s="31"/>
      <c r="G356" s="31"/>
    </row>
    <row r="357" spans="1:7">
      <c r="A357" s="31"/>
      <c r="B357" s="31"/>
      <c r="C357" s="31"/>
      <c r="D357" s="31"/>
      <c r="E357" s="31"/>
      <c r="F357" s="31"/>
      <c r="G357" s="31"/>
    </row>
    <row r="358" spans="1:7">
      <c r="A358" s="31"/>
      <c r="B358" s="31"/>
      <c r="C358" s="31"/>
      <c r="D358" s="31"/>
      <c r="E358" s="31"/>
      <c r="F358" s="31"/>
      <c r="G358" s="31"/>
    </row>
    <row r="359" spans="1:7">
      <c r="A359" s="31"/>
      <c r="B359" s="31"/>
      <c r="C359" s="31"/>
      <c r="D359" s="31"/>
      <c r="E359" s="31"/>
      <c r="F359" s="31"/>
      <c r="G359" s="31"/>
    </row>
    <row r="360" spans="1:7">
      <c r="A360" s="31"/>
      <c r="B360" s="31"/>
      <c r="C360" s="31"/>
      <c r="D360" s="31"/>
      <c r="E360" s="31"/>
      <c r="F360" s="31"/>
      <c r="G360" s="31"/>
    </row>
    <row r="361" spans="1:7">
      <c r="A361" s="31"/>
      <c r="B361" s="31"/>
      <c r="C361" s="31"/>
      <c r="D361" s="31"/>
      <c r="E361" s="31"/>
      <c r="F361" s="31"/>
      <c r="G361" s="31"/>
    </row>
    <row r="362" spans="1:7">
      <c r="A362" s="31"/>
      <c r="B362" s="31"/>
      <c r="C362" s="31"/>
      <c r="D362" s="31"/>
      <c r="E362" s="31"/>
      <c r="F362" s="31"/>
      <c r="G362" s="31"/>
    </row>
    <row r="363" spans="1:7">
      <c r="A363" s="31"/>
      <c r="B363" s="31"/>
      <c r="C363" s="31"/>
      <c r="D363" s="31"/>
      <c r="E363" s="31"/>
      <c r="F363" s="31"/>
      <c r="G363" s="31"/>
    </row>
    <row r="364" spans="1:7">
      <c r="A364" s="31"/>
      <c r="B364" s="31"/>
      <c r="C364" s="31"/>
      <c r="D364" s="31"/>
      <c r="E364" s="31"/>
      <c r="F364" s="31"/>
      <c r="G364" s="31"/>
    </row>
    <row r="365" spans="1:7">
      <c r="A365" s="31"/>
      <c r="B365" s="31"/>
      <c r="C365" s="31"/>
      <c r="D365" s="31"/>
      <c r="E365" s="31"/>
      <c r="F365" s="31"/>
      <c r="G365" s="31"/>
    </row>
    <row r="366" spans="1:7">
      <c r="A366" s="31"/>
      <c r="B366" s="31"/>
      <c r="C366" s="31"/>
      <c r="D366" s="31"/>
      <c r="E366" s="31"/>
      <c r="F366" s="31"/>
      <c r="G366" s="31"/>
    </row>
    <row r="367" spans="1:7">
      <c r="A367" s="31"/>
      <c r="B367" s="31"/>
      <c r="C367" s="31"/>
      <c r="D367" s="31"/>
      <c r="E367" s="31"/>
      <c r="F367" s="31"/>
      <c r="G367" s="31"/>
    </row>
    <row r="368" spans="1:7">
      <c r="A368" s="31"/>
      <c r="B368" s="31"/>
      <c r="C368" s="31"/>
      <c r="D368" s="31"/>
      <c r="E368" s="31"/>
      <c r="F368" s="31"/>
      <c r="G368" s="31"/>
    </row>
    <row r="369" spans="1:7">
      <c r="A369" s="31"/>
      <c r="B369" s="31"/>
      <c r="C369" s="31"/>
      <c r="D369" s="31"/>
      <c r="E369" s="31"/>
      <c r="F369" s="31"/>
      <c r="G369" s="31"/>
    </row>
    <row r="370" spans="1:7">
      <c r="A370" s="31"/>
      <c r="B370" s="31"/>
      <c r="C370" s="31"/>
      <c r="D370" s="31"/>
      <c r="E370" s="31"/>
      <c r="F370" s="31"/>
      <c r="G370" s="31"/>
    </row>
    <row r="371" spans="1:7">
      <c r="A371" s="31"/>
      <c r="B371" s="31"/>
      <c r="C371" s="31"/>
      <c r="D371" s="31"/>
      <c r="E371" s="31"/>
      <c r="F371" s="31"/>
      <c r="G371" s="31"/>
    </row>
    <row r="372" spans="1:7">
      <c r="A372" s="31"/>
      <c r="B372" s="31"/>
      <c r="C372" s="31"/>
      <c r="D372" s="31"/>
      <c r="E372" s="31"/>
      <c r="F372" s="31"/>
      <c r="G372" s="31"/>
    </row>
    <row r="373" spans="1:7">
      <c r="A373" s="31"/>
      <c r="B373" s="31"/>
      <c r="C373" s="31"/>
      <c r="D373" s="31"/>
      <c r="E373" s="31"/>
      <c r="F373" s="31"/>
      <c r="G373" s="31"/>
    </row>
    <row r="374" spans="1:7">
      <c r="A374" s="31"/>
      <c r="B374" s="31"/>
      <c r="C374" s="31"/>
      <c r="D374" s="31"/>
      <c r="E374" s="31"/>
      <c r="F374" s="31"/>
      <c r="G374" s="31"/>
    </row>
    <row r="375" spans="1:7">
      <c r="A375" s="31"/>
      <c r="B375" s="31"/>
      <c r="C375" s="31"/>
      <c r="D375" s="31"/>
      <c r="E375" s="31"/>
      <c r="F375" s="31"/>
      <c r="G375" s="31"/>
    </row>
    <row r="376" spans="1:7">
      <c r="A376" s="31"/>
      <c r="B376" s="31"/>
      <c r="C376" s="31"/>
      <c r="D376" s="31"/>
      <c r="E376" s="31"/>
      <c r="F376" s="31"/>
      <c r="G376" s="31"/>
    </row>
    <row r="377" spans="1:7">
      <c r="A377" s="31"/>
      <c r="B377" s="31"/>
      <c r="C377" s="31"/>
      <c r="D377" s="31"/>
      <c r="E377" s="31"/>
      <c r="F377" s="31"/>
      <c r="G377" s="31"/>
    </row>
    <row r="378" spans="1:7">
      <c r="A378" s="31"/>
      <c r="B378" s="31"/>
      <c r="C378" s="31"/>
      <c r="D378" s="31"/>
      <c r="E378" s="31"/>
      <c r="F378" s="31"/>
      <c r="G378" s="31"/>
    </row>
    <row r="379" spans="1:7">
      <c r="A379" s="31"/>
      <c r="B379" s="31"/>
      <c r="C379" s="31"/>
      <c r="D379" s="31"/>
      <c r="E379" s="31"/>
      <c r="F379" s="31"/>
      <c r="G379" s="31"/>
    </row>
    <row r="380" spans="1:7">
      <c r="A380" s="31"/>
      <c r="B380" s="31"/>
      <c r="C380" s="31"/>
      <c r="D380" s="31"/>
      <c r="E380" s="31"/>
      <c r="F380" s="31"/>
      <c r="G380" s="31"/>
    </row>
    <row r="381" spans="1:7">
      <c r="A381" s="31"/>
      <c r="B381" s="31"/>
      <c r="C381" s="31"/>
      <c r="D381" s="31"/>
      <c r="E381" s="31"/>
      <c r="F381" s="31"/>
      <c r="G381" s="31"/>
    </row>
    <row r="382" spans="1:7">
      <c r="A382" s="31"/>
      <c r="B382" s="31"/>
      <c r="C382" s="31"/>
      <c r="D382" s="31"/>
      <c r="E382" s="31"/>
      <c r="F382" s="31"/>
      <c r="G382" s="31"/>
    </row>
    <row r="383" spans="1:7">
      <c r="A383" s="31"/>
      <c r="B383" s="31"/>
      <c r="C383" s="31"/>
      <c r="D383" s="31"/>
      <c r="E383" s="31"/>
      <c r="F383" s="31"/>
      <c r="G383" s="31"/>
    </row>
    <row r="384" spans="1:7">
      <c r="A384" s="31"/>
      <c r="B384" s="31"/>
      <c r="C384" s="31"/>
      <c r="D384" s="31"/>
      <c r="E384" s="31"/>
      <c r="F384" s="31"/>
      <c r="G384" s="31"/>
    </row>
    <row r="385" spans="1:7">
      <c r="A385" s="31"/>
      <c r="B385" s="31"/>
      <c r="C385" s="31"/>
      <c r="D385" s="31"/>
      <c r="E385" s="31"/>
      <c r="F385" s="31"/>
      <c r="G385" s="31"/>
    </row>
    <row r="386" spans="1:7">
      <c r="A386" s="31"/>
      <c r="B386" s="31"/>
      <c r="C386" s="31"/>
      <c r="D386" s="31"/>
      <c r="E386" s="31"/>
      <c r="F386" s="31"/>
      <c r="G386" s="31"/>
    </row>
    <row r="387" spans="1:7">
      <c r="A387" s="31"/>
      <c r="B387" s="31"/>
      <c r="C387" s="31"/>
      <c r="D387" s="31"/>
      <c r="E387" s="31"/>
      <c r="F387" s="31"/>
      <c r="G387" s="31"/>
    </row>
    <row r="388" spans="1:7">
      <c r="A388" s="31"/>
      <c r="B388" s="31"/>
      <c r="C388" s="31"/>
      <c r="D388" s="31"/>
      <c r="E388" s="31"/>
      <c r="F388" s="31"/>
      <c r="G388" s="31"/>
    </row>
    <row r="389" spans="1:7">
      <c r="A389" s="31"/>
      <c r="B389" s="31"/>
      <c r="C389" s="31"/>
      <c r="D389" s="31"/>
      <c r="E389" s="31"/>
      <c r="F389" s="31"/>
      <c r="G389" s="31"/>
    </row>
    <row r="390" spans="1:7">
      <c r="A390" s="31"/>
      <c r="B390" s="31"/>
      <c r="C390" s="31"/>
      <c r="D390" s="31"/>
      <c r="E390" s="31"/>
      <c r="F390" s="31"/>
      <c r="G390" s="31"/>
    </row>
    <row r="391" spans="1:7">
      <c r="A391" s="31"/>
      <c r="B391" s="31"/>
      <c r="C391" s="31"/>
      <c r="D391" s="31"/>
      <c r="E391" s="31"/>
      <c r="F391" s="31"/>
      <c r="G391" s="31"/>
    </row>
    <row r="392" spans="1:7">
      <c r="A392" s="31"/>
      <c r="B392" s="31"/>
      <c r="C392" s="31"/>
      <c r="D392" s="31"/>
      <c r="E392" s="31"/>
      <c r="F392" s="31"/>
      <c r="G392" s="31"/>
    </row>
    <row r="393" spans="1:7">
      <c r="A393" s="31"/>
      <c r="B393" s="31"/>
      <c r="C393" s="31"/>
      <c r="D393" s="31"/>
      <c r="E393" s="31"/>
      <c r="F393" s="31"/>
      <c r="G393" s="31"/>
    </row>
    <row r="394" spans="1:7">
      <c r="A394" s="31"/>
      <c r="B394" s="31"/>
      <c r="C394" s="31"/>
      <c r="D394" s="31"/>
      <c r="E394" s="31"/>
      <c r="F394" s="31"/>
      <c r="G394" s="31"/>
    </row>
    <row r="395" spans="1:7">
      <c r="A395" s="31"/>
      <c r="B395" s="31"/>
      <c r="C395" s="31"/>
      <c r="D395" s="31"/>
      <c r="E395" s="31"/>
      <c r="F395" s="31"/>
      <c r="G395" s="31"/>
    </row>
    <row r="396" spans="1:7">
      <c r="A396" s="31"/>
      <c r="B396" s="31"/>
      <c r="C396" s="31"/>
      <c r="D396" s="31"/>
      <c r="E396" s="31"/>
      <c r="F396" s="31"/>
      <c r="G396" s="31"/>
    </row>
    <row r="397" spans="1:7">
      <c r="A397" s="31"/>
      <c r="B397" s="31"/>
      <c r="C397" s="31"/>
      <c r="D397" s="31"/>
      <c r="E397" s="31"/>
      <c r="F397" s="31"/>
      <c r="G397" s="31"/>
    </row>
    <row r="398" spans="1:7">
      <c r="A398" s="31"/>
      <c r="B398" s="31"/>
      <c r="C398" s="31"/>
      <c r="D398" s="31"/>
      <c r="E398" s="31"/>
      <c r="F398" s="31"/>
      <c r="G398" s="31"/>
    </row>
    <row r="399" spans="1:7">
      <c r="A399" s="31"/>
      <c r="B399" s="31"/>
      <c r="C399" s="31"/>
      <c r="D399" s="31"/>
      <c r="E399" s="31"/>
      <c r="F399" s="31"/>
      <c r="G399" s="31"/>
    </row>
    <row r="400" spans="1:7">
      <c r="A400" s="31"/>
      <c r="B400" s="31"/>
      <c r="C400" s="31"/>
      <c r="D400" s="31"/>
      <c r="E400" s="31"/>
      <c r="F400" s="31"/>
      <c r="G400" s="31"/>
    </row>
    <row r="401" spans="1:7">
      <c r="A401" s="31"/>
      <c r="B401" s="31"/>
      <c r="C401" s="31"/>
      <c r="D401" s="31"/>
      <c r="E401" s="31"/>
      <c r="F401" s="31"/>
      <c r="G401" s="31"/>
    </row>
    <row r="402" spans="1:7">
      <c r="A402" s="31"/>
      <c r="B402" s="31"/>
      <c r="C402" s="31"/>
      <c r="D402" s="31"/>
      <c r="E402" s="31"/>
      <c r="F402" s="31"/>
      <c r="G402" s="31"/>
    </row>
    <row r="403" spans="1:7">
      <c r="A403" s="31"/>
      <c r="B403" s="31"/>
      <c r="C403" s="31"/>
      <c r="D403" s="31"/>
      <c r="E403" s="31"/>
      <c r="F403" s="31"/>
      <c r="G403" s="31"/>
    </row>
    <row r="404" spans="1:7">
      <c r="A404" s="31"/>
      <c r="B404" s="31"/>
      <c r="C404" s="31"/>
      <c r="D404" s="31"/>
      <c r="E404" s="31"/>
      <c r="F404" s="31"/>
      <c r="G404" s="31"/>
    </row>
    <row r="405" spans="1:7">
      <c r="A405" s="31"/>
      <c r="B405" s="31"/>
      <c r="C405" s="31"/>
      <c r="D405" s="31"/>
      <c r="E405" s="31"/>
      <c r="F405" s="31"/>
      <c r="G405" s="31"/>
    </row>
    <row r="406" spans="1:7">
      <c r="A406" s="31"/>
      <c r="B406" s="31"/>
      <c r="C406" s="31"/>
      <c r="D406" s="31"/>
      <c r="E406" s="31"/>
      <c r="F406" s="31"/>
      <c r="G406" s="31"/>
    </row>
    <row r="407" spans="1:7">
      <c r="A407" s="31"/>
      <c r="B407" s="31"/>
      <c r="C407" s="31"/>
      <c r="D407" s="31"/>
      <c r="E407" s="31"/>
      <c r="F407" s="31"/>
      <c r="G407" s="31"/>
    </row>
    <row r="408" spans="1:7">
      <c r="A408" s="31"/>
      <c r="B408" s="31"/>
      <c r="C408" s="31"/>
      <c r="D408" s="31"/>
      <c r="E408" s="31"/>
      <c r="F408" s="31"/>
      <c r="G408" s="31"/>
    </row>
    <row r="409" spans="1:7">
      <c r="A409" s="31"/>
      <c r="B409" s="31"/>
      <c r="C409" s="31"/>
      <c r="D409" s="31"/>
      <c r="E409" s="31"/>
      <c r="F409" s="31"/>
      <c r="G409" s="31"/>
    </row>
    <row r="410" spans="1:7">
      <c r="A410" s="31"/>
      <c r="B410" s="31"/>
      <c r="C410" s="31"/>
      <c r="D410" s="31"/>
      <c r="E410" s="31"/>
      <c r="F410" s="31"/>
      <c r="G410" s="31"/>
    </row>
    <row r="411" spans="1:7">
      <c r="A411" s="31"/>
      <c r="B411" s="31"/>
      <c r="C411" s="31"/>
      <c r="D411" s="31"/>
      <c r="E411" s="31"/>
      <c r="F411" s="31"/>
      <c r="G411" s="31"/>
    </row>
    <row r="412" spans="1:7">
      <c r="A412" s="31"/>
      <c r="B412" s="31"/>
      <c r="C412" s="31"/>
      <c r="D412" s="31"/>
      <c r="E412" s="31"/>
      <c r="F412" s="31"/>
      <c r="G412" s="31"/>
    </row>
    <row r="413" spans="1:7">
      <c r="A413" s="31"/>
      <c r="B413" s="31"/>
      <c r="C413" s="31"/>
      <c r="D413" s="31"/>
      <c r="E413" s="31"/>
      <c r="F413" s="31"/>
      <c r="G413" s="31"/>
    </row>
    <row r="414" spans="1:7">
      <c r="A414" s="31"/>
      <c r="B414" s="31"/>
      <c r="C414" s="31"/>
      <c r="D414" s="31"/>
      <c r="E414" s="31"/>
      <c r="F414" s="31"/>
      <c r="G414" s="31"/>
    </row>
    <row r="415" spans="1:7">
      <c r="A415" s="31"/>
      <c r="B415" s="31"/>
      <c r="C415" s="31"/>
      <c r="D415" s="31"/>
      <c r="E415" s="31"/>
      <c r="F415" s="31"/>
      <c r="G415" s="31"/>
    </row>
    <row r="416" spans="1:7">
      <c r="A416" s="31"/>
      <c r="B416" s="31"/>
      <c r="C416" s="31"/>
      <c r="D416" s="31"/>
      <c r="E416" s="31"/>
      <c r="F416" s="31"/>
      <c r="G416" s="31"/>
    </row>
    <row r="417" spans="1:7">
      <c r="A417" s="31"/>
      <c r="B417" s="31"/>
      <c r="C417" s="31"/>
      <c r="D417" s="31"/>
      <c r="E417" s="31"/>
      <c r="F417" s="31"/>
      <c r="G417" s="31"/>
    </row>
    <row r="418" spans="1:7">
      <c r="A418" s="31"/>
      <c r="B418" s="31"/>
      <c r="C418" s="31"/>
      <c r="D418" s="31"/>
      <c r="E418" s="31"/>
      <c r="F418" s="31"/>
      <c r="G418" s="31"/>
    </row>
    <row r="419" spans="1:7">
      <c r="A419" s="31"/>
      <c r="B419" s="31"/>
      <c r="C419" s="31"/>
      <c r="D419" s="31"/>
      <c r="E419" s="31"/>
      <c r="F419" s="31"/>
      <c r="G419" s="31"/>
    </row>
    <row r="420" spans="1:7">
      <c r="A420" s="31"/>
      <c r="B420" s="31"/>
      <c r="C420" s="31"/>
      <c r="D420" s="31"/>
      <c r="E420" s="31"/>
      <c r="F420" s="31"/>
      <c r="G420" s="31"/>
    </row>
    <row r="421" spans="1:7">
      <c r="A421" s="31"/>
      <c r="B421" s="31"/>
      <c r="C421" s="31"/>
      <c r="D421" s="31"/>
      <c r="E421" s="31"/>
      <c r="F421" s="31"/>
      <c r="G421" s="31"/>
    </row>
    <row r="422" spans="1:7">
      <c r="A422" s="31"/>
      <c r="B422" s="31"/>
      <c r="C422" s="31"/>
      <c r="D422" s="31"/>
      <c r="E422" s="31"/>
      <c r="F422" s="31"/>
      <c r="G422" s="31"/>
    </row>
    <row r="423" spans="1:7">
      <c r="A423" s="31"/>
      <c r="B423" s="31"/>
      <c r="C423" s="31"/>
      <c r="D423" s="31"/>
      <c r="E423" s="31"/>
      <c r="F423" s="31"/>
      <c r="G423" s="31"/>
    </row>
    <row r="424" spans="1:7">
      <c r="A424" s="31"/>
      <c r="B424" s="31"/>
      <c r="C424" s="31"/>
      <c r="D424" s="31"/>
      <c r="E424" s="31"/>
      <c r="F424" s="31"/>
      <c r="G424" s="31"/>
    </row>
    <row r="425" spans="1:7">
      <c r="A425" s="31"/>
      <c r="B425" s="31"/>
      <c r="C425" s="31"/>
      <c r="D425" s="31"/>
      <c r="E425" s="31"/>
      <c r="F425" s="31"/>
      <c r="G425" s="31"/>
    </row>
    <row r="426" spans="1:7">
      <c r="A426" s="31"/>
      <c r="B426" s="31"/>
      <c r="C426" s="31"/>
      <c r="D426" s="31"/>
      <c r="E426" s="31"/>
      <c r="F426" s="31"/>
      <c r="G426" s="31"/>
    </row>
    <row r="427" spans="1:7">
      <c r="A427" s="31"/>
      <c r="B427" s="31"/>
      <c r="C427" s="31"/>
      <c r="D427" s="31"/>
      <c r="E427" s="31"/>
      <c r="F427" s="31"/>
      <c r="G427" s="31"/>
    </row>
    <row r="428" spans="1:7">
      <c r="A428" s="31"/>
      <c r="B428" s="31"/>
      <c r="C428" s="31"/>
      <c r="D428" s="31"/>
      <c r="E428" s="31"/>
      <c r="F428" s="31"/>
      <c r="G428" s="31"/>
    </row>
    <row r="429" spans="1:7">
      <c r="A429" s="31"/>
      <c r="B429" s="31"/>
      <c r="C429" s="31"/>
      <c r="D429" s="31"/>
      <c r="E429" s="31"/>
      <c r="F429" s="31"/>
      <c r="G429" s="31"/>
    </row>
    <row r="430" spans="1:7">
      <c r="A430" s="31"/>
      <c r="B430" s="31"/>
      <c r="C430" s="31"/>
      <c r="D430" s="31"/>
      <c r="E430" s="31"/>
      <c r="F430" s="31"/>
      <c r="G430" s="31"/>
    </row>
    <row r="431" spans="1:7">
      <c r="A431" s="31"/>
      <c r="B431" s="31"/>
      <c r="C431" s="31"/>
      <c r="D431" s="31"/>
      <c r="E431" s="31"/>
      <c r="F431" s="31"/>
      <c r="G431" s="31"/>
    </row>
    <row r="432" spans="1:7">
      <c r="A432" s="31"/>
      <c r="B432" s="31"/>
      <c r="C432" s="31"/>
      <c r="D432" s="31"/>
      <c r="E432" s="31"/>
      <c r="F432" s="31"/>
      <c r="G432" s="31"/>
    </row>
    <row r="433" spans="1:7">
      <c r="A433" s="31"/>
      <c r="B433" s="31"/>
      <c r="C433" s="31"/>
      <c r="D433" s="31"/>
      <c r="E433" s="31"/>
      <c r="F433" s="31"/>
      <c r="G433" s="31"/>
    </row>
    <row r="434" spans="1:7">
      <c r="A434" s="31"/>
      <c r="B434" s="31"/>
      <c r="C434" s="31"/>
      <c r="D434" s="31"/>
      <c r="E434" s="31"/>
      <c r="F434" s="31"/>
      <c r="G434" s="31"/>
    </row>
    <row r="435" spans="1:7">
      <c r="A435" s="31"/>
      <c r="B435" s="31"/>
      <c r="C435" s="31"/>
      <c r="D435" s="31"/>
      <c r="E435" s="31"/>
      <c r="F435" s="31"/>
      <c r="G435" s="31"/>
    </row>
    <row r="436" spans="1:7">
      <c r="A436" s="31"/>
      <c r="B436" s="31"/>
      <c r="C436" s="31"/>
      <c r="D436" s="31"/>
      <c r="E436" s="31"/>
      <c r="F436" s="31"/>
      <c r="G436" s="31"/>
    </row>
    <row r="437" spans="1:7">
      <c r="A437" s="31"/>
      <c r="B437" s="31"/>
      <c r="C437" s="31"/>
      <c r="D437" s="31"/>
      <c r="E437" s="31"/>
      <c r="F437" s="31"/>
      <c r="G437" s="31"/>
    </row>
    <row r="438" spans="1:7">
      <c r="A438" s="31"/>
      <c r="B438" s="31"/>
      <c r="C438" s="31"/>
      <c r="D438" s="31"/>
      <c r="E438" s="31"/>
      <c r="F438" s="31"/>
      <c r="G438" s="31"/>
    </row>
    <row r="439" spans="1:7">
      <c r="A439" s="31"/>
      <c r="B439" s="31"/>
      <c r="C439" s="31"/>
      <c r="D439" s="31"/>
      <c r="E439" s="31"/>
      <c r="F439" s="31"/>
      <c r="G439" s="31"/>
    </row>
    <row r="440" spans="1:7">
      <c r="A440" s="31"/>
      <c r="B440" s="31"/>
      <c r="C440" s="31"/>
      <c r="D440" s="31"/>
      <c r="E440" s="31"/>
      <c r="F440" s="31"/>
      <c r="G440" s="31"/>
    </row>
    <row r="441" spans="1:7">
      <c r="A441" s="31"/>
      <c r="B441" s="31"/>
      <c r="C441" s="31"/>
      <c r="D441" s="31"/>
      <c r="E441" s="31"/>
      <c r="F441" s="31"/>
      <c r="G441" s="31"/>
    </row>
    <row r="442" spans="1:7">
      <c r="A442" s="31"/>
      <c r="B442" s="31"/>
      <c r="C442" s="31"/>
      <c r="D442" s="31"/>
      <c r="E442" s="31"/>
      <c r="F442" s="31"/>
      <c r="G442" s="31"/>
    </row>
    <row r="443" spans="1:7">
      <c r="A443" s="31"/>
      <c r="B443" s="31"/>
      <c r="C443" s="31"/>
      <c r="D443" s="31"/>
      <c r="E443" s="31"/>
      <c r="F443" s="31"/>
      <c r="G443" s="31"/>
    </row>
    <row r="444" spans="1:7">
      <c r="A444" s="31"/>
      <c r="B444" s="31"/>
      <c r="C444" s="31"/>
      <c r="D444" s="31"/>
      <c r="E444" s="31"/>
      <c r="F444" s="31"/>
      <c r="G444" s="31"/>
    </row>
    <row r="445" spans="1:7">
      <c r="A445" s="31"/>
      <c r="B445" s="31"/>
      <c r="C445" s="31"/>
      <c r="D445" s="31"/>
      <c r="E445" s="31"/>
      <c r="F445" s="31"/>
      <c r="G445" s="31"/>
    </row>
    <row r="446" spans="1:7">
      <c r="A446" s="31"/>
      <c r="B446" s="31"/>
      <c r="C446" s="31"/>
      <c r="D446" s="31"/>
      <c r="E446" s="31"/>
      <c r="F446" s="31"/>
      <c r="G446" s="31"/>
    </row>
    <row r="447" spans="1:7">
      <c r="A447" s="31"/>
      <c r="B447" s="31"/>
      <c r="C447" s="31"/>
      <c r="D447" s="31"/>
      <c r="E447" s="31"/>
      <c r="F447" s="31"/>
      <c r="G447" s="31"/>
    </row>
    <row r="448" spans="1:7">
      <c r="A448" s="31"/>
      <c r="B448" s="31"/>
      <c r="C448" s="31"/>
      <c r="D448" s="31"/>
      <c r="E448" s="31"/>
      <c r="F448" s="31"/>
      <c r="G448" s="31"/>
    </row>
    <row r="449" spans="1:7">
      <c r="A449" s="31"/>
      <c r="B449" s="31"/>
      <c r="C449" s="31"/>
      <c r="D449" s="31"/>
      <c r="E449" s="31"/>
      <c r="F449" s="31"/>
      <c r="G449" s="31"/>
    </row>
    <row r="450" spans="1:7">
      <c r="A450" s="31"/>
      <c r="B450" s="31"/>
      <c r="C450" s="31"/>
      <c r="D450" s="31"/>
      <c r="E450" s="31"/>
      <c r="F450" s="31"/>
      <c r="G450" s="31"/>
    </row>
    <row r="451" spans="1:7">
      <c r="A451" s="31"/>
      <c r="B451" s="31"/>
      <c r="C451" s="31"/>
      <c r="D451" s="31"/>
      <c r="E451" s="31"/>
      <c r="F451" s="31"/>
      <c r="G451" s="31"/>
    </row>
    <row r="452" spans="1:7">
      <c r="A452" s="31"/>
      <c r="B452" s="31"/>
      <c r="C452" s="31"/>
      <c r="D452" s="31"/>
      <c r="E452" s="31"/>
      <c r="F452" s="31"/>
      <c r="G452" s="31"/>
    </row>
    <row r="453" spans="1:7">
      <c r="A453" s="31"/>
      <c r="B453" s="31"/>
      <c r="C453" s="31"/>
      <c r="D453" s="31"/>
      <c r="E453" s="31"/>
      <c r="F453" s="31"/>
      <c r="G453" s="31"/>
    </row>
    <row r="454" spans="1:7">
      <c r="A454" s="31"/>
      <c r="B454" s="31"/>
      <c r="C454" s="31"/>
      <c r="D454" s="31"/>
      <c r="E454" s="31"/>
      <c r="F454" s="31"/>
      <c r="G454" s="31"/>
    </row>
    <row r="455" spans="1:7">
      <c r="A455" s="31"/>
      <c r="B455" s="31"/>
      <c r="C455" s="31"/>
      <c r="D455" s="31"/>
      <c r="E455" s="31"/>
      <c r="F455" s="31"/>
      <c r="G455" s="31"/>
    </row>
    <row r="456" spans="1:7">
      <c r="A456" s="31"/>
      <c r="B456" s="31"/>
      <c r="C456" s="31"/>
      <c r="D456" s="31"/>
      <c r="E456" s="31"/>
      <c r="F456" s="31"/>
      <c r="G456" s="31"/>
    </row>
    <row r="457" spans="1:7">
      <c r="A457" s="31"/>
      <c r="B457" s="31"/>
      <c r="C457" s="31"/>
      <c r="D457" s="31"/>
      <c r="E457" s="31"/>
      <c r="F457" s="31"/>
      <c r="G457" s="31"/>
    </row>
    <row r="458" spans="1:7">
      <c r="A458" s="31"/>
      <c r="B458" s="31"/>
      <c r="C458" s="31"/>
      <c r="D458" s="31"/>
      <c r="E458" s="31"/>
      <c r="F458" s="31"/>
      <c r="G458" s="31"/>
    </row>
    <row r="459" spans="1:7">
      <c r="A459" s="31"/>
      <c r="B459" s="31"/>
      <c r="C459" s="31"/>
      <c r="D459" s="31"/>
      <c r="E459" s="31"/>
      <c r="F459" s="31"/>
      <c r="G459" s="31"/>
    </row>
    <row r="460" spans="1:7">
      <c r="A460" s="31"/>
      <c r="B460" s="31"/>
      <c r="C460" s="31"/>
      <c r="D460" s="31"/>
      <c r="E460" s="31"/>
      <c r="F460" s="31"/>
      <c r="G460" s="31"/>
    </row>
    <row r="461" spans="1:7">
      <c r="A461" s="31"/>
      <c r="B461" s="31"/>
      <c r="C461" s="31"/>
      <c r="D461" s="31"/>
      <c r="E461" s="31"/>
      <c r="F461" s="31"/>
      <c r="G461" s="31"/>
    </row>
    <row r="462" spans="1:7">
      <c r="A462" s="31"/>
      <c r="B462" s="31"/>
      <c r="C462" s="31"/>
      <c r="D462" s="31"/>
      <c r="E462" s="31"/>
      <c r="F462" s="31"/>
      <c r="G462" s="31"/>
    </row>
    <row r="463" spans="1:7">
      <c r="A463" s="31"/>
      <c r="B463" s="31"/>
      <c r="C463" s="31"/>
      <c r="D463" s="31"/>
      <c r="E463" s="31"/>
      <c r="F463" s="31"/>
      <c r="G463" s="31"/>
    </row>
    <row r="464" spans="1:7">
      <c r="A464" s="31"/>
      <c r="B464" s="31"/>
      <c r="C464" s="31"/>
      <c r="D464" s="31"/>
      <c r="E464" s="31"/>
      <c r="F464" s="31"/>
      <c r="G464" s="31"/>
    </row>
    <row r="465" spans="1:7">
      <c r="A465" s="31"/>
      <c r="B465" s="31"/>
      <c r="C465" s="31"/>
      <c r="D465" s="31"/>
      <c r="E465" s="31"/>
      <c r="F465" s="31"/>
      <c r="G465" s="31"/>
    </row>
    <row r="466" spans="1:7">
      <c r="A466" s="31"/>
      <c r="B466" s="31"/>
      <c r="C466" s="31"/>
      <c r="D466" s="31"/>
      <c r="E466" s="31"/>
      <c r="F466" s="31"/>
      <c r="G466" s="31"/>
    </row>
    <row r="467" spans="1:7">
      <c r="A467" s="31"/>
      <c r="B467" s="31"/>
      <c r="C467" s="31"/>
      <c r="D467" s="31"/>
      <c r="E467" s="31"/>
      <c r="F467" s="31"/>
      <c r="G467" s="31"/>
    </row>
    <row r="468" spans="1:7">
      <c r="A468" s="31"/>
      <c r="B468" s="31"/>
      <c r="C468" s="31"/>
      <c r="D468" s="31"/>
      <c r="E468" s="31"/>
      <c r="F468" s="31"/>
      <c r="G468" s="31"/>
    </row>
    <row r="469" spans="1:7">
      <c r="A469" s="31"/>
      <c r="B469" s="31"/>
      <c r="C469" s="31"/>
      <c r="D469" s="31"/>
      <c r="E469" s="31"/>
      <c r="F469" s="31"/>
      <c r="G469" s="31"/>
    </row>
    <row r="470" spans="1:7">
      <c r="A470" s="31"/>
      <c r="B470" s="31"/>
      <c r="C470" s="31"/>
      <c r="D470" s="31"/>
      <c r="E470" s="31"/>
      <c r="F470" s="31"/>
      <c r="G470" s="31"/>
    </row>
    <row r="471" spans="1:7">
      <c r="A471" s="31"/>
      <c r="B471" s="31"/>
      <c r="C471" s="31"/>
      <c r="D471" s="31"/>
      <c r="E471" s="31"/>
      <c r="F471" s="31"/>
      <c r="G471" s="31"/>
    </row>
    <row r="472" spans="1:7">
      <c r="A472" s="31"/>
      <c r="B472" s="31"/>
      <c r="C472" s="31"/>
      <c r="D472" s="31"/>
      <c r="E472" s="31"/>
      <c r="F472" s="31"/>
      <c r="G472" s="31"/>
    </row>
    <row r="473" spans="1:7">
      <c r="A473" s="31"/>
      <c r="B473" s="31"/>
      <c r="C473" s="31"/>
      <c r="D473" s="31"/>
      <c r="E473" s="31"/>
      <c r="F473" s="31"/>
      <c r="G473" s="31"/>
    </row>
    <row r="474" spans="1:7">
      <c r="A474" s="31"/>
      <c r="B474" s="31"/>
      <c r="C474" s="31"/>
      <c r="D474" s="31"/>
      <c r="E474" s="31"/>
      <c r="F474" s="31"/>
      <c r="G474" s="31"/>
    </row>
    <row r="475" spans="1:7">
      <c r="A475" s="31"/>
      <c r="B475" s="31"/>
      <c r="C475" s="31"/>
      <c r="D475" s="31"/>
      <c r="E475" s="31"/>
      <c r="F475" s="31"/>
      <c r="G475" s="31"/>
    </row>
    <row r="476" spans="1:7">
      <c r="A476" s="31"/>
      <c r="B476" s="31"/>
      <c r="C476" s="31"/>
      <c r="D476" s="31"/>
      <c r="E476" s="31"/>
      <c r="F476" s="31"/>
      <c r="G476" s="31"/>
    </row>
    <row r="477" spans="1:7">
      <c r="A477" s="31"/>
      <c r="B477" s="31"/>
      <c r="C477" s="31"/>
      <c r="D477" s="31"/>
      <c r="E477" s="31"/>
      <c r="F477" s="31"/>
      <c r="G477" s="31"/>
    </row>
    <row r="478" spans="1:7">
      <c r="A478" s="31"/>
      <c r="B478" s="31"/>
      <c r="C478" s="31"/>
      <c r="D478" s="31"/>
      <c r="E478" s="31"/>
      <c r="F478" s="31"/>
      <c r="G478" s="31"/>
    </row>
    <row r="479" spans="1:7">
      <c r="A479" s="31"/>
      <c r="B479" s="31"/>
      <c r="C479" s="31"/>
      <c r="D479" s="31"/>
      <c r="E479" s="31"/>
      <c r="F479" s="31"/>
      <c r="G479" s="31"/>
    </row>
    <row r="480" spans="1:7">
      <c r="A480" s="31"/>
      <c r="B480" s="31"/>
      <c r="C480" s="31"/>
      <c r="D480" s="31"/>
      <c r="E480" s="31"/>
      <c r="F480" s="31"/>
      <c r="G480" s="31"/>
    </row>
    <row r="481" spans="1:7">
      <c r="A481" s="31"/>
      <c r="B481" s="31"/>
      <c r="C481" s="31"/>
      <c r="D481" s="31"/>
      <c r="E481" s="31"/>
      <c r="F481" s="31"/>
      <c r="G481" s="31"/>
    </row>
    <row r="482" spans="1:7">
      <c r="A482" s="31"/>
      <c r="B482" s="31"/>
      <c r="C482" s="31"/>
      <c r="D482" s="31"/>
      <c r="E482" s="31"/>
      <c r="F482" s="31"/>
      <c r="G482" s="31"/>
    </row>
    <row r="483" spans="1:7">
      <c r="A483" s="31"/>
      <c r="B483" s="31"/>
      <c r="C483" s="31"/>
      <c r="D483" s="31"/>
      <c r="E483" s="31"/>
      <c r="F483" s="31"/>
      <c r="G483" s="31"/>
    </row>
    <row r="484" spans="1:7">
      <c r="A484" s="31"/>
      <c r="B484" s="31"/>
      <c r="C484" s="31"/>
      <c r="D484" s="31"/>
      <c r="E484" s="31"/>
      <c r="F484" s="31"/>
      <c r="G484" s="31"/>
    </row>
    <row r="485" spans="1:7">
      <c r="A485" s="31"/>
      <c r="B485" s="31"/>
      <c r="C485" s="31"/>
      <c r="D485" s="31"/>
      <c r="E485" s="31"/>
      <c r="F485" s="31"/>
      <c r="G485" s="31"/>
    </row>
    <row r="486" spans="1:7">
      <c r="A486" s="31"/>
      <c r="B486" s="31"/>
      <c r="C486" s="31"/>
      <c r="D486" s="31"/>
      <c r="E486" s="31"/>
      <c r="F486" s="31"/>
      <c r="G486" s="31"/>
    </row>
    <row r="487" spans="1:7">
      <c r="A487" s="31"/>
      <c r="B487" s="31"/>
      <c r="C487" s="31"/>
      <c r="D487" s="31"/>
      <c r="E487" s="31"/>
      <c r="F487" s="31"/>
      <c r="G487" s="31"/>
    </row>
    <row r="488" spans="1:7">
      <c r="A488" s="31"/>
      <c r="B488" s="31"/>
      <c r="C488" s="31"/>
      <c r="D488" s="31"/>
      <c r="E488" s="31"/>
      <c r="F488" s="31"/>
      <c r="G488" s="31"/>
    </row>
    <row r="489" spans="1:7">
      <c r="A489" s="31"/>
      <c r="B489" s="31"/>
      <c r="C489" s="31"/>
      <c r="D489" s="31"/>
      <c r="E489" s="31"/>
      <c r="F489" s="31"/>
      <c r="G489" s="31"/>
    </row>
    <row r="490" spans="1:7">
      <c r="A490" s="31"/>
      <c r="B490" s="31"/>
      <c r="C490" s="31"/>
      <c r="D490" s="31"/>
      <c r="E490" s="31"/>
      <c r="F490" s="31"/>
      <c r="G490" s="31"/>
    </row>
    <row r="491" spans="1:7">
      <c r="A491" s="31"/>
      <c r="B491" s="31"/>
      <c r="C491" s="31"/>
      <c r="D491" s="31"/>
      <c r="E491" s="31"/>
      <c r="F491" s="31"/>
      <c r="G491" s="31"/>
    </row>
    <row r="492" spans="1:7">
      <c r="A492" s="31"/>
      <c r="B492" s="31"/>
      <c r="C492" s="31"/>
      <c r="D492" s="31"/>
      <c r="E492" s="31"/>
      <c r="F492" s="31"/>
      <c r="G492" s="31"/>
    </row>
    <row r="493" spans="1:7">
      <c r="A493" s="31"/>
      <c r="B493" s="31"/>
      <c r="C493" s="31"/>
      <c r="D493" s="31"/>
      <c r="E493" s="31"/>
      <c r="F493" s="31"/>
      <c r="G493" s="31"/>
    </row>
    <row r="494" spans="1:7">
      <c r="A494" s="31"/>
      <c r="B494" s="31"/>
      <c r="C494" s="31"/>
      <c r="D494" s="31"/>
      <c r="E494" s="31"/>
      <c r="F494" s="31"/>
      <c r="G494" s="31"/>
    </row>
    <row r="495" spans="1:7">
      <c r="A495" s="31"/>
      <c r="B495" s="31"/>
      <c r="C495" s="31"/>
      <c r="D495" s="31"/>
      <c r="E495" s="31"/>
      <c r="F495" s="31"/>
      <c r="G495" s="31"/>
    </row>
    <row r="496" spans="1:7">
      <c r="A496" s="31"/>
      <c r="B496" s="31"/>
      <c r="C496" s="31"/>
      <c r="D496" s="31"/>
      <c r="E496" s="31"/>
      <c r="F496" s="31"/>
      <c r="G496" s="31"/>
    </row>
    <row r="497" spans="1:7">
      <c r="A497" s="31"/>
      <c r="B497" s="31"/>
      <c r="C497" s="31"/>
      <c r="D497" s="31"/>
      <c r="E497" s="31"/>
      <c r="F497" s="31"/>
      <c r="G497" s="31"/>
    </row>
    <row r="498" spans="1:7">
      <c r="A498" s="31"/>
      <c r="B498" s="31"/>
      <c r="C498" s="31"/>
      <c r="D498" s="31"/>
      <c r="E498" s="31"/>
      <c r="F498" s="31"/>
      <c r="G498" s="31"/>
    </row>
    <row r="499" spans="1:7">
      <c r="A499" s="31"/>
      <c r="B499" s="31"/>
      <c r="C499" s="31"/>
      <c r="D499" s="31"/>
      <c r="E499" s="31"/>
      <c r="F499" s="31"/>
      <c r="G499" s="31"/>
    </row>
    <row r="500" spans="1:7">
      <c r="A500" s="31"/>
      <c r="B500" s="31"/>
      <c r="C500" s="31"/>
      <c r="D500" s="31"/>
      <c r="E500" s="31"/>
      <c r="F500" s="31"/>
      <c r="G500" s="31"/>
    </row>
    <row r="501" spans="1:7">
      <c r="A501" s="31"/>
      <c r="B501" s="31"/>
      <c r="C501" s="31"/>
      <c r="D501" s="31"/>
      <c r="E501" s="31"/>
      <c r="F501" s="31"/>
      <c r="G501" s="31"/>
    </row>
    <row r="502" spans="1:7">
      <c r="A502" s="31"/>
      <c r="B502" s="31"/>
      <c r="C502" s="31"/>
      <c r="D502" s="31"/>
      <c r="E502" s="31"/>
      <c r="F502" s="31"/>
      <c r="G502" s="31"/>
    </row>
    <row r="503" spans="1:7">
      <c r="A503" s="31"/>
      <c r="B503" s="31"/>
      <c r="C503" s="31"/>
      <c r="D503" s="31"/>
      <c r="E503" s="31"/>
      <c r="F503" s="31"/>
      <c r="G503" s="31"/>
    </row>
    <row r="504" spans="1:7">
      <c r="A504" s="31"/>
      <c r="B504" s="31"/>
      <c r="C504" s="31"/>
      <c r="D504" s="31"/>
      <c r="E504" s="31"/>
      <c r="F504" s="31"/>
      <c r="G504" s="31"/>
    </row>
    <row r="505" spans="1:7">
      <c r="A505" s="31"/>
      <c r="B505" s="31"/>
      <c r="C505" s="31"/>
      <c r="D505" s="31"/>
      <c r="E505" s="31"/>
      <c r="F505" s="31"/>
      <c r="G505" s="31"/>
    </row>
    <row r="506" spans="1:7">
      <c r="A506" s="31"/>
      <c r="B506" s="31"/>
      <c r="C506" s="31"/>
      <c r="D506" s="31"/>
      <c r="E506" s="31"/>
      <c r="F506" s="31"/>
      <c r="G506" s="31"/>
    </row>
    <row r="507" spans="1:7">
      <c r="A507" s="31"/>
      <c r="B507" s="31"/>
      <c r="C507" s="31"/>
      <c r="D507" s="31"/>
      <c r="E507" s="31"/>
      <c r="F507" s="31"/>
      <c r="G507" s="31"/>
    </row>
    <row r="508" spans="1:7">
      <c r="A508" s="31"/>
      <c r="B508" s="31"/>
      <c r="C508" s="31"/>
      <c r="D508" s="31"/>
      <c r="E508" s="31"/>
      <c r="F508" s="31"/>
      <c r="G508" s="31"/>
    </row>
    <row r="509" spans="1:7">
      <c r="A509" s="31"/>
      <c r="B509" s="31"/>
      <c r="C509" s="31"/>
      <c r="D509" s="31"/>
      <c r="E509" s="31"/>
      <c r="F509" s="31"/>
      <c r="G509" s="31"/>
    </row>
    <row r="510" spans="1:7">
      <c r="A510" s="31"/>
      <c r="B510" s="31"/>
      <c r="C510" s="31"/>
      <c r="D510" s="31"/>
      <c r="E510" s="31"/>
      <c r="F510" s="31"/>
      <c r="G510" s="31"/>
    </row>
    <row r="511" spans="1:7">
      <c r="A511" s="31"/>
      <c r="B511" s="31"/>
      <c r="C511" s="31"/>
      <c r="D511" s="31"/>
      <c r="E511" s="31"/>
      <c r="F511" s="31"/>
      <c r="G511" s="31"/>
    </row>
    <row r="512" spans="1:7">
      <c r="A512" s="31"/>
      <c r="B512" s="31"/>
      <c r="C512" s="31"/>
      <c r="D512" s="31"/>
      <c r="E512" s="31"/>
      <c r="F512" s="31"/>
      <c r="G512" s="31"/>
    </row>
    <row r="513" spans="1:7">
      <c r="A513" s="31"/>
      <c r="B513" s="31"/>
      <c r="C513" s="31"/>
      <c r="D513" s="31"/>
      <c r="E513" s="31"/>
      <c r="F513" s="31"/>
      <c r="G513" s="31"/>
    </row>
    <row r="514" spans="1:7">
      <c r="A514" s="31"/>
      <c r="B514" s="31"/>
      <c r="C514" s="31"/>
      <c r="D514" s="31"/>
      <c r="E514" s="31"/>
      <c r="F514" s="31"/>
      <c r="G514" s="31"/>
    </row>
    <row r="515" spans="1:7">
      <c r="A515" s="31"/>
      <c r="B515" s="31"/>
      <c r="C515" s="31"/>
      <c r="D515" s="31"/>
      <c r="E515" s="31"/>
      <c r="F515" s="31"/>
      <c r="G515" s="31"/>
    </row>
    <row r="516" spans="1:7">
      <c r="A516" s="31"/>
      <c r="B516" s="31"/>
      <c r="C516" s="31"/>
      <c r="D516" s="31"/>
      <c r="E516" s="31"/>
      <c r="F516" s="31"/>
      <c r="G516" s="31"/>
    </row>
    <row r="517" spans="1:7">
      <c r="A517" s="31"/>
      <c r="B517" s="31"/>
      <c r="C517" s="31"/>
      <c r="D517" s="31"/>
      <c r="E517" s="31"/>
      <c r="F517" s="31"/>
      <c r="G517" s="31"/>
    </row>
    <row r="518" spans="1:7">
      <c r="A518" s="31"/>
      <c r="B518" s="31"/>
      <c r="C518" s="31"/>
      <c r="D518" s="31"/>
      <c r="E518" s="31"/>
      <c r="F518" s="31"/>
      <c r="G518" s="31"/>
    </row>
    <row r="519" spans="1:7">
      <c r="A519" s="31"/>
      <c r="B519" s="31"/>
      <c r="C519" s="31"/>
      <c r="D519" s="31"/>
      <c r="E519" s="31"/>
      <c r="F519" s="31"/>
      <c r="G519" s="31"/>
    </row>
    <row r="520" spans="1:7">
      <c r="A520" s="31"/>
      <c r="B520" s="31"/>
      <c r="C520" s="31"/>
      <c r="D520" s="31"/>
      <c r="E520" s="31"/>
      <c r="F520" s="31"/>
      <c r="G520" s="31"/>
    </row>
    <row r="521" spans="1:7">
      <c r="A521" s="31"/>
      <c r="B521" s="31"/>
      <c r="C521" s="31"/>
      <c r="D521" s="31"/>
      <c r="E521" s="31"/>
      <c r="F521" s="31"/>
      <c r="G521" s="31"/>
    </row>
    <row r="522" spans="1:7">
      <c r="A522" s="31"/>
      <c r="B522" s="31"/>
      <c r="C522" s="31"/>
      <c r="D522" s="31"/>
      <c r="E522" s="31"/>
      <c r="F522" s="31"/>
      <c r="G522" s="31"/>
    </row>
    <row r="523" spans="1:7">
      <c r="A523" s="31"/>
      <c r="B523" s="31"/>
      <c r="C523" s="31"/>
      <c r="D523" s="31"/>
      <c r="E523" s="31"/>
      <c r="F523" s="31"/>
      <c r="G523" s="31"/>
    </row>
    <row r="524" spans="1:7">
      <c r="A524" s="31"/>
      <c r="B524" s="31"/>
      <c r="C524" s="31"/>
      <c r="D524" s="31"/>
      <c r="E524" s="31"/>
      <c r="F524" s="31"/>
      <c r="G524" s="31"/>
    </row>
    <row r="525" spans="1:7">
      <c r="A525" s="31"/>
      <c r="B525" s="31"/>
      <c r="C525" s="31"/>
      <c r="D525" s="31"/>
      <c r="E525" s="31"/>
      <c r="F525" s="31"/>
      <c r="G525" s="31"/>
    </row>
    <row r="526" spans="1:7">
      <c r="A526" s="31"/>
      <c r="B526" s="31"/>
      <c r="C526" s="31"/>
      <c r="D526" s="31"/>
      <c r="E526" s="31"/>
      <c r="F526" s="31"/>
      <c r="G526" s="31"/>
    </row>
    <row r="527" spans="1:7">
      <c r="A527" s="31"/>
      <c r="B527" s="31"/>
      <c r="C527" s="31"/>
      <c r="D527" s="31"/>
      <c r="E527" s="31"/>
      <c r="F527" s="31"/>
      <c r="G527" s="31"/>
    </row>
    <row r="528" spans="1:7">
      <c r="A528" s="31"/>
      <c r="B528" s="31"/>
      <c r="C528" s="31"/>
      <c r="D528" s="31"/>
      <c r="E528" s="31"/>
      <c r="F528" s="31"/>
      <c r="G528" s="31"/>
    </row>
    <row r="529" spans="1:7">
      <c r="A529" s="31"/>
      <c r="B529" s="31"/>
      <c r="C529" s="31"/>
      <c r="D529" s="31"/>
      <c r="E529" s="31"/>
      <c r="F529" s="31"/>
      <c r="G529" s="31"/>
    </row>
    <row r="530" spans="1:7">
      <c r="A530" s="31"/>
      <c r="B530" s="31"/>
      <c r="C530" s="31"/>
      <c r="D530" s="31"/>
      <c r="E530" s="31"/>
      <c r="F530" s="31"/>
      <c r="G530" s="31"/>
    </row>
    <row r="531" spans="1:7">
      <c r="A531" s="31"/>
      <c r="B531" s="31"/>
      <c r="C531" s="31"/>
      <c r="D531" s="31"/>
      <c r="E531" s="31"/>
      <c r="F531" s="31"/>
      <c r="G531" s="31"/>
    </row>
    <row r="532" spans="1:7">
      <c r="A532" s="31"/>
      <c r="B532" s="31"/>
      <c r="C532" s="31"/>
      <c r="D532" s="31"/>
      <c r="E532" s="31"/>
      <c r="F532" s="31"/>
      <c r="G532" s="31"/>
    </row>
    <row r="533" spans="1:7">
      <c r="A533" s="31"/>
      <c r="B533" s="31"/>
      <c r="C533" s="31"/>
      <c r="D533" s="31"/>
      <c r="E533" s="31"/>
      <c r="F533" s="31"/>
      <c r="G533" s="31"/>
    </row>
    <row r="534" spans="1:7">
      <c r="A534" s="31"/>
      <c r="B534" s="31"/>
      <c r="C534" s="31"/>
      <c r="D534" s="31"/>
      <c r="E534" s="31"/>
      <c r="F534" s="31"/>
      <c r="G534" s="31"/>
    </row>
    <row r="535" spans="1:7">
      <c r="A535" s="31"/>
      <c r="B535" s="31"/>
      <c r="C535" s="31"/>
      <c r="D535" s="31"/>
      <c r="E535" s="31"/>
      <c r="F535" s="31"/>
      <c r="G535" s="31"/>
    </row>
    <row r="536" spans="1:7">
      <c r="A536" s="31"/>
      <c r="B536" s="31"/>
      <c r="C536" s="31"/>
      <c r="D536" s="31"/>
      <c r="E536" s="31"/>
      <c r="F536" s="31"/>
      <c r="G536" s="31"/>
    </row>
    <row r="537" spans="1:7">
      <c r="A537" s="31"/>
      <c r="B537" s="31"/>
      <c r="C537" s="31"/>
      <c r="D537" s="31"/>
      <c r="E537" s="31"/>
      <c r="F537" s="31"/>
      <c r="G537" s="31"/>
    </row>
    <row r="538" spans="1:7">
      <c r="A538" s="31"/>
      <c r="B538" s="31"/>
      <c r="C538" s="31"/>
      <c r="D538" s="31"/>
      <c r="E538" s="31"/>
      <c r="F538" s="31"/>
      <c r="G538" s="31"/>
    </row>
    <row r="539" spans="1:7">
      <c r="A539" s="31"/>
      <c r="B539" s="31"/>
      <c r="C539" s="31"/>
      <c r="D539" s="31"/>
      <c r="E539" s="31"/>
      <c r="F539" s="31"/>
      <c r="G539" s="31"/>
    </row>
    <row r="540" spans="1:7">
      <c r="A540" s="31"/>
      <c r="B540" s="31"/>
      <c r="C540" s="31"/>
      <c r="D540" s="31"/>
      <c r="E540" s="31"/>
      <c r="F540" s="31"/>
      <c r="G540" s="31"/>
    </row>
    <row r="541" spans="1:7">
      <c r="A541" s="31"/>
      <c r="B541" s="31"/>
      <c r="C541" s="31"/>
      <c r="D541" s="31"/>
      <c r="E541" s="31"/>
      <c r="F541" s="31"/>
      <c r="G541" s="31"/>
    </row>
    <row r="542" spans="1:7">
      <c r="A542" s="31"/>
      <c r="B542" s="31"/>
      <c r="C542" s="31"/>
      <c r="D542" s="31"/>
      <c r="E542" s="31"/>
      <c r="F542" s="31"/>
      <c r="G542" s="31"/>
    </row>
    <row r="543" spans="1:7">
      <c r="A543" s="31"/>
      <c r="B543" s="31"/>
      <c r="C543" s="31"/>
      <c r="D543" s="31"/>
      <c r="E543" s="31"/>
      <c r="F543" s="31"/>
      <c r="G543" s="31"/>
    </row>
    <row r="544" spans="1:7">
      <c r="A544" s="31"/>
      <c r="B544" s="31"/>
      <c r="C544" s="31"/>
      <c r="D544" s="31"/>
      <c r="E544" s="31"/>
      <c r="F544" s="31"/>
      <c r="G544" s="31"/>
    </row>
    <row r="545" spans="1:7">
      <c r="A545" s="31"/>
      <c r="B545" s="31"/>
      <c r="C545" s="31"/>
      <c r="D545" s="31"/>
      <c r="E545" s="31"/>
      <c r="F545" s="31"/>
      <c r="G545" s="31"/>
    </row>
    <row r="546" spans="1:7">
      <c r="A546" s="31"/>
      <c r="B546" s="31"/>
      <c r="C546" s="31"/>
      <c r="D546" s="31"/>
      <c r="E546" s="31"/>
      <c r="F546" s="31"/>
      <c r="G546" s="31"/>
    </row>
    <row r="547" spans="1:7">
      <c r="A547" s="31"/>
      <c r="B547" s="31"/>
      <c r="C547" s="31"/>
      <c r="D547" s="31"/>
      <c r="E547" s="31"/>
      <c r="F547" s="31"/>
      <c r="G547" s="31"/>
    </row>
    <row r="548" spans="1:7">
      <c r="A548" s="31"/>
      <c r="B548" s="31"/>
      <c r="C548" s="31"/>
      <c r="D548" s="31"/>
      <c r="E548" s="31"/>
      <c r="F548" s="31"/>
      <c r="G548" s="31"/>
    </row>
    <row r="549" spans="1:7">
      <c r="A549" s="31"/>
      <c r="B549" s="31"/>
      <c r="C549" s="31"/>
      <c r="D549" s="31"/>
      <c r="E549" s="31"/>
      <c r="F549" s="31"/>
      <c r="G549" s="31"/>
    </row>
    <row r="550" spans="1:7">
      <c r="A550" s="31"/>
      <c r="B550" s="31"/>
      <c r="C550" s="31"/>
      <c r="D550" s="31"/>
      <c r="E550" s="31"/>
      <c r="F550" s="31"/>
      <c r="G550" s="31"/>
    </row>
    <row r="551" spans="1:7">
      <c r="A551" s="31"/>
      <c r="B551" s="31"/>
      <c r="C551" s="31"/>
      <c r="D551" s="31"/>
      <c r="E551" s="31"/>
      <c r="F551" s="31"/>
      <c r="G551" s="31"/>
    </row>
    <row r="552" spans="1:7">
      <c r="A552" s="31"/>
      <c r="B552" s="31"/>
      <c r="C552" s="31"/>
      <c r="D552" s="31"/>
      <c r="E552" s="31"/>
      <c r="F552" s="31"/>
      <c r="G552" s="31"/>
    </row>
    <row r="553" spans="1:7">
      <c r="A553" s="31"/>
      <c r="B553" s="31"/>
      <c r="C553" s="31"/>
      <c r="D553" s="31"/>
      <c r="E553" s="31"/>
      <c r="F553" s="31"/>
      <c r="G553" s="31"/>
    </row>
    <row r="554" spans="1:7">
      <c r="A554" s="31"/>
      <c r="B554" s="31"/>
      <c r="C554" s="31"/>
      <c r="D554" s="31"/>
      <c r="E554" s="31"/>
      <c r="F554" s="31"/>
      <c r="G554" s="31"/>
    </row>
    <row r="555" spans="1:7">
      <c r="A555" s="31"/>
      <c r="B555" s="31"/>
      <c r="C555" s="31"/>
      <c r="D555" s="31"/>
      <c r="E555" s="31"/>
      <c r="F555" s="31"/>
      <c r="G555" s="31"/>
    </row>
    <row r="556" spans="1:7">
      <c r="A556" s="31"/>
      <c r="B556" s="31"/>
      <c r="C556" s="31"/>
      <c r="D556" s="31"/>
      <c r="E556" s="31"/>
      <c r="F556" s="31"/>
      <c r="G556" s="31"/>
    </row>
    <row r="557" spans="1:7">
      <c r="A557" s="31"/>
      <c r="B557" s="31"/>
      <c r="C557" s="31"/>
      <c r="D557" s="31"/>
      <c r="E557" s="31"/>
      <c r="F557" s="31"/>
      <c r="G557" s="31"/>
    </row>
    <row r="558" spans="1:7">
      <c r="A558" s="31"/>
      <c r="B558" s="31"/>
      <c r="C558" s="31"/>
      <c r="D558" s="31"/>
      <c r="E558" s="31"/>
      <c r="F558" s="31"/>
      <c r="G558" s="31"/>
    </row>
    <row r="559" spans="1:7">
      <c r="A559" s="31"/>
      <c r="B559" s="31"/>
      <c r="C559" s="31"/>
      <c r="D559" s="31"/>
      <c r="E559" s="31"/>
      <c r="F559" s="31"/>
      <c r="G559" s="31"/>
    </row>
    <row r="560" spans="1:7">
      <c r="A560" s="31"/>
      <c r="B560" s="31"/>
      <c r="C560" s="31"/>
      <c r="D560" s="31"/>
      <c r="E560" s="31"/>
      <c r="F560" s="31"/>
      <c r="G560" s="31"/>
    </row>
    <row r="561" spans="1:7">
      <c r="A561" s="31"/>
      <c r="B561" s="31"/>
      <c r="C561" s="31"/>
      <c r="D561" s="31"/>
      <c r="E561" s="31"/>
      <c r="F561" s="31"/>
      <c r="G561" s="31"/>
    </row>
    <row r="562" spans="1:7">
      <c r="A562" s="31"/>
      <c r="B562" s="31"/>
      <c r="C562" s="31"/>
      <c r="D562" s="31"/>
      <c r="E562" s="31"/>
      <c r="F562" s="31"/>
      <c r="G562" s="31"/>
    </row>
    <row r="563" spans="1:7">
      <c r="A563" s="31"/>
      <c r="B563" s="31"/>
      <c r="C563" s="31"/>
      <c r="D563" s="31"/>
      <c r="E563" s="31"/>
      <c r="F563" s="31"/>
      <c r="G563" s="31"/>
    </row>
    <row r="564" spans="1:7">
      <c r="A564" s="31"/>
      <c r="B564" s="31"/>
      <c r="C564" s="31"/>
      <c r="D564" s="31"/>
      <c r="E564" s="31"/>
      <c r="F564" s="31"/>
      <c r="G564" s="31"/>
    </row>
    <row r="565" spans="1:7">
      <c r="A565" s="31"/>
      <c r="B565" s="31"/>
      <c r="C565" s="31"/>
      <c r="D565" s="31"/>
      <c r="E565" s="31"/>
      <c r="F565" s="31"/>
      <c r="G565" s="31"/>
    </row>
    <row r="566" spans="1:7">
      <c r="A566" s="31"/>
      <c r="B566" s="31"/>
      <c r="C566" s="31"/>
      <c r="D566" s="31"/>
      <c r="E566" s="31"/>
      <c r="F566" s="31"/>
      <c r="G566" s="31"/>
    </row>
    <row r="567" spans="1:7">
      <c r="A567" s="31"/>
      <c r="B567" s="31"/>
      <c r="C567" s="31"/>
      <c r="D567" s="31"/>
      <c r="E567" s="31"/>
      <c r="F567" s="31"/>
      <c r="G567" s="31"/>
    </row>
    <row r="568" spans="1:7">
      <c r="A568" s="31"/>
      <c r="B568" s="31"/>
      <c r="C568" s="31"/>
      <c r="D568" s="31"/>
      <c r="E568" s="31"/>
      <c r="F568" s="31"/>
      <c r="G568" s="31"/>
    </row>
    <row r="569" spans="1:7">
      <c r="A569" s="31"/>
      <c r="B569" s="31"/>
      <c r="C569" s="31"/>
      <c r="D569" s="31"/>
      <c r="E569" s="31"/>
      <c r="F569" s="31"/>
      <c r="G569" s="31"/>
    </row>
    <row r="570" spans="1:7">
      <c r="A570" s="31"/>
      <c r="B570" s="31"/>
      <c r="C570" s="31"/>
      <c r="D570" s="31"/>
      <c r="E570" s="31"/>
      <c r="F570" s="31"/>
      <c r="G570" s="31"/>
    </row>
    <row r="571" spans="1:7">
      <c r="A571" s="31"/>
      <c r="B571" s="31"/>
      <c r="C571" s="31"/>
      <c r="D571" s="31"/>
      <c r="E571" s="31"/>
      <c r="F571" s="31"/>
      <c r="G571" s="31"/>
    </row>
    <row r="572" spans="1:7">
      <c r="A572" s="31"/>
      <c r="B572" s="31"/>
      <c r="C572" s="31"/>
      <c r="D572" s="31"/>
      <c r="E572" s="31"/>
      <c r="F572" s="31"/>
      <c r="G572" s="31"/>
    </row>
    <row r="573" spans="1:7">
      <c r="A573" s="31"/>
      <c r="B573" s="31"/>
      <c r="C573" s="31"/>
      <c r="D573" s="31"/>
      <c r="E573" s="31"/>
      <c r="F573" s="31"/>
      <c r="G573" s="31"/>
    </row>
    <row r="574" spans="1:7">
      <c r="A574" s="31"/>
      <c r="B574" s="31"/>
      <c r="C574" s="31"/>
      <c r="D574" s="31"/>
      <c r="E574" s="31"/>
      <c r="F574" s="31"/>
      <c r="G574" s="31"/>
    </row>
    <row r="575" spans="1:7">
      <c r="A575" s="31"/>
      <c r="B575" s="31"/>
      <c r="C575" s="31"/>
      <c r="D575" s="31"/>
      <c r="E575" s="31"/>
      <c r="F575" s="31"/>
      <c r="G575" s="31"/>
    </row>
    <row r="576" spans="1:7">
      <c r="A576" s="31"/>
      <c r="B576" s="31"/>
      <c r="C576" s="31"/>
      <c r="D576" s="31"/>
      <c r="E576" s="31"/>
      <c r="F576" s="31"/>
      <c r="G576" s="31"/>
    </row>
    <row r="577" spans="1:7">
      <c r="A577" s="31"/>
      <c r="B577" s="31"/>
      <c r="C577" s="31"/>
      <c r="D577" s="31"/>
      <c r="E577" s="31"/>
      <c r="F577" s="31"/>
      <c r="G577" s="31"/>
    </row>
    <row r="578" spans="1:7">
      <c r="A578" s="31"/>
      <c r="B578" s="31"/>
      <c r="C578" s="31"/>
      <c r="D578" s="31"/>
      <c r="E578" s="31"/>
      <c r="F578" s="31"/>
      <c r="G578" s="31"/>
    </row>
    <row r="579" spans="1:7">
      <c r="A579" s="31"/>
      <c r="B579" s="31"/>
      <c r="C579" s="31"/>
      <c r="D579" s="31"/>
      <c r="E579" s="31"/>
      <c r="F579" s="31"/>
      <c r="G579" s="31"/>
    </row>
    <row r="580" spans="1:7">
      <c r="A580" s="31"/>
      <c r="B580" s="31"/>
      <c r="C580" s="31"/>
      <c r="D580" s="31"/>
      <c r="E580" s="31"/>
      <c r="F580" s="31"/>
      <c r="G580" s="31"/>
    </row>
    <row r="581" spans="1:7">
      <c r="A581" s="31"/>
      <c r="B581" s="31"/>
      <c r="C581" s="31"/>
      <c r="D581" s="31"/>
      <c r="E581" s="31"/>
      <c r="F581" s="31"/>
      <c r="G581" s="31"/>
    </row>
    <row r="582" spans="1:7">
      <c r="A582" s="31"/>
      <c r="B582" s="31"/>
      <c r="C582" s="31"/>
      <c r="D582" s="31"/>
      <c r="E582" s="31"/>
      <c r="F582" s="31"/>
      <c r="G582" s="31"/>
    </row>
    <row r="583" spans="1:7">
      <c r="A583" s="31"/>
      <c r="B583" s="31"/>
      <c r="C583" s="31"/>
      <c r="D583" s="31"/>
      <c r="E583" s="31"/>
      <c r="F583" s="31"/>
      <c r="G583" s="31"/>
    </row>
    <row r="584" spans="1:7">
      <c r="A584" s="31"/>
      <c r="B584" s="31"/>
      <c r="C584" s="31"/>
      <c r="D584" s="31"/>
      <c r="E584" s="31"/>
      <c r="F584" s="31"/>
      <c r="G584" s="31"/>
    </row>
    <row r="585" spans="1:7">
      <c r="A585" s="31"/>
      <c r="B585" s="31"/>
      <c r="C585" s="31"/>
      <c r="D585" s="31"/>
      <c r="E585" s="31"/>
      <c r="F585" s="31"/>
      <c r="G585" s="31"/>
    </row>
    <row r="586" spans="1:7">
      <c r="A586" s="31"/>
      <c r="B586" s="31"/>
      <c r="C586" s="31"/>
      <c r="D586" s="31"/>
      <c r="E586" s="31"/>
      <c r="F586" s="31"/>
      <c r="G586" s="31"/>
    </row>
    <row r="587" spans="1:7">
      <c r="A587" s="31"/>
      <c r="B587" s="31"/>
      <c r="C587" s="31"/>
      <c r="D587" s="31"/>
      <c r="E587" s="31"/>
      <c r="F587" s="31"/>
      <c r="G587" s="31"/>
    </row>
    <row r="588" spans="1:7">
      <c r="A588" s="31"/>
      <c r="B588" s="31"/>
      <c r="C588" s="31"/>
      <c r="D588" s="31"/>
      <c r="E588" s="31"/>
      <c r="F588" s="31"/>
      <c r="G588" s="31"/>
    </row>
    <row r="589" spans="1:7">
      <c r="A589" s="31"/>
      <c r="B589" s="31"/>
      <c r="C589" s="31"/>
      <c r="D589" s="31"/>
      <c r="E589" s="31"/>
      <c r="F589" s="31"/>
      <c r="G589" s="31"/>
    </row>
    <row r="590" spans="1:7">
      <c r="A590" s="31"/>
      <c r="B590" s="31"/>
      <c r="C590" s="31"/>
      <c r="D590" s="31"/>
      <c r="E590" s="31"/>
      <c r="F590" s="31"/>
      <c r="G590" s="31"/>
    </row>
    <row r="591" spans="1:7">
      <c r="A591" s="31"/>
      <c r="B591" s="31"/>
      <c r="C591" s="31"/>
      <c r="D591" s="31"/>
      <c r="E591" s="31"/>
      <c r="F591" s="31"/>
      <c r="G591" s="31"/>
    </row>
    <row r="592" spans="1:7">
      <c r="A592" s="31"/>
      <c r="B592" s="31"/>
      <c r="C592" s="31"/>
      <c r="D592" s="31"/>
      <c r="E592" s="31"/>
      <c r="F592" s="31"/>
      <c r="G592" s="31"/>
    </row>
    <row r="593" spans="1:7">
      <c r="A593" s="31"/>
      <c r="B593" s="31"/>
      <c r="C593" s="31"/>
      <c r="D593" s="31"/>
      <c r="E593" s="31"/>
      <c r="F593" s="31"/>
      <c r="G593" s="31"/>
    </row>
    <row r="594" spans="1:7">
      <c r="A594" s="31"/>
      <c r="B594" s="31"/>
      <c r="C594" s="31"/>
      <c r="D594" s="31"/>
      <c r="E594" s="31"/>
      <c r="F594" s="31"/>
      <c r="G594" s="31"/>
    </row>
    <row r="595" spans="1:7">
      <c r="A595" s="31"/>
      <c r="B595" s="31"/>
      <c r="C595" s="31"/>
      <c r="D595" s="31"/>
      <c r="E595" s="31"/>
      <c r="F595" s="31"/>
      <c r="G595" s="31"/>
    </row>
    <row r="596" spans="1:7">
      <c r="A596" s="31"/>
      <c r="B596" s="31"/>
      <c r="C596" s="31"/>
      <c r="D596" s="31"/>
      <c r="E596" s="31"/>
      <c r="F596" s="31"/>
      <c r="G596" s="31"/>
    </row>
    <row r="597" spans="1:7">
      <c r="A597" s="31"/>
      <c r="B597" s="31"/>
      <c r="C597" s="31"/>
      <c r="D597" s="31"/>
      <c r="E597" s="31"/>
      <c r="F597" s="31"/>
      <c r="G597" s="31"/>
    </row>
    <row r="598" spans="1:7">
      <c r="A598" s="31"/>
      <c r="B598" s="31"/>
      <c r="C598" s="31"/>
      <c r="D598" s="31"/>
      <c r="E598" s="31"/>
      <c r="F598" s="31"/>
      <c r="G598" s="31"/>
    </row>
    <row r="599" spans="1:7">
      <c r="A599" s="31"/>
      <c r="B599" s="31"/>
      <c r="C599" s="31"/>
      <c r="D599" s="31"/>
      <c r="E599" s="31"/>
      <c r="F599" s="31"/>
      <c r="G599" s="31"/>
    </row>
    <row r="600" spans="1:7">
      <c r="A600" s="31"/>
      <c r="B600" s="31"/>
      <c r="C600" s="31"/>
      <c r="D600" s="31"/>
      <c r="E600" s="31"/>
      <c r="F600" s="31"/>
      <c r="G600" s="31"/>
    </row>
    <row r="601" spans="1:7">
      <c r="A601" s="31"/>
      <c r="B601" s="31"/>
      <c r="C601" s="31"/>
      <c r="D601" s="31"/>
      <c r="E601" s="31"/>
      <c r="F601" s="31"/>
      <c r="G601" s="31"/>
    </row>
    <row r="602" spans="1:7">
      <c r="A602" s="31"/>
      <c r="B602" s="31"/>
      <c r="C602" s="31"/>
      <c r="D602" s="31"/>
      <c r="E602" s="31"/>
      <c r="F602" s="31"/>
      <c r="G602" s="31"/>
    </row>
    <row r="603" spans="1:7">
      <c r="A603" s="31"/>
      <c r="B603" s="31"/>
      <c r="C603" s="31"/>
      <c r="D603" s="31"/>
      <c r="E603" s="31"/>
      <c r="F603" s="31"/>
      <c r="G603" s="31"/>
    </row>
    <row r="604" spans="1:7">
      <c r="A604" s="31"/>
      <c r="B604" s="31"/>
      <c r="C604" s="31"/>
      <c r="D604" s="31"/>
      <c r="E604" s="31"/>
      <c r="F604" s="31"/>
      <c r="G604" s="31"/>
    </row>
    <row r="605" spans="1:7">
      <c r="A605" s="31"/>
      <c r="B605" s="31"/>
      <c r="C605" s="31"/>
      <c r="D605" s="31"/>
      <c r="E605" s="31"/>
      <c r="F605" s="31"/>
      <c r="G605" s="31"/>
    </row>
    <row r="606" spans="1:7">
      <c r="A606" s="31"/>
      <c r="B606" s="31"/>
      <c r="C606" s="31"/>
      <c r="D606" s="31"/>
      <c r="E606" s="31"/>
      <c r="F606" s="31"/>
      <c r="G606" s="31"/>
    </row>
    <row r="607" spans="1:7">
      <c r="A607" s="31"/>
      <c r="B607" s="31"/>
      <c r="C607" s="31"/>
      <c r="D607" s="31"/>
      <c r="E607" s="31"/>
      <c r="F607" s="31"/>
      <c r="G607" s="31"/>
    </row>
    <row r="608" spans="1:7">
      <c r="A608" s="31"/>
      <c r="B608" s="31"/>
      <c r="C608" s="31"/>
      <c r="D608" s="31"/>
      <c r="E608" s="31"/>
      <c r="F608" s="31"/>
      <c r="G608" s="31"/>
    </row>
    <row r="609" spans="1:7">
      <c r="A609" s="31"/>
      <c r="B609" s="31"/>
      <c r="C609" s="31"/>
      <c r="D609" s="31"/>
      <c r="E609" s="31"/>
      <c r="F609" s="31"/>
      <c r="G609" s="31"/>
    </row>
    <row r="610" spans="1:7">
      <c r="A610" s="31"/>
      <c r="B610" s="31"/>
      <c r="C610" s="31"/>
      <c r="D610" s="31"/>
      <c r="E610" s="31"/>
      <c r="F610" s="31"/>
      <c r="G610" s="31"/>
    </row>
    <row r="611" spans="1:7">
      <c r="A611" s="31"/>
      <c r="B611" s="31"/>
      <c r="C611" s="31"/>
      <c r="D611" s="31"/>
      <c r="E611" s="31"/>
      <c r="F611" s="31"/>
      <c r="G611" s="31"/>
    </row>
    <row r="612" spans="1:7">
      <c r="A612" s="31"/>
      <c r="B612" s="31"/>
      <c r="C612" s="31"/>
      <c r="D612" s="31"/>
      <c r="E612" s="31"/>
      <c r="F612" s="31"/>
      <c r="G612" s="31"/>
    </row>
    <row r="613" spans="1:7">
      <c r="A613" s="31"/>
      <c r="B613" s="31"/>
      <c r="C613" s="31"/>
      <c r="D613" s="31"/>
      <c r="E613" s="31"/>
      <c r="F613" s="31"/>
      <c r="G613" s="31"/>
    </row>
    <row r="614" spans="1:7">
      <c r="A614" s="31"/>
      <c r="B614" s="31"/>
      <c r="C614" s="31"/>
      <c r="D614" s="31"/>
      <c r="E614" s="31"/>
      <c r="F614" s="31"/>
      <c r="G614" s="31"/>
    </row>
    <row r="615" spans="1:7">
      <c r="A615" s="31"/>
      <c r="B615" s="31"/>
      <c r="C615" s="31"/>
      <c r="D615" s="31"/>
      <c r="E615" s="31"/>
      <c r="F615" s="31"/>
      <c r="G615" s="31"/>
    </row>
    <row r="616" spans="1:7">
      <c r="A616" s="31"/>
      <c r="B616" s="31"/>
      <c r="C616" s="31"/>
      <c r="D616" s="31"/>
      <c r="E616" s="31"/>
      <c r="F616" s="31"/>
      <c r="G616" s="31"/>
    </row>
    <row r="617" spans="1:7">
      <c r="A617" s="31"/>
      <c r="B617" s="31"/>
      <c r="C617" s="31"/>
      <c r="D617" s="31"/>
      <c r="E617" s="31"/>
      <c r="F617" s="31"/>
      <c r="G617" s="31"/>
    </row>
    <row r="618" spans="1:7">
      <c r="A618" s="31"/>
      <c r="B618" s="31"/>
      <c r="C618" s="31"/>
      <c r="D618" s="31"/>
      <c r="E618" s="31"/>
      <c r="F618" s="31"/>
      <c r="G618" s="31"/>
    </row>
    <row r="619" spans="1:7">
      <c r="A619" s="31"/>
      <c r="B619" s="31"/>
      <c r="C619" s="31"/>
      <c r="D619" s="31"/>
      <c r="E619" s="31"/>
      <c r="F619" s="31"/>
      <c r="G619" s="31"/>
    </row>
    <row r="620" spans="1:7">
      <c r="A620" s="31"/>
      <c r="B620" s="31"/>
      <c r="C620" s="31"/>
      <c r="D620" s="31"/>
      <c r="E620" s="31"/>
      <c r="F620" s="31"/>
      <c r="G620" s="31"/>
    </row>
    <row r="621" spans="1:7">
      <c r="A621" s="31"/>
      <c r="B621" s="31"/>
      <c r="C621" s="31"/>
      <c r="D621" s="31"/>
      <c r="E621" s="31"/>
      <c r="F621" s="31"/>
      <c r="G621" s="31"/>
    </row>
    <row r="622" spans="1:7">
      <c r="A622" s="31"/>
      <c r="B622" s="31"/>
      <c r="C622" s="31"/>
      <c r="D622" s="31"/>
      <c r="E622" s="31"/>
      <c r="F622" s="31"/>
      <c r="G622" s="31"/>
    </row>
    <row r="623" spans="1:7">
      <c r="A623" s="31"/>
      <c r="B623" s="31"/>
      <c r="C623" s="31"/>
      <c r="D623" s="31"/>
      <c r="E623" s="31"/>
      <c r="F623" s="31"/>
      <c r="G623" s="31"/>
    </row>
    <row r="624" spans="1:7">
      <c r="A624" s="31"/>
      <c r="B624" s="31"/>
      <c r="C624" s="31"/>
      <c r="D624" s="31"/>
      <c r="E624" s="31"/>
      <c r="F624" s="31"/>
      <c r="G624" s="31"/>
    </row>
    <row r="625" spans="1:7">
      <c r="A625" s="31"/>
      <c r="B625" s="31"/>
      <c r="C625" s="31"/>
      <c r="D625" s="31"/>
      <c r="E625" s="31"/>
      <c r="F625" s="31"/>
      <c r="G625" s="31"/>
    </row>
    <row r="626" spans="1:7">
      <c r="A626" s="31"/>
      <c r="B626" s="31"/>
      <c r="C626" s="31"/>
      <c r="D626" s="31"/>
      <c r="E626" s="31"/>
      <c r="F626" s="31"/>
      <c r="G626" s="31"/>
    </row>
    <row r="627" spans="1:7">
      <c r="A627" s="31"/>
      <c r="B627" s="31"/>
      <c r="C627" s="31"/>
      <c r="D627" s="31"/>
      <c r="E627" s="31"/>
      <c r="F627" s="31"/>
      <c r="G627" s="31"/>
    </row>
    <row r="628" spans="1:7">
      <c r="A628" s="31"/>
      <c r="B628" s="31"/>
      <c r="C628" s="31"/>
      <c r="D628" s="31"/>
      <c r="E628" s="31"/>
      <c r="F628" s="31"/>
      <c r="G628" s="31"/>
    </row>
    <row r="629" spans="1:7">
      <c r="A629" s="31"/>
      <c r="B629" s="31"/>
      <c r="C629" s="31"/>
      <c r="D629" s="31"/>
      <c r="E629" s="31"/>
      <c r="F629" s="31"/>
      <c r="G629" s="31"/>
    </row>
    <row r="630" spans="1:7">
      <c r="A630" s="31"/>
      <c r="B630" s="31"/>
      <c r="C630" s="31"/>
      <c r="D630" s="31"/>
      <c r="E630" s="31"/>
      <c r="F630" s="31"/>
      <c r="G630" s="31"/>
    </row>
    <row r="631" spans="1:7">
      <c r="A631" s="31"/>
      <c r="B631" s="31"/>
      <c r="C631" s="31"/>
      <c r="D631" s="31"/>
      <c r="E631" s="31"/>
      <c r="F631" s="31"/>
      <c r="G631" s="31"/>
    </row>
    <row r="632" spans="1:7">
      <c r="A632" s="31"/>
      <c r="B632" s="31"/>
      <c r="C632" s="31"/>
      <c r="D632" s="31"/>
      <c r="E632" s="31"/>
      <c r="F632" s="31"/>
      <c r="G632" s="31"/>
    </row>
    <row r="633" spans="1:7">
      <c r="A633" s="31"/>
      <c r="B633" s="31"/>
      <c r="C633" s="31"/>
      <c r="D633" s="31"/>
      <c r="E633" s="31"/>
      <c r="F633" s="31"/>
      <c r="G633" s="31"/>
    </row>
    <row r="634" spans="1:7">
      <c r="A634" s="31"/>
      <c r="B634" s="31"/>
      <c r="C634" s="31"/>
      <c r="D634" s="31"/>
      <c r="E634" s="31"/>
      <c r="F634" s="31"/>
      <c r="G634" s="31"/>
    </row>
    <row r="635" spans="1:7">
      <c r="A635" s="31"/>
      <c r="B635" s="31"/>
      <c r="C635" s="31"/>
      <c r="D635" s="31"/>
      <c r="E635" s="31"/>
      <c r="F635" s="31"/>
      <c r="G635" s="31"/>
    </row>
    <row r="636" spans="1:7">
      <c r="A636" s="31"/>
      <c r="B636" s="31"/>
      <c r="C636" s="31"/>
      <c r="D636" s="31"/>
      <c r="E636" s="31"/>
      <c r="F636" s="31"/>
      <c r="G636" s="31"/>
    </row>
    <row r="637" spans="1:7">
      <c r="A637" s="31"/>
      <c r="B637" s="31"/>
      <c r="C637" s="31"/>
      <c r="D637" s="31"/>
      <c r="E637" s="31"/>
      <c r="F637" s="31"/>
      <c r="G637" s="31"/>
    </row>
    <row r="638" spans="1:7">
      <c r="A638" s="31"/>
      <c r="B638" s="31"/>
      <c r="C638" s="31"/>
      <c r="D638" s="31"/>
      <c r="E638" s="31"/>
      <c r="F638" s="31"/>
      <c r="G638" s="31"/>
    </row>
    <row r="639" spans="1:7">
      <c r="A639" s="31"/>
      <c r="B639" s="31"/>
      <c r="C639" s="31"/>
      <c r="D639" s="31"/>
      <c r="E639" s="31"/>
      <c r="F639" s="31"/>
      <c r="G639" s="31"/>
    </row>
    <row r="640" spans="1:7">
      <c r="A640" s="31"/>
      <c r="B640" s="31"/>
      <c r="C640" s="31"/>
      <c r="D640" s="31"/>
      <c r="E640" s="31"/>
      <c r="F640" s="31"/>
      <c r="G640" s="31"/>
    </row>
    <row r="641" spans="1:7">
      <c r="A641" s="31"/>
      <c r="B641" s="31"/>
      <c r="C641" s="31"/>
      <c r="D641" s="31"/>
      <c r="E641" s="31"/>
      <c r="F641" s="31"/>
      <c r="G641" s="31"/>
    </row>
    <row r="642" spans="1:7">
      <c r="A642" s="31"/>
      <c r="B642" s="31"/>
      <c r="C642" s="31"/>
      <c r="D642" s="31"/>
      <c r="E642" s="31"/>
      <c r="F642" s="31"/>
      <c r="G642" s="31"/>
    </row>
    <row r="643" spans="1:7">
      <c r="A643" s="31"/>
      <c r="B643" s="31"/>
      <c r="C643" s="31"/>
      <c r="D643" s="31"/>
      <c r="E643" s="31"/>
      <c r="F643" s="31"/>
      <c r="G643" s="31"/>
    </row>
    <row r="644" spans="1:7">
      <c r="A644" s="31"/>
      <c r="B644" s="31"/>
      <c r="C644" s="31"/>
      <c r="D644" s="31"/>
      <c r="E644" s="31"/>
      <c r="F644" s="31"/>
      <c r="G644" s="31"/>
    </row>
    <row r="645" spans="1:7">
      <c r="A645" s="31"/>
      <c r="B645" s="31"/>
      <c r="C645" s="31"/>
      <c r="D645" s="31"/>
      <c r="E645" s="31"/>
      <c r="F645" s="31"/>
      <c r="G645" s="31"/>
    </row>
    <row r="646" spans="1:7">
      <c r="A646" s="31"/>
      <c r="B646" s="31"/>
      <c r="C646" s="31"/>
      <c r="D646" s="31"/>
      <c r="E646" s="31"/>
      <c r="F646" s="31"/>
      <c r="G646" s="31"/>
    </row>
    <row r="647" spans="1:7">
      <c r="A647" s="31"/>
      <c r="B647" s="31"/>
      <c r="C647" s="31"/>
      <c r="D647" s="31"/>
      <c r="E647" s="31"/>
      <c r="F647" s="31"/>
      <c r="G647" s="31"/>
    </row>
    <row r="648" spans="1:7">
      <c r="A648" s="31"/>
      <c r="B648" s="31"/>
      <c r="C648" s="31"/>
      <c r="D648" s="31"/>
      <c r="E648" s="31"/>
      <c r="F648" s="31"/>
      <c r="G648" s="31"/>
    </row>
    <row r="649" spans="1:7">
      <c r="A649" s="31"/>
      <c r="B649" s="31"/>
      <c r="C649" s="31"/>
      <c r="D649" s="31"/>
      <c r="E649" s="31"/>
      <c r="F649" s="31"/>
      <c r="G649" s="31"/>
    </row>
    <row r="650" spans="1:7">
      <c r="A650" s="31"/>
      <c r="B650" s="31"/>
      <c r="C650" s="31"/>
      <c r="D650" s="31"/>
      <c r="E650" s="31"/>
      <c r="F650" s="31"/>
      <c r="G650" s="31"/>
    </row>
    <row r="651" spans="1:7">
      <c r="A651" s="31"/>
      <c r="B651" s="31"/>
      <c r="C651" s="31"/>
      <c r="D651" s="31"/>
      <c r="E651" s="31"/>
      <c r="F651" s="31"/>
      <c r="G651" s="31"/>
    </row>
    <row r="652" spans="1:7">
      <c r="A652" s="31"/>
      <c r="B652" s="31"/>
      <c r="C652" s="31"/>
      <c r="D652" s="31"/>
      <c r="E652" s="31"/>
      <c r="F652" s="31"/>
      <c r="G652" s="31"/>
    </row>
    <row r="653" spans="1:7">
      <c r="A653" s="31"/>
      <c r="B653" s="31"/>
      <c r="C653" s="31"/>
      <c r="D653" s="31"/>
      <c r="E653" s="31"/>
      <c r="F653" s="31"/>
      <c r="G653" s="31"/>
    </row>
    <row r="654" spans="1:7">
      <c r="A654" s="31"/>
      <c r="B654" s="31"/>
      <c r="C654" s="31"/>
      <c r="D654" s="31"/>
      <c r="E654" s="31"/>
      <c r="F654" s="31"/>
      <c r="G654" s="31"/>
    </row>
    <row r="655" spans="1:7">
      <c r="A655" s="31"/>
      <c r="B655" s="31"/>
      <c r="C655" s="31"/>
      <c r="D655" s="31"/>
      <c r="E655" s="31"/>
      <c r="F655" s="31"/>
      <c r="G655" s="31"/>
    </row>
    <row r="656" spans="1:7">
      <c r="A656" s="31"/>
      <c r="B656" s="31"/>
      <c r="C656" s="31"/>
      <c r="D656" s="31"/>
      <c r="E656" s="31"/>
      <c r="F656" s="31"/>
      <c r="G656" s="31"/>
    </row>
    <row r="657" spans="1:7">
      <c r="A657" s="31"/>
      <c r="B657" s="31"/>
      <c r="C657" s="31"/>
      <c r="D657" s="31"/>
      <c r="E657" s="31"/>
      <c r="F657" s="31"/>
      <c r="G657" s="31"/>
    </row>
    <row r="658" spans="1:7">
      <c r="A658" s="31"/>
      <c r="B658" s="31"/>
      <c r="C658" s="31"/>
      <c r="D658" s="31"/>
      <c r="E658" s="31"/>
      <c r="F658" s="31"/>
      <c r="G658" s="31"/>
    </row>
    <row r="659" spans="1:7">
      <c r="A659" s="31"/>
      <c r="B659" s="31"/>
      <c r="C659" s="31"/>
      <c r="D659" s="31"/>
      <c r="E659" s="31"/>
      <c r="F659" s="31"/>
      <c r="G659" s="31"/>
    </row>
    <row r="660" spans="1:7">
      <c r="A660" s="31"/>
      <c r="B660" s="31"/>
      <c r="C660" s="31"/>
      <c r="D660" s="31"/>
      <c r="E660" s="31"/>
      <c r="F660" s="31"/>
      <c r="G660" s="31"/>
    </row>
    <row r="661" spans="1:7">
      <c r="A661" s="31"/>
      <c r="B661" s="31"/>
      <c r="C661" s="31"/>
      <c r="D661" s="31"/>
      <c r="E661" s="31"/>
      <c r="F661" s="31"/>
      <c r="G661" s="31"/>
    </row>
    <row r="662" spans="1:7">
      <c r="A662" s="31"/>
      <c r="B662" s="31"/>
      <c r="C662" s="31"/>
      <c r="D662" s="31"/>
      <c r="E662" s="31"/>
      <c r="F662" s="31"/>
      <c r="G662" s="31"/>
    </row>
    <row r="663" spans="1:7">
      <c r="A663" s="31"/>
      <c r="B663" s="31"/>
      <c r="C663" s="31"/>
      <c r="D663" s="31"/>
      <c r="E663" s="31"/>
      <c r="F663" s="31"/>
      <c r="G663" s="31"/>
    </row>
    <row r="664" spans="1:7">
      <c r="A664" s="31"/>
      <c r="B664" s="31"/>
      <c r="C664" s="31"/>
      <c r="D664" s="31"/>
      <c r="E664" s="31"/>
      <c r="F664" s="31"/>
      <c r="G664" s="31"/>
    </row>
    <row r="665" spans="1:7">
      <c r="A665" s="31"/>
      <c r="B665" s="31"/>
      <c r="C665" s="31"/>
      <c r="D665" s="31"/>
      <c r="E665" s="31"/>
      <c r="F665" s="31"/>
      <c r="G665" s="31"/>
    </row>
    <row r="666" spans="1:7">
      <c r="A666" s="31"/>
      <c r="B666" s="31"/>
      <c r="C666" s="31"/>
      <c r="D666" s="31"/>
      <c r="E666" s="31"/>
      <c r="F666" s="31"/>
      <c r="G666" s="31"/>
    </row>
    <row r="667" spans="1:7">
      <c r="A667" s="31"/>
      <c r="B667" s="31"/>
      <c r="C667" s="31"/>
      <c r="D667" s="31"/>
      <c r="E667" s="31"/>
      <c r="F667" s="31"/>
      <c r="G667" s="31"/>
    </row>
    <row r="668" spans="1:7">
      <c r="A668" s="31"/>
      <c r="B668" s="31"/>
      <c r="C668" s="31"/>
      <c r="D668" s="31"/>
      <c r="E668" s="31"/>
      <c r="F668" s="31"/>
      <c r="G668" s="31"/>
    </row>
    <row r="669" spans="1:7">
      <c r="A669" s="31"/>
      <c r="B669" s="31"/>
      <c r="C669" s="31"/>
      <c r="D669" s="31"/>
      <c r="E669" s="31"/>
      <c r="F669" s="31"/>
      <c r="G669" s="31"/>
    </row>
    <row r="670" spans="1:7">
      <c r="A670" s="31"/>
      <c r="B670" s="31"/>
      <c r="C670" s="31"/>
      <c r="D670" s="31"/>
      <c r="E670" s="31"/>
      <c r="F670" s="31"/>
      <c r="G670" s="31"/>
    </row>
    <row r="671" spans="1:7">
      <c r="A671" s="31"/>
      <c r="B671" s="31"/>
      <c r="C671" s="31"/>
      <c r="D671" s="31"/>
      <c r="E671" s="31"/>
      <c r="F671" s="31"/>
      <c r="G671" s="31"/>
    </row>
    <row r="672" spans="1:7">
      <c r="A672" s="31"/>
      <c r="B672" s="31"/>
      <c r="C672" s="31"/>
      <c r="D672" s="31"/>
      <c r="E672" s="31"/>
      <c r="F672" s="31"/>
      <c r="G672" s="31"/>
    </row>
    <row r="673" spans="1:7">
      <c r="A673" s="31"/>
      <c r="B673" s="31"/>
      <c r="C673" s="31"/>
      <c r="D673" s="31"/>
      <c r="E673" s="31"/>
      <c r="F673" s="31"/>
      <c r="G673" s="31"/>
    </row>
    <row r="674" spans="1:7">
      <c r="A674" s="31"/>
      <c r="B674" s="31"/>
      <c r="C674" s="31"/>
      <c r="D674" s="31"/>
      <c r="E674" s="31"/>
      <c r="F674" s="31"/>
      <c r="G674" s="31"/>
    </row>
    <row r="675" spans="1:7">
      <c r="A675" s="31"/>
      <c r="B675" s="31"/>
      <c r="C675" s="31"/>
      <c r="D675" s="31"/>
      <c r="E675" s="31"/>
      <c r="F675" s="31"/>
      <c r="G675" s="31"/>
    </row>
    <row r="676" spans="1:7">
      <c r="A676" s="31"/>
      <c r="B676" s="31"/>
      <c r="C676" s="31"/>
      <c r="D676" s="31"/>
      <c r="E676" s="31"/>
      <c r="F676" s="31"/>
      <c r="G676" s="31"/>
    </row>
    <row r="677" spans="1:7">
      <c r="A677" s="31"/>
      <c r="B677" s="31"/>
      <c r="C677" s="31"/>
      <c r="D677" s="31"/>
      <c r="E677" s="31"/>
      <c r="F677" s="31"/>
      <c r="G677" s="31"/>
    </row>
    <row r="678" spans="1:7">
      <c r="A678" s="31"/>
      <c r="B678" s="31"/>
      <c r="C678" s="31"/>
      <c r="D678" s="31"/>
      <c r="E678" s="31"/>
      <c r="F678" s="31"/>
      <c r="G678" s="31"/>
    </row>
    <row r="679" spans="1:7">
      <c r="A679" s="31"/>
      <c r="B679" s="31"/>
      <c r="C679" s="31"/>
      <c r="D679" s="31"/>
      <c r="E679" s="31"/>
      <c r="F679" s="31"/>
      <c r="G679" s="31"/>
    </row>
    <row r="680" spans="1:7">
      <c r="A680" s="31"/>
      <c r="B680" s="31"/>
      <c r="C680" s="31"/>
      <c r="D680" s="31"/>
      <c r="E680" s="31"/>
      <c r="F680" s="31"/>
      <c r="G680" s="31"/>
    </row>
    <row r="681" spans="1:7">
      <c r="A681" s="31"/>
      <c r="B681" s="31"/>
      <c r="C681" s="31"/>
      <c r="D681" s="31"/>
      <c r="E681" s="31"/>
      <c r="F681" s="31"/>
      <c r="G681" s="31"/>
    </row>
    <row r="682" spans="1:7">
      <c r="A682" s="31"/>
      <c r="B682" s="31"/>
      <c r="C682" s="31"/>
      <c r="D682" s="31"/>
      <c r="E682" s="31"/>
      <c r="F682" s="31"/>
      <c r="G682" s="31"/>
    </row>
    <row r="683" spans="1:7">
      <c r="A683" s="31"/>
      <c r="B683" s="31"/>
      <c r="C683" s="31"/>
      <c r="D683" s="31"/>
      <c r="E683" s="31"/>
      <c r="F683" s="31"/>
      <c r="G683" s="31"/>
    </row>
    <row r="684" spans="1:7">
      <c r="A684" s="31"/>
      <c r="B684" s="31"/>
      <c r="C684" s="31"/>
      <c r="D684" s="31"/>
      <c r="E684" s="31"/>
      <c r="F684" s="31"/>
      <c r="G684" s="31"/>
    </row>
    <row r="685" spans="1:7">
      <c r="A685" s="31"/>
      <c r="B685" s="31"/>
      <c r="C685" s="31"/>
      <c r="D685" s="31"/>
      <c r="E685" s="31"/>
      <c r="F685" s="31"/>
      <c r="G685" s="31"/>
    </row>
    <row r="686" spans="1:7">
      <c r="A686" s="31"/>
      <c r="B686" s="31"/>
      <c r="C686" s="31"/>
      <c r="D686" s="31"/>
      <c r="E686" s="31"/>
      <c r="F686" s="31"/>
      <c r="G686" s="31"/>
    </row>
    <row r="687" spans="1:7">
      <c r="A687" s="31"/>
      <c r="B687" s="31"/>
      <c r="C687" s="31"/>
      <c r="D687" s="31"/>
      <c r="E687" s="31"/>
      <c r="F687" s="31"/>
      <c r="G687" s="31"/>
    </row>
    <row r="688" spans="1:7">
      <c r="A688" s="31"/>
      <c r="B688" s="31"/>
      <c r="C688" s="31"/>
      <c r="D688" s="31"/>
      <c r="E688" s="31"/>
      <c r="F688" s="31"/>
      <c r="G688" s="31"/>
    </row>
    <row r="689" spans="1:7">
      <c r="A689" s="31"/>
      <c r="B689" s="31"/>
      <c r="C689" s="31"/>
      <c r="D689" s="31"/>
      <c r="E689" s="31"/>
      <c r="F689" s="31"/>
      <c r="G689" s="31"/>
    </row>
    <row r="690" spans="1:7">
      <c r="A690" s="31"/>
      <c r="B690" s="31"/>
      <c r="C690" s="31"/>
      <c r="D690" s="31"/>
      <c r="E690" s="31"/>
      <c r="F690" s="31"/>
      <c r="G690" s="31"/>
    </row>
    <row r="691" spans="1:7">
      <c r="A691" s="31"/>
      <c r="B691" s="31"/>
      <c r="C691" s="31"/>
      <c r="D691" s="31"/>
      <c r="E691" s="31"/>
      <c r="F691" s="31"/>
      <c r="G691" s="31"/>
    </row>
    <row r="692" spans="1:7">
      <c r="A692" s="31"/>
      <c r="B692" s="31"/>
      <c r="C692" s="31"/>
      <c r="D692" s="31"/>
      <c r="E692" s="31"/>
      <c r="F692" s="31"/>
      <c r="G692" s="31"/>
    </row>
    <row r="693" spans="1:7">
      <c r="A693" s="31"/>
      <c r="B693" s="31"/>
      <c r="C693" s="31"/>
      <c r="D693" s="31"/>
      <c r="E693" s="31"/>
      <c r="F693" s="31"/>
      <c r="G693" s="31"/>
    </row>
    <row r="694" spans="1:7">
      <c r="A694" s="31"/>
      <c r="B694" s="31"/>
      <c r="C694" s="31"/>
      <c r="D694" s="31"/>
      <c r="E694" s="31"/>
      <c r="F694" s="31"/>
      <c r="G694" s="31"/>
    </row>
    <row r="695" spans="1:7">
      <c r="A695" s="31"/>
      <c r="B695" s="31"/>
      <c r="C695" s="31"/>
      <c r="D695" s="31"/>
      <c r="E695" s="31"/>
      <c r="F695" s="31"/>
      <c r="G695" s="31"/>
    </row>
    <row r="696" spans="1:7">
      <c r="A696" s="31"/>
      <c r="B696" s="31"/>
      <c r="C696" s="31"/>
      <c r="D696" s="31"/>
      <c r="E696" s="31"/>
      <c r="F696" s="31"/>
      <c r="G696" s="31"/>
    </row>
    <row r="697" spans="1:7">
      <c r="A697" s="31"/>
      <c r="B697" s="31"/>
      <c r="C697" s="31"/>
      <c r="D697" s="31"/>
      <c r="E697" s="31"/>
      <c r="F697" s="31"/>
      <c r="G697" s="31"/>
    </row>
    <row r="698" spans="1:7">
      <c r="A698" s="31"/>
      <c r="B698" s="31"/>
      <c r="C698" s="31"/>
      <c r="D698" s="31"/>
      <c r="E698" s="31"/>
      <c r="F698" s="31"/>
      <c r="G698" s="31"/>
    </row>
    <row r="699" spans="1:7">
      <c r="A699" s="31"/>
      <c r="B699" s="31"/>
      <c r="C699" s="31"/>
      <c r="D699" s="31"/>
      <c r="E699" s="31"/>
      <c r="F699" s="31"/>
      <c r="G699" s="31"/>
    </row>
    <row r="700" spans="1:7">
      <c r="A700" s="31"/>
      <c r="B700" s="31"/>
      <c r="C700" s="31"/>
      <c r="D700" s="31"/>
      <c r="E700" s="31"/>
      <c r="F700" s="31"/>
      <c r="G700" s="31"/>
    </row>
    <row r="701" spans="1:7">
      <c r="A701" s="31"/>
      <c r="B701" s="31"/>
      <c r="C701" s="31"/>
      <c r="D701" s="31"/>
      <c r="E701" s="31"/>
      <c r="F701" s="31"/>
      <c r="G701" s="31"/>
    </row>
    <row r="702" spans="1:7">
      <c r="A702" s="31"/>
      <c r="B702" s="31"/>
      <c r="C702" s="31"/>
      <c r="D702" s="31"/>
      <c r="E702" s="31"/>
      <c r="F702" s="31"/>
      <c r="G702" s="31"/>
    </row>
    <row r="703" spans="1:7">
      <c r="A703" s="31"/>
      <c r="B703" s="31"/>
      <c r="C703" s="31"/>
      <c r="D703" s="31"/>
      <c r="E703" s="31"/>
      <c r="F703" s="31"/>
      <c r="G703" s="31"/>
    </row>
    <row r="704" spans="1:7">
      <c r="A704" s="31"/>
      <c r="B704" s="31"/>
      <c r="C704" s="31"/>
      <c r="D704" s="31"/>
      <c r="E704" s="31"/>
      <c r="F704" s="31"/>
      <c r="G704" s="31"/>
    </row>
    <row r="705" spans="1:7">
      <c r="A705" s="31"/>
      <c r="B705" s="31"/>
      <c r="C705" s="31"/>
      <c r="D705" s="31"/>
      <c r="E705" s="31"/>
      <c r="F705" s="31"/>
      <c r="G705" s="31"/>
    </row>
    <row r="706" spans="1:7">
      <c r="A706" s="31"/>
      <c r="B706" s="31"/>
      <c r="C706" s="31"/>
      <c r="D706" s="31"/>
      <c r="E706" s="31"/>
      <c r="F706" s="31"/>
      <c r="G706" s="31"/>
    </row>
    <row r="707" spans="1:7">
      <c r="A707" s="31"/>
      <c r="B707" s="31"/>
      <c r="C707" s="31"/>
      <c r="D707" s="31"/>
      <c r="E707" s="31"/>
      <c r="F707" s="31"/>
      <c r="G707" s="31"/>
    </row>
    <row r="708" spans="1:7">
      <c r="A708" s="31"/>
      <c r="B708" s="31"/>
      <c r="C708" s="31"/>
      <c r="D708" s="31"/>
      <c r="E708" s="31"/>
      <c r="F708" s="31"/>
      <c r="G708" s="31"/>
    </row>
    <row r="709" spans="1:7">
      <c r="A709" s="31"/>
      <c r="B709" s="31"/>
      <c r="C709" s="31"/>
      <c r="D709" s="31"/>
      <c r="E709" s="31"/>
      <c r="F709" s="31"/>
      <c r="G709" s="31"/>
    </row>
    <row r="710" spans="1:7">
      <c r="A710" s="31"/>
      <c r="B710" s="31"/>
      <c r="C710" s="31"/>
      <c r="D710" s="31"/>
      <c r="E710" s="31"/>
      <c r="F710" s="31"/>
      <c r="G710" s="31"/>
    </row>
    <row r="711" spans="1:7">
      <c r="A711" s="31"/>
      <c r="B711" s="31"/>
      <c r="C711" s="31"/>
      <c r="D711" s="31"/>
      <c r="E711" s="31"/>
      <c r="F711" s="31"/>
      <c r="G711" s="31"/>
    </row>
    <row r="712" spans="1:7">
      <c r="A712" s="31"/>
      <c r="B712" s="31"/>
      <c r="C712" s="31"/>
      <c r="D712" s="31"/>
      <c r="E712" s="31"/>
      <c r="F712" s="31"/>
      <c r="G712" s="31"/>
    </row>
    <row r="713" spans="1:7">
      <c r="A713" s="31"/>
      <c r="B713" s="31"/>
      <c r="C713" s="31"/>
      <c r="D713" s="31"/>
      <c r="E713" s="31"/>
      <c r="F713" s="31"/>
      <c r="G713" s="31"/>
    </row>
    <row r="714" spans="1:7">
      <c r="A714" s="31"/>
      <c r="B714" s="31"/>
      <c r="C714" s="31"/>
      <c r="D714" s="31"/>
      <c r="E714" s="31"/>
      <c r="F714" s="31"/>
      <c r="G714" s="31"/>
    </row>
    <row r="715" spans="1:7">
      <c r="A715" s="31"/>
      <c r="B715" s="31"/>
      <c r="C715" s="31"/>
      <c r="D715" s="31"/>
      <c r="E715" s="31"/>
      <c r="F715" s="31"/>
      <c r="G715" s="31"/>
    </row>
    <row r="716" spans="1:7">
      <c r="A716" s="31"/>
      <c r="B716" s="31"/>
      <c r="C716" s="31"/>
      <c r="D716" s="31"/>
      <c r="E716" s="31"/>
      <c r="F716" s="31"/>
      <c r="G716" s="31"/>
    </row>
    <row r="717" spans="1:7">
      <c r="A717" s="31"/>
      <c r="B717" s="31"/>
      <c r="C717" s="31"/>
      <c r="D717" s="31"/>
      <c r="E717" s="31"/>
      <c r="F717" s="31"/>
      <c r="G717" s="31"/>
    </row>
    <row r="718" spans="1:7">
      <c r="A718" s="31"/>
      <c r="B718" s="31"/>
      <c r="C718" s="31"/>
      <c r="D718" s="31"/>
      <c r="E718" s="31"/>
      <c r="F718" s="31"/>
      <c r="G718" s="31"/>
    </row>
    <row r="719" spans="1:7">
      <c r="A719" s="31"/>
      <c r="B719" s="31"/>
      <c r="C719" s="31"/>
      <c r="D719" s="31"/>
      <c r="E719" s="31"/>
      <c r="F719" s="31"/>
      <c r="G719" s="31"/>
    </row>
    <row r="720" spans="1:7">
      <c r="A720" s="31"/>
      <c r="B720" s="31"/>
      <c r="C720" s="31"/>
      <c r="D720" s="31"/>
      <c r="E720" s="31"/>
      <c r="F720" s="31"/>
      <c r="G720" s="31"/>
    </row>
    <row r="721" spans="1:7">
      <c r="A721" s="31"/>
      <c r="B721" s="31"/>
      <c r="C721" s="31"/>
      <c r="D721" s="31"/>
      <c r="E721" s="31"/>
      <c r="F721" s="31"/>
      <c r="G721" s="31"/>
    </row>
    <row r="722" spans="1:7">
      <c r="A722" s="31"/>
      <c r="B722" s="31"/>
      <c r="C722" s="31"/>
      <c r="D722" s="31"/>
      <c r="E722" s="31"/>
      <c r="F722" s="31"/>
      <c r="G722" s="31"/>
    </row>
    <row r="723" spans="1:7">
      <c r="A723" s="31"/>
      <c r="B723" s="31"/>
      <c r="C723" s="31"/>
      <c r="D723" s="31"/>
      <c r="E723" s="31"/>
      <c r="F723" s="31"/>
      <c r="G723" s="31"/>
    </row>
    <row r="724" spans="1:7">
      <c r="A724" s="31"/>
      <c r="B724" s="31"/>
      <c r="C724" s="31"/>
      <c r="D724" s="31"/>
      <c r="E724" s="31"/>
      <c r="F724" s="31"/>
      <c r="G724" s="31"/>
    </row>
    <row r="725" spans="1:7">
      <c r="A725" s="31"/>
      <c r="B725" s="31"/>
      <c r="C725" s="31"/>
      <c r="D725" s="31"/>
      <c r="E725" s="31"/>
      <c r="F725" s="31"/>
      <c r="G725" s="31"/>
    </row>
    <row r="726" spans="1:7">
      <c r="A726" s="31"/>
      <c r="B726" s="31"/>
      <c r="C726" s="31"/>
      <c r="D726" s="31"/>
      <c r="E726" s="31"/>
      <c r="F726" s="31"/>
      <c r="G726" s="31"/>
    </row>
    <row r="727" spans="1:7">
      <c r="A727" s="31"/>
      <c r="B727" s="31"/>
      <c r="C727" s="31"/>
      <c r="D727" s="31"/>
      <c r="E727" s="31"/>
      <c r="F727" s="31"/>
      <c r="G727" s="31"/>
    </row>
    <row r="728" spans="1:7">
      <c r="A728" s="31"/>
      <c r="B728" s="31"/>
      <c r="C728" s="31"/>
      <c r="D728" s="31"/>
      <c r="E728" s="31"/>
      <c r="F728" s="31"/>
      <c r="G728" s="31"/>
    </row>
    <row r="729" spans="1:7">
      <c r="A729" s="31"/>
      <c r="B729" s="31"/>
      <c r="C729" s="31"/>
      <c r="D729" s="31"/>
      <c r="E729" s="31"/>
      <c r="F729" s="31"/>
      <c r="G729" s="31"/>
    </row>
    <row r="730" spans="1:7">
      <c r="A730" s="31"/>
      <c r="B730" s="31"/>
      <c r="C730" s="31"/>
      <c r="D730" s="31"/>
      <c r="E730" s="31"/>
      <c r="F730" s="31"/>
      <c r="G730" s="31"/>
    </row>
    <row r="731" spans="1:7">
      <c r="A731" s="31"/>
      <c r="B731" s="31"/>
      <c r="C731" s="31"/>
      <c r="D731" s="31"/>
      <c r="E731" s="31"/>
      <c r="F731" s="31"/>
      <c r="G731" s="31"/>
    </row>
    <row r="732" spans="1:7">
      <c r="A732" s="31"/>
      <c r="B732" s="31"/>
      <c r="C732" s="31"/>
      <c r="D732" s="31"/>
      <c r="E732" s="31"/>
      <c r="F732" s="31"/>
      <c r="G732" s="31"/>
    </row>
    <row r="733" spans="1:7">
      <c r="A733" s="31"/>
      <c r="B733" s="31"/>
      <c r="C733" s="31"/>
      <c r="D733" s="31"/>
      <c r="E733" s="31"/>
      <c r="F733" s="31"/>
      <c r="G733" s="31"/>
    </row>
    <row r="734" spans="1:7">
      <c r="A734" s="31"/>
      <c r="B734" s="31"/>
      <c r="C734" s="31"/>
      <c r="D734" s="31"/>
      <c r="E734" s="31"/>
      <c r="F734" s="31"/>
      <c r="G734" s="31"/>
    </row>
    <row r="735" spans="1:7">
      <c r="A735" s="31"/>
      <c r="B735" s="31"/>
      <c r="C735" s="31"/>
      <c r="D735" s="31"/>
      <c r="E735" s="31"/>
      <c r="F735" s="31"/>
      <c r="G735" s="31"/>
    </row>
    <row r="736" spans="1:7">
      <c r="A736" s="31"/>
      <c r="B736" s="31"/>
      <c r="C736" s="31"/>
      <c r="D736" s="31"/>
      <c r="E736" s="31"/>
      <c r="F736" s="31"/>
      <c r="G736" s="31"/>
    </row>
    <row r="737" spans="1:7">
      <c r="A737" s="31"/>
      <c r="B737" s="31"/>
      <c r="C737" s="31"/>
      <c r="D737" s="31"/>
      <c r="E737" s="31"/>
      <c r="F737" s="31"/>
      <c r="G737" s="31"/>
    </row>
    <row r="738" spans="1:7">
      <c r="A738" s="31"/>
      <c r="B738" s="31"/>
      <c r="C738" s="31"/>
      <c r="D738" s="31"/>
      <c r="E738" s="31"/>
      <c r="F738" s="31"/>
      <c r="G738" s="31"/>
    </row>
    <row r="739" spans="1:7">
      <c r="A739" s="31"/>
      <c r="B739" s="31"/>
      <c r="C739" s="31"/>
      <c r="D739" s="31"/>
      <c r="E739" s="31"/>
      <c r="F739" s="31"/>
      <c r="G739" s="31"/>
    </row>
    <row r="740" spans="1:7">
      <c r="A740" s="31"/>
      <c r="B740" s="31"/>
      <c r="C740" s="31"/>
      <c r="D740" s="31"/>
      <c r="E740" s="31"/>
      <c r="F740" s="31"/>
      <c r="G740" s="31"/>
    </row>
    <row r="741" spans="1:7">
      <c r="A741" s="31"/>
      <c r="B741" s="31"/>
      <c r="C741" s="31"/>
      <c r="D741" s="31"/>
      <c r="E741" s="31"/>
      <c r="F741" s="31"/>
      <c r="G741" s="31"/>
    </row>
    <row r="742" spans="1:7">
      <c r="A742" s="31"/>
      <c r="B742" s="31"/>
      <c r="C742" s="31"/>
      <c r="D742" s="31"/>
      <c r="E742" s="31"/>
      <c r="F742" s="31"/>
      <c r="G742" s="31"/>
    </row>
    <row r="743" spans="1:7">
      <c r="A743" s="31"/>
      <c r="B743" s="31"/>
      <c r="C743" s="31"/>
      <c r="D743" s="31"/>
      <c r="E743" s="31"/>
      <c r="F743" s="31"/>
      <c r="G743" s="31"/>
    </row>
    <row r="744" spans="1:7">
      <c r="A744" s="31"/>
      <c r="B744" s="31"/>
      <c r="C744" s="31"/>
      <c r="D744" s="31"/>
      <c r="E744" s="31"/>
      <c r="F744" s="31"/>
      <c r="G744" s="31"/>
    </row>
    <row r="745" spans="1:7">
      <c r="A745" s="31"/>
      <c r="B745" s="31"/>
      <c r="C745" s="31"/>
      <c r="D745" s="31"/>
      <c r="E745" s="31"/>
      <c r="F745" s="31"/>
      <c r="G745" s="31"/>
    </row>
    <row r="746" spans="1:7">
      <c r="A746" s="31"/>
      <c r="B746" s="31"/>
      <c r="C746" s="31"/>
      <c r="D746" s="31"/>
      <c r="E746" s="31"/>
      <c r="F746" s="31"/>
      <c r="G746" s="31"/>
    </row>
    <row r="747" spans="1:7">
      <c r="A747" s="31"/>
      <c r="B747" s="31"/>
      <c r="C747" s="31"/>
      <c r="D747" s="31"/>
      <c r="E747" s="31"/>
      <c r="F747" s="31"/>
      <c r="G747" s="31"/>
    </row>
    <row r="748" spans="1:7">
      <c r="A748" s="31"/>
      <c r="B748" s="31"/>
      <c r="C748" s="31"/>
      <c r="D748" s="31"/>
      <c r="E748" s="31"/>
      <c r="F748" s="31"/>
      <c r="G748" s="31"/>
    </row>
    <row r="749" spans="1:7">
      <c r="A749" s="31"/>
      <c r="B749" s="31"/>
      <c r="C749" s="31"/>
      <c r="D749" s="31"/>
      <c r="E749" s="31"/>
      <c r="F749" s="31"/>
      <c r="G749" s="31"/>
    </row>
    <row r="750" spans="1:7">
      <c r="A750" s="31"/>
      <c r="B750" s="31"/>
      <c r="C750" s="31"/>
      <c r="D750" s="31"/>
      <c r="E750" s="31"/>
      <c r="F750" s="31"/>
      <c r="G750" s="31"/>
    </row>
    <row r="751" spans="1:7">
      <c r="A751" s="31"/>
      <c r="B751" s="31"/>
      <c r="C751" s="31"/>
      <c r="D751" s="31"/>
      <c r="E751" s="31"/>
      <c r="F751" s="31"/>
      <c r="G751" s="31"/>
    </row>
    <row r="752" spans="1:7">
      <c r="A752" s="31"/>
      <c r="B752" s="31"/>
      <c r="C752" s="31"/>
      <c r="D752" s="31"/>
      <c r="E752" s="31"/>
      <c r="F752" s="31"/>
      <c r="G752" s="31"/>
    </row>
    <row r="753" spans="1:7">
      <c r="A753" s="31"/>
      <c r="B753" s="31"/>
      <c r="C753" s="31"/>
      <c r="D753" s="31"/>
      <c r="E753" s="31"/>
      <c r="F753" s="31"/>
      <c r="G753" s="31"/>
    </row>
    <row r="754" spans="1:7">
      <c r="A754" s="31"/>
      <c r="B754" s="31"/>
      <c r="C754" s="31"/>
      <c r="D754" s="31"/>
      <c r="E754" s="31"/>
      <c r="F754" s="31"/>
      <c r="G754" s="31"/>
    </row>
    <row r="755" spans="1:7">
      <c r="A755" s="31"/>
      <c r="B755" s="31"/>
      <c r="C755" s="31"/>
      <c r="D755" s="31"/>
      <c r="E755" s="31"/>
      <c r="F755" s="31"/>
      <c r="G755" s="31"/>
    </row>
    <row r="756" spans="1:7">
      <c r="A756" s="31"/>
      <c r="B756" s="31"/>
      <c r="C756" s="31"/>
      <c r="D756" s="31"/>
      <c r="E756" s="31"/>
      <c r="F756" s="31"/>
      <c r="G756" s="31"/>
    </row>
    <row r="757" spans="1:7">
      <c r="A757" s="31"/>
      <c r="B757" s="31"/>
      <c r="C757" s="31"/>
      <c r="D757" s="31"/>
      <c r="E757" s="31"/>
      <c r="F757" s="31"/>
      <c r="G757" s="31"/>
    </row>
    <row r="758" spans="1:7">
      <c r="A758" s="31"/>
      <c r="B758" s="31"/>
      <c r="C758" s="31"/>
      <c r="D758" s="31"/>
      <c r="E758" s="31"/>
      <c r="F758" s="31"/>
      <c r="G758" s="31"/>
    </row>
    <row r="759" spans="1:7">
      <c r="A759" s="31"/>
      <c r="B759" s="31"/>
      <c r="C759" s="31"/>
      <c r="D759" s="31"/>
      <c r="E759" s="31"/>
      <c r="F759" s="31"/>
      <c r="G759" s="31"/>
    </row>
    <row r="760" spans="1:7">
      <c r="A760" s="31"/>
      <c r="B760" s="31"/>
      <c r="C760" s="31"/>
      <c r="D760" s="31"/>
      <c r="E760" s="31"/>
      <c r="F760" s="31"/>
      <c r="G760" s="31"/>
    </row>
    <row r="761" spans="1:7">
      <c r="A761" s="31"/>
      <c r="B761" s="31"/>
      <c r="C761" s="31"/>
      <c r="D761" s="31"/>
      <c r="E761" s="31"/>
      <c r="F761" s="31"/>
      <c r="G761" s="31"/>
    </row>
    <row r="762" spans="1:7">
      <c r="A762" s="31"/>
      <c r="B762" s="31"/>
      <c r="C762" s="31"/>
      <c r="D762" s="31"/>
      <c r="E762" s="31"/>
      <c r="F762" s="31"/>
      <c r="G762" s="31"/>
    </row>
    <row r="763" spans="1:7">
      <c r="A763" s="31"/>
      <c r="B763" s="31"/>
      <c r="C763" s="31"/>
      <c r="D763" s="31"/>
      <c r="E763" s="31"/>
      <c r="F763" s="31"/>
      <c r="G763" s="31"/>
    </row>
    <row r="764" spans="1:7">
      <c r="A764" s="31"/>
      <c r="B764" s="31"/>
      <c r="C764" s="31"/>
      <c r="D764" s="31"/>
      <c r="E764" s="31"/>
      <c r="F764" s="31"/>
      <c r="G764" s="31"/>
    </row>
    <row r="765" spans="1:7">
      <c r="A765" s="31"/>
      <c r="B765" s="31"/>
      <c r="C765" s="31"/>
      <c r="D765" s="31"/>
      <c r="E765" s="31"/>
      <c r="F765" s="31"/>
      <c r="G765" s="31"/>
    </row>
    <row r="766" spans="1:7">
      <c r="A766" s="31"/>
      <c r="B766" s="31"/>
      <c r="C766" s="31"/>
      <c r="D766" s="31"/>
      <c r="E766" s="31"/>
      <c r="F766" s="31"/>
      <c r="G766" s="31"/>
    </row>
    <row r="767" spans="1:7">
      <c r="A767" s="31"/>
      <c r="B767" s="31"/>
      <c r="C767" s="31"/>
      <c r="D767" s="31"/>
      <c r="E767" s="31"/>
      <c r="F767" s="31"/>
      <c r="G767" s="31"/>
    </row>
    <row r="768" spans="1:7">
      <c r="A768" s="31"/>
      <c r="B768" s="31"/>
      <c r="C768" s="31"/>
      <c r="D768" s="31"/>
      <c r="E768" s="31"/>
      <c r="F768" s="31"/>
      <c r="G768" s="31"/>
    </row>
    <row r="769" spans="1:7">
      <c r="A769" s="31"/>
      <c r="B769" s="31"/>
      <c r="C769" s="31"/>
      <c r="D769" s="31"/>
      <c r="E769" s="31"/>
      <c r="F769" s="31"/>
      <c r="G769" s="31"/>
    </row>
    <row r="770" spans="1:7">
      <c r="A770" s="31"/>
      <c r="B770" s="31"/>
      <c r="C770" s="31"/>
      <c r="D770" s="31"/>
      <c r="E770" s="31"/>
      <c r="F770" s="31"/>
      <c r="G770" s="31"/>
    </row>
    <row r="771" spans="1:7">
      <c r="A771" s="31"/>
      <c r="B771" s="31"/>
      <c r="C771" s="31"/>
      <c r="D771" s="31"/>
      <c r="E771" s="31"/>
      <c r="F771" s="31"/>
      <c r="G771" s="31"/>
    </row>
    <row r="772" spans="1:7">
      <c r="A772" s="31"/>
      <c r="B772" s="31"/>
      <c r="C772" s="31"/>
      <c r="D772" s="31"/>
      <c r="E772" s="31"/>
      <c r="F772" s="31"/>
      <c r="G772" s="31"/>
    </row>
    <row r="773" spans="1:7">
      <c r="A773" s="31"/>
      <c r="B773" s="31"/>
      <c r="C773" s="31"/>
      <c r="D773" s="31"/>
      <c r="E773" s="31"/>
      <c r="F773" s="31"/>
      <c r="G773" s="31"/>
    </row>
    <row r="774" spans="1:7">
      <c r="A774" s="31"/>
      <c r="B774" s="31"/>
      <c r="C774" s="31"/>
      <c r="D774" s="31"/>
      <c r="E774" s="31"/>
      <c r="F774" s="31"/>
      <c r="G774" s="31"/>
    </row>
    <row r="775" spans="1:7">
      <c r="A775" s="31"/>
      <c r="B775" s="31"/>
      <c r="C775" s="31"/>
      <c r="D775" s="31"/>
      <c r="E775" s="31"/>
      <c r="F775" s="31"/>
      <c r="G775" s="31"/>
    </row>
    <row r="776" spans="1:7">
      <c r="A776" s="31"/>
      <c r="B776" s="31"/>
      <c r="C776" s="31"/>
      <c r="D776" s="31"/>
      <c r="E776" s="31"/>
      <c r="F776" s="31"/>
      <c r="G776" s="31"/>
    </row>
    <row r="777" spans="1:7">
      <c r="A777" s="31"/>
      <c r="B777" s="31"/>
      <c r="C777" s="31"/>
      <c r="D777" s="31"/>
      <c r="E777" s="31"/>
      <c r="F777" s="31"/>
      <c r="G777" s="31"/>
    </row>
    <row r="778" spans="1:7">
      <c r="A778" s="31"/>
      <c r="B778" s="31"/>
      <c r="C778" s="31"/>
      <c r="D778" s="31"/>
      <c r="E778" s="31"/>
      <c r="F778" s="31"/>
      <c r="G778" s="31"/>
    </row>
    <row r="779" spans="1:7">
      <c r="A779" s="31"/>
      <c r="B779" s="31"/>
      <c r="C779" s="31"/>
      <c r="D779" s="31"/>
      <c r="E779" s="31"/>
      <c r="F779" s="31"/>
      <c r="G779" s="31"/>
    </row>
    <row r="780" spans="1:7">
      <c r="A780" s="31"/>
      <c r="B780" s="31"/>
      <c r="C780" s="31"/>
      <c r="D780" s="31"/>
      <c r="E780" s="31"/>
      <c r="F780" s="31"/>
      <c r="G780" s="31"/>
    </row>
    <row r="781" spans="1:7">
      <c r="A781" s="31"/>
      <c r="B781" s="31"/>
      <c r="C781" s="31"/>
      <c r="D781" s="31"/>
      <c r="E781" s="31"/>
      <c r="F781" s="31"/>
      <c r="G781" s="31"/>
    </row>
    <row r="782" spans="1:7">
      <c r="A782" s="31"/>
      <c r="B782" s="31"/>
      <c r="C782" s="31"/>
      <c r="D782" s="31"/>
      <c r="E782" s="31"/>
      <c r="F782" s="31"/>
      <c r="G782" s="31"/>
    </row>
    <row r="783" spans="1:7">
      <c r="A783" s="31"/>
      <c r="B783" s="31"/>
      <c r="C783" s="31"/>
      <c r="D783" s="31"/>
      <c r="E783" s="31"/>
      <c r="F783" s="31"/>
      <c r="G783" s="31"/>
    </row>
    <row r="784" spans="1:7">
      <c r="A784" s="31"/>
      <c r="B784" s="31"/>
      <c r="C784" s="31"/>
      <c r="D784" s="31"/>
      <c r="E784" s="31"/>
      <c r="F784" s="31"/>
      <c r="G784" s="31"/>
    </row>
    <row r="785" spans="1:7">
      <c r="A785" s="31"/>
      <c r="B785" s="31"/>
      <c r="C785" s="31"/>
      <c r="D785" s="31"/>
      <c r="E785" s="31"/>
      <c r="F785" s="31"/>
      <c r="G785" s="31"/>
    </row>
    <row r="786" spans="1:7">
      <c r="A786" s="31"/>
      <c r="B786" s="31"/>
      <c r="C786" s="31"/>
      <c r="D786" s="31"/>
      <c r="E786" s="31"/>
      <c r="F786" s="31"/>
      <c r="G786" s="31"/>
    </row>
    <row r="787" spans="1:7">
      <c r="A787" s="31"/>
      <c r="B787" s="31"/>
      <c r="C787" s="31"/>
      <c r="D787" s="31"/>
      <c r="E787" s="31"/>
      <c r="F787" s="31"/>
      <c r="G787" s="31"/>
    </row>
    <row r="788" spans="1:7">
      <c r="A788" s="31"/>
      <c r="B788" s="31"/>
      <c r="C788" s="31"/>
      <c r="D788" s="31"/>
      <c r="E788" s="31"/>
      <c r="F788" s="31"/>
      <c r="G788" s="31"/>
    </row>
    <row r="789" spans="1:7">
      <c r="A789" s="31"/>
      <c r="B789" s="31"/>
      <c r="C789" s="31"/>
      <c r="D789" s="31"/>
      <c r="E789" s="31"/>
      <c r="F789" s="31"/>
      <c r="G789" s="31"/>
    </row>
    <row r="790" spans="1:7">
      <c r="A790" s="31"/>
      <c r="B790" s="31"/>
      <c r="C790" s="31"/>
      <c r="D790" s="31"/>
      <c r="E790" s="31"/>
      <c r="F790" s="31"/>
      <c r="G790" s="31"/>
    </row>
    <row r="791" spans="1:7">
      <c r="A791" s="31"/>
      <c r="B791" s="31"/>
      <c r="C791" s="31"/>
      <c r="D791" s="31"/>
      <c r="E791" s="31"/>
      <c r="F791" s="31"/>
      <c r="G791" s="31"/>
    </row>
    <row r="792" spans="1:7">
      <c r="A792" s="31"/>
      <c r="B792" s="31"/>
      <c r="C792" s="31"/>
      <c r="D792" s="31"/>
      <c r="E792" s="31"/>
      <c r="F792" s="31"/>
      <c r="G792" s="31"/>
    </row>
    <row r="793" spans="1:7">
      <c r="A793" s="31"/>
      <c r="B793" s="31"/>
      <c r="C793" s="31"/>
      <c r="D793" s="31"/>
      <c r="E793" s="31"/>
      <c r="F793" s="31"/>
      <c r="G793" s="31"/>
    </row>
    <row r="794" spans="1:7">
      <c r="A794" s="31"/>
      <c r="B794" s="31"/>
      <c r="C794" s="31"/>
      <c r="D794" s="31"/>
      <c r="E794" s="31"/>
      <c r="F794" s="31"/>
      <c r="G794" s="31"/>
    </row>
    <row r="795" spans="1:7">
      <c r="A795" s="31"/>
      <c r="B795" s="31"/>
      <c r="C795" s="31"/>
      <c r="D795" s="31"/>
      <c r="E795" s="31"/>
      <c r="F795" s="31"/>
      <c r="G795" s="31"/>
    </row>
    <row r="796" spans="1:7">
      <c r="A796" s="31"/>
      <c r="B796" s="31"/>
      <c r="C796" s="31"/>
      <c r="D796" s="31"/>
      <c r="E796" s="31"/>
      <c r="F796" s="31"/>
      <c r="G796" s="31"/>
    </row>
    <row r="797" spans="1:7">
      <c r="A797" s="31"/>
      <c r="B797" s="31"/>
      <c r="C797" s="31"/>
      <c r="D797" s="31"/>
      <c r="E797" s="31"/>
      <c r="F797" s="31"/>
      <c r="G797" s="31"/>
    </row>
    <row r="798" spans="1:7">
      <c r="A798" s="31"/>
      <c r="B798" s="31"/>
      <c r="C798" s="31"/>
      <c r="D798" s="31"/>
      <c r="E798" s="31"/>
      <c r="F798" s="31"/>
      <c r="G798" s="31"/>
    </row>
    <row r="799" spans="1:7">
      <c r="A799" s="31"/>
      <c r="B799" s="31"/>
      <c r="C799" s="31"/>
      <c r="D799" s="31"/>
      <c r="E799" s="31"/>
      <c r="F799" s="31"/>
      <c r="G799" s="31"/>
    </row>
    <row r="800" spans="1:7">
      <c r="A800" s="31"/>
      <c r="B800" s="31"/>
      <c r="C800" s="31"/>
      <c r="D800" s="31"/>
      <c r="E800" s="31"/>
      <c r="F800" s="31"/>
      <c r="G800" s="31"/>
    </row>
    <row r="801" spans="1:7">
      <c r="A801" s="31"/>
      <c r="B801" s="31"/>
      <c r="C801" s="31"/>
      <c r="D801" s="31"/>
      <c r="E801" s="31"/>
      <c r="F801" s="31"/>
      <c r="G801" s="31"/>
    </row>
    <row r="802" spans="1:7">
      <c r="A802" s="31"/>
      <c r="B802" s="31"/>
      <c r="C802" s="31"/>
      <c r="D802" s="31"/>
      <c r="E802" s="31"/>
      <c r="F802" s="31"/>
      <c r="G802" s="31"/>
    </row>
    <row r="803" spans="1:7">
      <c r="A803" s="31"/>
      <c r="B803" s="31"/>
      <c r="C803" s="31"/>
      <c r="D803" s="31"/>
      <c r="E803" s="31"/>
      <c r="F803" s="31"/>
      <c r="G803" s="31"/>
    </row>
    <row r="804" spans="1:7">
      <c r="A804" s="31"/>
      <c r="B804" s="31"/>
      <c r="C804" s="31"/>
      <c r="D804" s="31"/>
      <c r="E804" s="31"/>
      <c r="F804" s="31"/>
      <c r="G804" s="31"/>
    </row>
    <row r="805" spans="1:7">
      <c r="A805" s="31"/>
      <c r="B805" s="31"/>
      <c r="C805" s="31"/>
      <c r="D805" s="31"/>
      <c r="E805" s="31"/>
      <c r="F805" s="31"/>
      <c r="G805" s="31"/>
    </row>
    <row r="806" spans="1:7">
      <c r="A806" s="31"/>
      <c r="B806" s="31"/>
      <c r="C806" s="31"/>
      <c r="D806" s="31"/>
      <c r="E806" s="31"/>
      <c r="F806" s="31"/>
      <c r="G806" s="31"/>
    </row>
    <row r="807" spans="1:7">
      <c r="A807" s="31"/>
      <c r="B807" s="31"/>
      <c r="C807" s="31"/>
      <c r="D807" s="31"/>
      <c r="E807" s="31"/>
      <c r="F807" s="31"/>
      <c r="G807" s="31"/>
    </row>
    <row r="808" spans="1:7">
      <c r="A808" s="31"/>
      <c r="B808" s="31"/>
      <c r="C808" s="31"/>
      <c r="D808" s="31"/>
      <c r="E808" s="31"/>
      <c r="F808" s="31"/>
      <c r="G808" s="31"/>
    </row>
    <row r="809" spans="1:7">
      <c r="A809" s="31"/>
      <c r="B809" s="31"/>
      <c r="C809" s="31"/>
      <c r="D809" s="31"/>
      <c r="E809" s="31"/>
      <c r="F809" s="31"/>
      <c r="G809" s="31"/>
    </row>
    <row r="810" spans="1:7">
      <c r="A810" s="31"/>
      <c r="B810" s="31"/>
      <c r="C810" s="31"/>
      <c r="D810" s="31"/>
      <c r="E810" s="31"/>
      <c r="F810" s="31"/>
      <c r="G810" s="31"/>
    </row>
    <row r="811" spans="1:7">
      <c r="A811" s="31"/>
      <c r="B811" s="31"/>
      <c r="C811" s="31"/>
      <c r="D811" s="31"/>
      <c r="E811" s="31"/>
      <c r="F811" s="31"/>
      <c r="G811" s="31"/>
    </row>
    <row r="812" spans="1:7">
      <c r="A812" s="31"/>
      <c r="B812" s="31"/>
      <c r="C812" s="31"/>
      <c r="D812" s="31"/>
      <c r="E812" s="31"/>
      <c r="F812" s="31"/>
      <c r="G812" s="31"/>
    </row>
    <row r="813" spans="1:7">
      <c r="A813" s="31"/>
      <c r="B813" s="31"/>
      <c r="C813" s="31"/>
      <c r="D813" s="31"/>
      <c r="E813" s="31"/>
      <c r="F813" s="31"/>
      <c r="G813" s="31"/>
    </row>
    <row r="814" spans="1:7">
      <c r="A814" s="31"/>
      <c r="B814" s="31"/>
      <c r="C814" s="31"/>
      <c r="D814" s="31"/>
      <c r="E814" s="31"/>
      <c r="F814" s="31"/>
      <c r="G814" s="31"/>
    </row>
    <row r="815" spans="1:7">
      <c r="A815" s="31"/>
      <c r="B815" s="31"/>
      <c r="C815" s="31"/>
      <c r="D815" s="31"/>
      <c r="E815" s="31"/>
      <c r="F815" s="31"/>
      <c r="G815" s="31"/>
    </row>
    <row r="816" spans="1:7">
      <c r="A816" s="31"/>
      <c r="B816" s="31"/>
      <c r="C816" s="31"/>
      <c r="D816" s="31"/>
      <c r="E816" s="31"/>
      <c r="F816" s="31"/>
      <c r="G816" s="31"/>
    </row>
    <row r="817" spans="1:7">
      <c r="A817" s="31"/>
      <c r="B817" s="31"/>
      <c r="C817" s="31"/>
      <c r="D817" s="31"/>
      <c r="E817" s="31"/>
      <c r="F817" s="31"/>
      <c r="G817" s="31"/>
    </row>
    <row r="818" spans="1:7">
      <c r="A818" s="31"/>
      <c r="B818" s="31"/>
      <c r="C818" s="31"/>
      <c r="D818" s="31"/>
      <c r="E818" s="31"/>
      <c r="F818" s="31"/>
      <c r="G818" s="31"/>
    </row>
    <row r="819" spans="1:7">
      <c r="A819" s="31"/>
      <c r="B819" s="31"/>
      <c r="C819" s="31"/>
      <c r="D819" s="31"/>
      <c r="E819" s="31"/>
      <c r="F819" s="31"/>
      <c r="G819" s="31"/>
    </row>
    <row r="820" spans="1:7">
      <c r="A820" s="31"/>
      <c r="B820" s="31"/>
      <c r="C820" s="31"/>
      <c r="D820" s="31"/>
      <c r="E820" s="31"/>
      <c r="F820" s="31"/>
      <c r="G820" s="31"/>
    </row>
    <row r="821" spans="1:7">
      <c r="A821" s="31"/>
      <c r="B821" s="31"/>
      <c r="C821" s="31"/>
      <c r="D821" s="31"/>
      <c r="E821" s="31"/>
      <c r="F821" s="31"/>
      <c r="G821" s="31"/>
    </row>
    <row r="822" spans="1:7">
      <c r="A822" s="31"/>
      <c r="B822" s="31"/>
      <c r="C822" s="31"/>
      <c r="D822" s="31"/>
      <c r="E822" s="31"/>
      <c r="F822" s="31"/>
      <c r="G822" s="31"/>
    </row>
    <row r="823" spans="1:7">
      <c r="A823" s="31"/>
      <c r="B823" s="31"/>
      <c r="C823" s="31"/>
      <c r="D823" s="31"/>
      <c r="E823" s="31"/>
      <c r="F823" s="31"/>
      <c r="G823" s="31"/>
    </row>
    <row r="824" spans="1:7">
      <c r="A824" s="31"/>
      <c r="B824" s="31"/>
      <c r="C824" s="31"/>
      <c r="D824" s="31"/>
      <c r="E824" s="31"/>
      <c r="F824" s="31"/>
      <c r="G824" s="31"/>
    </row>
    <row r="825" spans="1:7">
      <c r="A825" s="31"/>
      <c r="B825" s="31"/>
      <c r="C825" s="31"/>
      <c r="D825" s="31"/>
      <c r="E825" s="31"/>
      <c r="F825" s="31"/>
      <c r="G825" s="31"/>
    </row>
    <row r="826" spans="1:7">
      <c r="A826" s="31"/>
      <c r="B826" s="31"/>
      <c r="C826" s="31"/>
      <c r="D826" s="31"/>
      <c r="E826" s="31"/>
      <c r="F826" s="31"/>
      <c r="G826" s="31"/>
    </row>
    <row r="827" spans="1:7">
      <c r="A827" s="31"/>
      <c r="B827" s="31"/>
      <c r="C827" s="31"/>
      <c r="D827" s="31"/>
      <c r="E827" s="31"/>
      <c r="F827" s="31"/>
      <c r="G827" s="31"/>
    </row>
    <row r="828" spans="1:7">
      <c r="A828" s="31"/>
      <c r="B828" s="31"/>
      <c r="C828" s="31"/>
      <c r="D828" s="31"/>
      <c r="E828" s="31"/>
      <c r="F828" s="31"/>
      <c r="G828" s="31"/>
    </row>
    <row r="829" spans="1:7">
      <c r="A829" s="31"/>
      <c r="B829" s="31"/>
      <c r="C829" s="31"/>
      <c r="D829" s="31"/>
      <c r="E829" s="31"/>
      <c r="F829" s="31"/>
      <c r="G829" s="31"/>
    </row>
    <row r="830" spans="1:7">
      <c r="A830" s="31"/>
      <c r="B830" s="31"/>
      <c r="C830" s="31"/>
      <c r="D830" s="31"/>
      <c r="E830" s="31"/>
      <c r="F830" s="31"/>
      <c r="G830" s="31"/>
    </row>
    <row r="831" spans="1:7">
      <c r="A831" s="31"/>
      <c r="B831" s="31"/>
      <c r="C831" s="31"/>
      <c r="D831" s="31"/>
      <c r="E831" s="31"/>
      <c r="F831" s="31"/>
      <c r="G831" s="31"/>
    </row>
    <row r="832" spans="1:7">
      <c r="A832" s="31"/>
      <c r="B832" s="31"/>
      <c r="C832" s="31"/>
      <c r="D832" s="31"/>
      <c r="E832" s="31"/>
      <c r="F832" s="31"/>
      <c r="G832" s="31"/>
    </row>
    <row r="833" spans="1:7">
      <c r="A833" s="31"/>
      <c r="B833" s="31"/>
      <c r="C833" s="31"/>
      <c r="D833" s="31"/>
      <c r="E833" s="31"/>
      <c r="F833" s="31"/>
      <c r="G833" s="31"/>
    </row>
    <row r="834" spans="1:7">
      <c r="A834" s="31"/>
      <c r="B834" s="31"/>
      <c r="C834" s="31"/>
      <c r="D834" s="31"/>
      <c r="E834" s="31"/>
      <c r="F834" s="31"/>
      <c r="G834" s="31"/>
    </row>
    <row r="835" spans="1:7">
      <c r="A835" s="31"/>
      <c r="B835" s="31"/>
      <c r="C835" s="31"/>
      <c r="D835" s="31"/>
      <c r="E835" s="31"/>
      <c r="F835" s="31"/>
      <c r="G835" s="31"/>
    </row>
    <row r="836" spans="1:7">
      <c r="A836" s="31"/>
      <c r="B836" s="31"/>
      <c r="C836" s="31"/>
      <c r="D836" s="31"/>
      <c r="E836" s="31"/>
      <c r="F836" s="31"/>
      <c r="G836" s="31"/>
    </row>
    <row r="837" spans="1:7">
      <c r="A837" s="31"/>
      <c r="B837" s="31"/>
      <c r="C837" s="31"/>
      <c r="D837" s="31"/>
      <c r="E837" s="31"/>
      <c r="F837" s="31"/>
      <c r="G837" s="31"/>
    </row>
    <row r="838" spans="1:7">
      <c r="A838" s="31"/>
      <c r="B838" s="31"/>
      <c r="C838" s="31"/>
      <c r="D838" s="31"/>
      <c r="E838" s="31"/>
      <c r="F838" s="31"/>
      <c r="G838" s="31"/>
    </row>
    <row r="839" spans="1:7">
      <c r="A839" s="31"/>
      <c r="B839" s="31"/>
      <c r="C839" s="31"/>
      <c r="D839" s="31"/>
      <c r="E839" s="31"/>
      <c r="F839" s="31"/>
      <c r="G839" s="31"/>
    </row>
    <row r="840" spans="1:7">
      <c r="A840" s="31"/>
      <c r="B840" s="31"/>
      <c r="C840" s="31"/>
      <c r="D840" s="31"/>
      <c r="E840" s="31"/>
      <c r="F840" s="31"/>
      <c r="G840" s="31"/>
    </row>
    <row r="841" spans="1:7">
      <c r="A841" s="31"/>
      <c r="B841" s="31"/>
      <c r="C841" s="31"/>
      <c r="D841" s="31"/>
      <c r="E841" s="31"/>
      <c r="F841" s="31"/>
      <c r="G841" s="31"/>
    </row>
    <row r="842" spans="1:7">
      <c r="A842" s="31"/>
      <c r="B842" s="31"/>
      <c r="C842" s="31"/>
      <c r="D842" s="31"/>
      <c r="E842" s="31"/>
      <c r="F842" s="31"/>
      <c r="G842" s="31"/>
    </row>
    <row r="843" spans="1:7">
      <c r="A843" s="31"/>
      <c r="B843" s="31"/>
      <c r="C843" s="31"/>
      <c r="D843" s="31"/>
      <c r="E843" s="31"/>
      <c r="F843" s="31"/>
      <c r="G843" s="31"/>
    </row>
    <row r="844" spans="1:7">
      <c r="A844" s="31"/>
      <c r="B844" s="31"/>
      <c r="C844" s="31"/>
      <c r="D844" s="31"/>
      <c r="E844" s="31"/>
      <c r="F844" s="31"/>
      <c r="G844" s="31"/>
    </row>
    <row r="845" spans="1:7">
      <c r="A845" s="31"/>
      <c r="B845" s="31"/>
      <c r="C845" s="31"/>
      <c r="D845" s="31"/>
      <c r="E845" s="31"/>
      <c r="F845" s="31"/>
      <c r="G845" s="31"/>
    </row>
    <row r="846" spans="1:7">
      <c r="A846" s="31"/>
      <c r="B846" s="31"/>
      <c r="C846" s="31"/>
      <c r="D846" s="31"/>
      <c r="E846" s="31"/>
      <c r="F846" s="31"/>
      <c r="G846" s="31"/>
    </row>
    <row r="847" spans="1:7">
      <c r="A847" s="31"/>
      <c r="B847" s="31"/>
      <c r="C847" s="31"/>
      <c r="D847" s="31"/>
      <c r="E847" s="31"/>
      <c r="F847" s="31"/>
      <c r="G847" s="31"/>
    </row>
    <row r="848" spans="1:7">
      <c r="A848" s="31"/>
      <c r="B848" s="31"/>
      <c r="C848" s="31"/>
      <c r="D848" s="31"/>
      <c r="E848" s="31"/>
      <c r="F848" s="31"/>
      <c r="G848" s="31"/>
    </row>
    <row r="849" spans="1:7">
      <c r="A849" s="31"/>
      <c r="B849" s="31"/>
      <c r="C849" s="31"/>
      <c r="D849" s="31"/>
      <c r="E849" s="31"/>
      <c r="F849" s="31"/>
      <c r="G849" s="31"/>
    </row>
    <row r="850" spans="1:7">
      <c r="A850" s="31"/>
      <c r="B850" s="31"/>
      <c r="C850" s="31"/>
      <c r="D850" s="31"/>
      <c r="E850" s="31"/>
      <c r="F850" s="31"/>
      <c r="G850" s="31"/>
    </row>
    <row r="851" spans="1:7">
      <c r="A851" s="31"/>
      <c r="B851" s="31"/>
      <c r="C851" s="31"/>
      <c r="D851" s="31"/>
      <c r="E851" s="31"/>
      <c r="F851" s="31"/>
      <c r="G851" s="31"/>
    </row>
    <row r="852" spans="1:7">
      <c r="A852" s="31"/>
      <c r="B852" s="31"/>
      <c r="C852" s="31"/>
      <c r="D852" s="31"/>
      <c r="E852" s="31"/>
      <c r="F852" s="31"/>
      <c r="G852" s="31"/>
    </row>
    <row r="853" spans="1:7">
      <c r="A853" s="31"/>
      <c r="B853" s="31"/>
      <c r="C853" s="31"/>
      <c r="D853" s="31"/>
      <c r="E853" s="31"/>
      <c r="F853" s="31"/>
      <c r="G853" s="31"/>
    </row>
    <row r="854" spans="1:7">
      <c r="A854" s="31"/>
      <c r="B854" s="31"/>
      <c r="C854" s="31"/>
      <c r="D854" s="31"/>
      <c r="E854" s="31"/>
      <c r="F854" s="31"/>
      <c r="G854" s="31"/>
    </row>
    <row r="855" spans="1:7">
      <c r="A855" s="31"/>
      <c r="B855" s="31"/>
      <c r="C855" s="31"/>
      <c r="D855" s="31"/>
      <c r="E855" s="31"/>
      <c r="F855" s="31"/>
      <c r="G855" s="31"/>
    </row>
    <row r="856" spans="1:7">
      <c r="A856" s="31"/>
      <c r="B856" s="31"/>
      <c r="C856" s="31"/>
      <c r="D856" s="31"/>
      <c r="E856" s="31"/>
      <c r="F856" s="31"/>
      <c r="G856" s="31"/>
    </row>
    <row r="857" spans="1:7">
      <c r="A857" s="31"/>
      <c r="B857" s="31"/>
      <c r="C857" s="31"/>
      <c r="D857" s="31"/>
      <c r="E857" s="31"/>
      <c r="F857" s="31"/>
      <c r="G857" s="31"/>
    </row>
    <row r="858" spans="1:7">
      <c r="A858" s="31"/>
      <c r="B858" s="31"/>
      <c r="C858" s="31"/>
      <c r="D858" s="31"/>
      <c r="E858" s="31"/>
      <c r="F858" s="31"/>
      <c r="G858" s="31"/>
    </row>
    <row r="859" spans="1:7">
      <c r="A859" s="31"/>
      <c r="B859" s="31"/>
      <c r="C859" s="31"/>
      <c r="D859" s="31"/>
      <c r="E859" s="31"/>
      <c r="F859" s="31"/>
      <c r="G859" s="31"/>
    </row>
    <row r="860" spans="1:7">
      <c r="A860" s="31"/>
      <c r="B860" s="31"/>
      <c r="C860" s="31"/>
      <c r="D860" s="31"/>
      <c r="E860" s="31"/>
      <c r="F860" s="31"/>
      <c r="G860" s="31"/>
    </row>
    <row r="861" spans="1:7">
      <c r="A861" s="31"/>
      <c r="B861" s="31"/>
      <c r="C861" s="31"/>
      <c r="D861" s="31"/>
      <c r="E861" s="31"/>
      <c r="F861" s="31"/>
      <c r="G861" s="31"/>
    </row>
    <row r="862" spans="1:7">
      <c r="A862" s="31"/>
      <c r="B862" s="31"/>
      <c r="C862" s="31"/>
      <c r="D862" s="31"/>
      <c r="E862" s="31"/>
      <c r="F862" s="31"/>
      <c r="G862" s="31"/>
    </row>
    <row r="863" spans="1:7">
      <c r="A863" s="31"/>
      <c r="B863" s="31"/>
      <c r="C863" s="31"/>
      <c r="D863" s="31"/>
      <c r="E863" s="31"/>
      <c r="F863" s="31"/>
      <c r="G863" s="31"/>
    </row>
    <row r="864" spans="1:7">
      <c r="A864" s="31"/>
      <c r="B864" s="31"/>
      <c r="C864" s="31"/>
      <c r="D864" s="31"/>
      <c r="E864" s="31"/>
      <c r="F864" s="31"/>
      <c r="G864" s="31"/>
    </row>
    <row r="865" spans="1:7">
      <c r="A865" s="31"/>
      <c r="B865" s="31"/>
      <c r="C865" s="31"/>
      <c r="D865" s="31"/>
      <c r="E865" s="31"/>
      <c r="F865" s="31"/>
      <c r="G865" s="31"/>
    </row>
    <row r="866" spans="1:7">
      <c r="A866" s="31"/>
      <c r="B866" s="31"/>
      <c r="C866" s="31"/>
      <c r="D866" s="31"/>
      <c r="E866" s="31"/>
      <c r="F866" s="31"/>
      <c r="G866" s="31"/>
    </row>
    <row r="867" spans="1:7">
      <c r="A867" s="31"/>
      <c r="B867" s="31"/>
      <c r="C867" s="31"/>
      <c r="D867" s="31"/>
      <c r="E867" s="31"/>
      <c r="F867" s="31"/>
      <c r="G867" s="31"/>
    </row>
    <row r="868" spans="1:7">
      <c r="A868" s="31"/>
      <c r="B868" s="31"/>
      <c r="C868" s="31"/>
      <c r="D868" s="31"/>
      <c r="E868" s="31"/>
      <c r="F868" s="31"/>
      <c r="G868" s="31"/>
    </row>
    <row r="869" spans="1:7">
      <c r="A869" s="31"/>
      <c r="B869" s="31"/>
      <c r="C869" s="31"/>
      <c r="D869" s="31"/>
      <c r="E869" s="31"/>
      <c r="F869" s="31"/>
      <c r="G869" s="31"/>
    </row>
    <row r="870" spans="1:7">
      <c r="A870" s="31"/>
      <c r="B870" s="31"/>
      <c r="C870" s="31"/>
      <c r="D870" s="31"/>
      <c r="E870" s="31"/>
      <c r="F870" s="31"/>
      <c r="G870" s="31"/>
    </row>
    <row r="871" spans="1:7">
      <c r="A871" s="31"/>
      <c r="B871" s="31"/>
      <c r="C871" s="31"/>
      <c r="D871" s="31"/>
      <c r="E871" s="31"/>
      <c r="F871" s="31"/>
      <c r="G871" s="31"/>
    </row>
    <row r="872" spans="1:7">
      <c r="A872" s="31"/>
      <c r="B872" s="31"/>
      <c r="C872" s="31"/>
      <c r="D872" s="31"/>
      <c r="E872" s="31"/>
      <c r="F872" s="31"/>
      <c r="G872" s="31"/>
    </row>
    <row r="873" spans="1:7">
      <c r="A873" s="31"/>
      <c r="B873" s="31"/>
      <c r="C873" s="31"/>
      <c r="D873" s="31"/>
      <c r="E873" s="31"/>
      <c r="F873" s="31"/>
      <c r="G873" s="31"/>
    </row>
    <row r="874" spans="1:7">
      <c r="A874" s="31"/>
      <c r="B874" s="31"/>
      <c r="C874" s="31"/>
      <c r="D874" s="31"/>
      <c r="E874" s="31"/>
      <c r="F874" s="31"/>
      <c r="G874" s="31"/>
    </row>
    <row r="875" spans="1:7">
      <c r="A875" s="31"/>
      <c r="B875" s="31"/>
      <c r="C875" s="31"/>
      <c r="D875" s="31"/>
      <c r="E875" s="31"/>
      <c r="F875" s="31"/>
      <c r="G875" s="31"/>
    </row>
    <row r="876" spans="1:7">
      <c r="A876" s="31"/>
      <c r="B876" s="31"/>
      <c r="C876" s="31"/>
      <c r="D876" s="31"/>
      <c r="E876" s="31"/>
      <c r="F876" s="31"/>
      <c r="G876" s="31"/>
    </row>
    <row r="877" spans="1:7">
      <c r="A877" s="31"/>
      <c r="B877" s="31"/>
      <c r="C877" s="31"/>
      <c r="D877" s="31"/>
      <c r="E877" s="31"/>
      <c r="F877" s="31"/>
      <c r="G877" s="31"/>
    </row>
    <row r="878" spans="1:7">
      <c r="A878" s="31"/>
      <c r="B878" s="31"/>
      <c r="C878" s="31"/>
      <c r="D878" s="31"/>
      <c r="E878" s="31"/>
      <c r="F878" s="31"/>
      <c r="G878" s="31"/>
    </row>
    <row r="879" spans="1:7">
      <c r="A879" s="31"/>
      <c r="B879" s="31"/>
      <c r="C879" s="31"/>
      <c r="D879" s="31"/>
      <c r="E879" s="31"/>
      <c r="F879" s="31"/>
      <c r="G879" s="31"/>
    </row>
    <row r="880" spans="1:7">
      <c r="A880" s="31"/>
      <c r="B880" s="31"/>
      <c r="C880" s="31"/>
      <c r="D880" s="31"/>
      <c r="E880" s="31"/>
      <c r="F880" s="31"/>
      <c r="G880" s="31"/>
    </row>
    <row r="881" spans="1:7">
      <c r="A881" s="31"/>
      <c r="B881" s="31"/>
      <c r="C881" s="31"/>
      <c r="D881" s="31"/>
      <c r="E881" s="31"/>
      <c r="F881" s="31"/>
      <c r="G881" s="31"/>
    </row>
    <row r="882" spans="1:7">
      <c r="A882" s="31"/>
      <c r="B882" s="31"/>
      <c r="C882" s="31"/>
      <c r="D882" s="31"/>
      <c r="E882" s="31"/>
      <c r="F882" s="31"/>
      <c r="G882" s="31"/>
    </row>
    <row r="883" spans="1:7">
      <c r="A883" s="31"/>
      <c r="B883" s="31"/>
      <c r="C883" s="31"/>
      <c r="D883" s="31"/>
      <c r="E883" s="31"/>
      <c r="F883" s="31"/>
      <c r="G883" s="31"/>
    </row>
    <row r="884" spans="1:7">
      <c r="A884" s="31"/>
      <c r="B884" s="31"/>
      <c r="C884" s="31"/>
      <c r="D884" s="31"/>
      <c r="E884" s="31"/>
      <c r="F884" s="31"/>
      <c r="G884" s="31"/>
    </row>
    <row r="885" spans="1:7">
      <c r="A885" s="31"/>
      <c r="B885" s="31"/>
      <c r="C885" s="31"/>
      <c r="D885" s="31"/>
      <c r="E885" s="31"/>
      <c r="F885" s="31"/>
      <c r="G885" s="31"/>
    </row>
    <row r="886" spans="1:7">
      <c r="A886" s="31"/>
      <c r="B886" s="31"/>
      <c r="C886" s="31"/>
      <c r="D886" s="31"/>
      <c r="E886" s="31"/>
      <c r="F886" s="31"/>
      <c r="G886" s="31"/>
    </row>
    <row r="887" spans="1:7">
      <c r="A887" s="31"/>
      <c r="B887" s="31"/>
      <c r="C887" s="31"/>
      <c r="D887" s="31"/>
      <c r="E887" s="31"/>
      <c r="F887" s="31"/>
      <c r="G887" s="31"/>
    </row>
    <row r="888" spans="1:7">
      <c r="A888" s="31"/>
      <c r="B888" s="31"/>
      <c r="C888" s="31"/>
      <c r="D888" s="31"/>
      <c r="E888" s="31"/>
      <c r="F888" s="31"/>
      <c r="G888" s="31"/>
    </row>
    <row r="889" spans="1:7">
      <c r="A889" s="31"/>
      <c r="B889" s="31"/>
      <c r="C889" s="31"/>
      <c r="D889" s="31"/>
      <c r="E889" s="31"/>
      <c r="F889" s="31"/>
      <c r="G889" s="31"/>
    </row>
    <row r="890" spans="1:7">
      <c r="A890" s="31"/>
      <c r="B890" s="31"/>
      <c r="C890" s="31"/>
      <c r="D890" s="31"/>
      <c r="E890" s="31"/>
      <c r="F890" s="31"/>
      <c r="G890" s="31"/>
    </row>
    <row r="891" spans="1:7">
      <c r="A891" s="31"/>
      <c r="B891" s="31"/>
      <c r="C891" s="31"/>
      <c r="D891" s="31"/>
      <c r="E891" s="31"/>
      <c r="F891" s="31"/>
      <c r="G891" s="31"/>
    </row>
    <row r="892" spans="1:7">
      <c r="A892" s="31"/>
      <c r="B892" s="31"/>
      <c r="C892" s="31"/>
      <c r="D892" s="31"/>
      <c r="E892" s="31"/>
      <c r="F892" s="31"/>
      <c r="G892" s="31"/>
    </row>
    <row r="893" spans="1:7">
      <c r="A893" s="31"/>
      <c r="B893" s="31"/>
      <c r="C893" s="31"/>
      <c r="D893" s="31"/>
      <c r="E893" s="31"/>
      <c r="F893" s="31"/>
      <c r="G893" s="31"/>
    </row>
    <row r="894" spans="1:7">
      <c r="A894" s="31"/>
      <c r="B894" s="31"/>
      <c r="C894" s="31"/>
      <c r="D894" s="31"/>
      <c r="E894" s="31"/>
      <c r="F894" s="31"/>
      <c r="G894" s="31"/>
    </row>
    <row r="895" spans="1:7">
      <c r="A895" s="31"/>
      <c r="B895" s="31"/>
      <c r="C895" s="31"/>
      <c r="D895" s="31"/>
      <c r="E895" s="31"/>
      <c r="F895" s="31"/>
      <c r="G895" s="31"/>
    </row>
    <row r="896" spans="1:7">
      <c r="A896" s="31"/>
      <c r="B896" s="31"/>
      <c r="C896" s="31"/>
      <c r="D896" s="31"/>
      <c r="E896" s="31"/>
      <c r="F896" s="31"/>
      <c r="G896" s="31"/>
    </row>
    <row r="897" spans="1:7">
      <c r="A897" s="31"/>
      <c r="B897" s="31"/>
      <c r="C897" s="31"/>
      <c r="D897" s="31"/>
      <c r="E897" s="31"/>
      <c r="F897" s="31"/>
      <c r="G897" s="31"/>
    </row>
    <row r="898" spans="1:7">
      <c r="A898" s="31"/>
      <c r="B898" s="31"/>
      <c r="C898" s="31"/>
      <c r="D898" s="31"/>
      <c r="E898" s="31"/>
      <c r="F898" s="31"/>
      <c r="G898" s="31"/>
    </row>
    <row r="899" spans="1:7">
      <c r="A899" s="31"/>
      <c r="B899" s="31"/>
      <c r="C899" s="31"/>
      <c r="D899" s="31"/>
      <c r="E899" s="31"/>
      <c r="F899" s="31"/>
      <c r="G899" s="31"/>
    </row>
    <row r="900" spans="1:7">
      <c r="A900" s="31"/>
      <c r="B900" s="31"/>
      <c r="C900" s="31"/>
      <c r="D900" s="31"/>
      <c r="E900" s="31"/>
      <c r="F900" s="31"/>
      <c r="G900" s="31"/>
    </row>
    <row r="901" spans="1:7">
      <c r="A901" s="31"/>
      <c r="B901" s="31"/>
      <c r="C901" s="31"/>
      <c r="D901" s="31"/>
      <c r="E901" s="31"/>
      <c r="F901" s="31"/>
      <c r="G901" s="31"/>
    </row>
    <row r="902" spans="1:7">
      <c r="A902" s="31"/>
      <c r="B902" s="31"/>
      <c r="C902" s="31"/>
      <c r="D902" s="31"/>
      <c r="E902" s="31"/>
      <c r="F902" s="31"/>
      <c r="G902" s="31"/>
    </row>
    <row r="903" spans="1:7">
      <c r="A903" s="31"/>
      <c r="B903" s="31"/>
      <c r="C903" s="31"/>
      <c r="D903" s="31"/>
      <c r="E903" s="31"/>
      <c r="F903" s="31"/>
      <c r="G903" s="31"/>
    </row>
    <row r="904" spans="1:7">
      <c r="A904" s="31"/>
      <c r="B904" s="31"/>
      <c r="C904" s="31"/>
      <c r="D904" s="31"/>
      <c r="E904" s="31"/>
      <c r="F904" s="31"/>
      <c r="G904" s="31"/>
    </row>
    <row r="905" spans="1:7">
      <c r="A905" s="31"/>
      <c r="B905" s="31"/>
      <c r="C905" s="31"/>
      <c r="D905" s="31"/>
      <c r="E905" s="31"/>
      <c r="F905" s="31"/>
      <c r="G905" s="31"/>
    </row>
    <row r="906" spans="1:7">
      <c r="A906" s="31"/>
      <c r="B906" s="31"/>
      <c r="C906" s="31"/>
      <c r="D906" s="31"/>
      <c r="E906" s="31"/>
      <c r="F906" s="31"/>
      <c r="G906" s="31"/>
    </row>
    <row r="907" spans="1:7">
      <c r="A907" s="31"/>
      <c r="B907" s="31"/>
      <c r="C907" s="31"/>
      <c r="D907" s="31"/>
      <c r="E907" s="31"/>
      <c r="F907" s="31"/>
      <c r="G907" s="31"/>
    </row>
    <row r="908" spans="1:7">
      <c r="A908" s="31"/>
      <c r="B908" s="31"/>
      <c r="C908" s="31"/>
      <c r="D908" s="31"/>
      <c r="E908" s="31"/>
      <c r="F908" s="31"/>
      <c r="G908" s="31"/>
    </row>
    <row r="909" spans="1:7">
      <c r="A909" s="31"/>
      <c r="B909" s="31"/>
      <c r="C909" s="31"/>
      <c r="D909" s="31"/>
      <c r="E909" s="31"/>
      <c r="F909" s="31"/>
      <c r="G909" s="31"/>
    </row>
    <row r="910" spans="1:7">
      <c r="A910" s="31"/>
      <c r="B910" s="31"/>
      <c r="C910" s="31"/>
      <c r="D910" s="31"/>
      <c r="E910" s="31"/>
      <c r="F910" s="31"/>
      <c r="G910" s="31"/>
    </row>
    <row r="911" spans="1:7">
      <c r="A911" s="31"/>
      <c r="B911" s="31"/>
      <c r="C911" s="31"/>
      <c r="D911" s="31"/>
      <c r="E911" s="31"/>
      <c r="F911" s="31"/>
      <c r="G911" s="31"/>
    </row>
    <row r="912" spans="1:7">
      <c r="A912" s="31"/>
      <c r="B912" s="31"/>
      <c r="C912" s="31"/>
      <c r="D912" s="31"/>
      <c r="E912" s="31"/>
      <c r="F912" s="31"/>
      <c r="G912" s="31"/>
    </row>
    <row r="913" spans="1:7">
      <c r="A913" s="31"/>
      <c r="B913" s="31"/>
      <c r="C913" s="31"/>
      <c r="D913" s="31"/>
      <c r="E913" s="31"/>
      <c r="F913" s="31"/>
      <c r="G913" s="31"/>
    </row>
    <row r="914" spans="1:7">
      <c r="A914" s="31"/>
      <c r="B914" s="31"/>
      <c r="C914" s="31"/>
      <c r="D914" s="31"/>
      <c r="E914" s="31"/>
      <c r="F914" s="31"/>
      <c r="G914" s="31"/>
    </row>
    <row r="915" spans="1:7">
      <c r="A915" s="31"/>
      <c r="B915" s="31"/>
      <c r="C915" s="31"/>
      <c r="D915" s="31"/>
      <c r="E915" s="31"/>
      <c r="F915" s="31"/>
      <c r="G915" s="31"/>
    </row>
    <row r="916" spans="1:7">
      <c r="A916" s="31"/>
      <c r="B916" s="31"/>
      <c r="C916" s="31"/>
      <c r="D916" s="31"/>
      <c r="E916" s="31"/>
      <c r="F916" s="31"/>
      <c r="G916" s="31"/>
    </row>
    <row r="917" spans="1:7">
      <c r="A917" s="31"/>
      <c r="B917" s="31"/>
      <c r="C917" s="31"/>
      <c r="D917" s="31"/>
      <c r="E917" s="31"/>
      <c r="F917" s="31"/>
      <c r="G917" s="31"/>
    </row>
    <row r="918" spans="1:7">
      <c r="A918" s="31"/>
      <c r="B918" s="31"/>
      <c r="C918" s="31"/>
      <c r="D918" s="31"/>
      <c r="E918" s="31"/>
      <c r="F918" s="31"/>
      <c r="G918" s="31"/>
    </row>
    <row r="919" spans="1:7">
      <c r="A919" s="31"/>
      <c r="B919" s="31"/>
      <c r="C919" s="31"/>
      <c r="D919" s="31"/>
      <c r="E919" s="31"/>
      <c r="F919" s="31"/>
      <c r="G919" s="31"/>
    </row>
    <row r="920" spans="1:7">
      <c r="A920" s="31"/>
      <c r="B920" s="31"/>
      <c r="C920" s="31"/>
      <c r="D920" s="31"/>
      <c r="E920" s="31"/>
      <c r="F920" s="31"/>
      <c r="G920" s="31"/>
    </row>
    <row r="921" spans="1:7">
      <c r="A921" s="31"/>
      <c r="B921" s="31"/>
      <c r="C921" s="31"/>
      <c r="D921" s="31"/>
      <c r="E921" s="31"/>
      <c r="F921" s="31"/>
      <c r="G921" s="31"/>
    </row>
    <row r="922" spans="1:7">
      <c r="A922" s="31"/>
      <c r="B922" s="31"/>
      <c r="C922" s="31"/>
      <c r="D922" s="31"/>
      <c r="E922" s="31"/>
      <c r="F922" s="31"/>
      <c r="G922" s="31"/>
    </row>
    <row r="923" spans="1:7">
      <c r="A923" s="31"/>
      <c r="B923" s="31"/>
      <c r="C923" s="31"/>
      <c r="D923" s="31"/>
      <c r="E923" s="31"/>
      <c r="F923" s="31"/>
      <c r="G923" s="31"/>
    </row>
    <row r="924" spans="1:7">
      <c r="A924" s="31"/>
      <c r="B924" s="31"/>
      <c r="C924" s="31"/>
      <c r="D924" s="31"/>
      <c r="E924" s="31"/>
      <c r="F924" s="31"/>
      <c r="G924" s="31"/>
    </row>
    <row r="925" spans="1:7">
      <c r="A925" s="31"/>
      <c r="B925" s="31"/>
      <c r="C925" s="31"/>
      <c r="D925" s="31"/>
      <c r="E925" s="31"/>
      <c r="F925" s="31"/>
      <c r="G925" s="31"/>
    </row>
    <row r="926" spans="1:7">
      <c r="A926" s="31"/>
      <c r="B926" s="31"/>
      <c r="C926" s="31"/>
      <c r="D926" s="31"/>
      <c r="E926" s="31"/>
      <c r="F926" s="31"/>
      <c r="G926" s="31"/>
    </row>
    <row r="927" spans="1:7">
      <c r="A927" s="31"/>
      <c r="B927" s="31"/>
      <c r="C927" s="31"/>
      <c r="D927" s="31"/>
      <c r="E927" s="31"/>
      <c r="F927" s="31"/>
      <c r="G927" s="31"/>
    </row>
    <row r="928" spans="1:7">
      <c r="A928" s="31"/>
      <c r="B928" s="31"/>
      <c r="C928" s="31"/>
      <c r="D928" s="31"/>
      <c r="E928" s="31"/>
      <c r="F928" s="31"/>
      <c r="G928" s="31"/>
    </row>
    <row r="929" spans="1:7">
      <c r="A929" s="31"/>
      <c r="B929" s="31"/>
      <c r="C929" s="31"/>
      <c r="D929" s="31"/>
      <c r="E929" s="31"/>
      <c r="F929" s="31"/>
      <c r="G929" s="31"/>
    </row>
    <row r="930" spans="1:7">
      <c r="A930" s="31"/>
      <c r="B930" s="31"/>
      <c r="C930" s="31"/>
      <c r="D930" s="31"/>
      <c r="E930" s="31"/>
      <c r="F930" s="31"/>
      <c r="G930" s="31"/>
    </row>
    <row r="931" spans="1:7">
      <c r="A931" s="31"/>
      <c r="B931" s="31"/>
      <c r="C931" s="31"/>
      <c r="D931" s="31"/>
      <c r="E931" s="31"/>
      <c r="F931" s="31"/>
      <c r="G931" s="31"/>
    </row>
    <row r="932" spans="1:7">
      <c r="A932" s="31"/>
      <c r="B932" s="31"/>
      <c r="C932" s="31"/>
      <c r="D932" s="31"/>
      <c r="E932" s="31"/>
      <c r="F932" s="31"/>
      <c r="G932" s="31"/>
    </row>
    <row r="933" spans="1:7">
      <c r="A933" s="31"/>
      <c r="B933" s="31"/>
      <c r="C933" s="31"/>
      <c r="D933" s="31"/>
      <c r="E933" s="31"/>
      <c r="F933" s="31"/>
      <c r="G933" s="31"/>
    </row>
    <row r="934" spans="1:7">
      <c r="A934" s="31"/>
      <c r="B934" s="31"/>
      <c r="C934" s="31"/>
      <c r="D934" s="31"/>
      <c r="E934" s="31"/>
      <c r="F934" s="31"/>
      <c r="G934" s="31"/>
    </row>
    <row r="935" spans="1:7">
      <c r="A935" s="31"/>
      <c r="B935" s="31"/>
      <c r="C935" s="31"/>
      <c r="D935" s="31"/>
      <c r="E935" s="31"/>
      <c r="F935" s="31"/>
      <c r="G935" s="31"/>
    </row>
    <row r="936" spans="1:7">
      <c r="A936" s="31"/>
      <c r="B936" s="31"/>
      <c r="C936" s="31"/>
      <c r="D936" s="31"/>
      <c r="E936" s="31"/>
      <c r="F936" s="31"/>
      <c r="G936" s="31"/>
    </row>
    <row r="937" spans="1:7">
      <c r="A937" s="31"/>
      <c r="B937" s="31"/>
      <c r="C937" s="31"/>
      <c r="D937" s="31"/>
      <c r="E937" s="31"/>
      <c r="F937" s="31"/>
      <c r="G937" s="31"/>
    </row>
    <row r="938" spans="1:7">
      <c r="A938" s="31"/>
      <c r="B938" s="31"/>
      <c r="C938" s="31"/>
      <c r="D938" s="31"/>
      <c r="E938" s="31"/>
      <c r="F938" s="31"/>
      <c r="G938" s="31"/>
    </row>
    <row r="939" spans="1:7">
      <c r="A939" s="31"/>
      <c r="B939" s="31"/>
      <c r="C939" s="31"/>
      <c r="D939" s="31"/>
      <c r="E939" s="31"/>
      <c r="F939" s="31"/>
      <c r="G939" s="31"/>
    </row>
    <row r="940" spans="1:7">
      <c r="A940" s="31"/>
      <c r="B940" s="31"/>
      <c r="C940" s="31"/>
      <c r="D940" s="31"/>
      <c r="E940" s="31"/>
      <c r="F940" s="31"/>
      <c r="G940" s="31"/>
    </row>
    <row r="941" spans="1:7">
      <c r="A941" s="31"/>
      <c r="B941" s="31"/>
      <c r="C941" s="31"/>
      <c r="D941" s="31"/>
      <c r="E941" s="31"/>
      <c r="F941" s="31"/>
      <c r="G941" s="31"/>
    </row>
    <row r="942" spans="1:7">
      <c r="A942" s="31"/>
      <c r="B942" s="31"/>
      <c r="C942" s="31"/>
      <c r="D942" s="31"/>
      <c r="E942" s="31"/>
      <c r="F942" s="31"/>
      <c r="G942" s="31"/>
    </row>
    <row r="943" spans="1:7">
      <c r="A943" s="31"/>
      <c r="B943" s="31"/>
      <c r="C943" s="31"/>
      <c r="D943" s="31"/>
      <c r="E943" s="31"/>
      <c r="F943" s="31"/>
      <c r="G943" s="31"/>
    </row>
    <row r="944" spans="1:7">
      <c r="A944" s="31"/>
      <c r="B944" s="31"/>
      <c r="C944" s="31"/>
      <c r="D944" s="31"/>
      <c r="E944" s="31"/>
      <c r="F944" s="31"/>
      <c r="G944" s="31"/>
    </row>
    <row r="945" spans="1:7">
      <c r="A945" s="31"/>
      <c r="B945" s="31"/>
      <c r="C945" s="31"/>
      <c r="D945" s="31"/>
      <c r="E945" s="31"/>
      <c r="F945" s="31"/>
      <c r="G945" s="31"/>
    </row>
    <row r="946" spans="1:7">
      <c r="A946" s="31"/>
      <c r="B946" s="31"/>
      <c r="C946" s="31"/>
      <c r="D946" s="31"/>
      <c r="E946" s="31"/>
      <c r="F946" s="31"/>
      <c r="G946" s="31"/>
    </row>
    <row r="947" spans="1:7">
      <c r="A947" s="31"/>
      <c r="B947" s="31"/>
      <c r="C947" s="31"/>
      <c r="D947" s="31"/>
      <c r="E947" s="31"/>
      <c r="F947" s="31"/>
      <c r="G947" s="31"/>
    </row>
    <row r="948" spans="1:7">
      <c r="A948" s="31"/>
      <c r="B948" s="31"/>
      <c r="C948" s="31"/>
      <c r="D948" s="31"/>
      <c r="E948" s="31"/>
      <c r="F948" s="31"/>
      <c r="G948" s="31"/>
    </row>
    <row r="949" spans="1:7">
      <c r="A949" s="31"/>
      <c r="B949" s="31"/>
      <c r="C949" s="31"/>
      <c r="D949" s="31"/>
      <c r="E949" s="31"/>
      <c r="F949" s="31"/>
      <c r="G949" s="31"/>
    </row>
    <row r="950" spans="1:7">
      <c r="A950" s="31"/>
      <c r="B950" s="31"/>
      <c r="C950" s="31"/>
      <c r="D950" s="31"/>
      <c r="E950" s="31"/>
      <c r="F950" s="31"/>
      <c r="G950" s="31"/>
    </row>
    <row r="951" spans="1:7">
      <c r="A951" s="31"/>
      <c r="B951" s="31"/>
      <c r="C951" s="31"/>
      <c r="D951" s="31"/>
      <c r="E951" s="31"/>
      <c r="F951" s="31"/>
      <c r="G951" s="31"/>
    </row>
    <row r="952" spans="1:7">
      <c r="A952" s="31"/>
      <c r="B952" s="31"/>
      <c r="C952" s="31"/>
      <c r="D952" s="31"/>
      <c r="E952" s="31"/>
      <c r="F952" s="31"/>
      <c r="G952" s="31"/>
    </row>
    <row r="953" spans="1:7">
      <c r="A953" s="31"/>
      <c r="B953" s="31"/>
      <c r="C953" s="31"/>
      <c r="D953" s="31"/>
      <c r="E953" s="31"/>
      <c r="F953" s="31"/>
      <c r="G953" s="31"/>
    </row>
    <row r="954" spans="1:7">
      <c r="A954" s="31"/>
      <c r="B954" s="31"/>
      <c r="C954" s="31"/>
      <c r="D954" s="31"/>
      <c r="E954" s="31"/>
      <c r="F954" s="31"/>
      <c r="G954" s="31"/>
    </row>
    <row r="955" spans="1:7">
      <c r="A955" s="31"/>
      <c r="B955" s="31"/>
      <c r="C955" s="31"/>
      <c r="D955" s="31"/>
      <c r="E955" s="31"/>
      <c r="F955" s="31"/>
      <c r="G955" s="31"/>
    </row>
    <row r="956" spans="1:7">
      <c r="A956" s="31"/>
      <c r="B956" s="31"/>
      <c r="C956" s="31"/>
      <c r="D956" s="31"/>
      <c r="E956" s="31"/>
      <c r="F956" s="31"/>
      <c r="G956" s="31"/>
    </row>
    <row r="957" spans="1:7">
      <c r="A957" s="31"/>
      <c r="B957" s="31"/>
      <c r="C957" s="31"/>
      <c r="D957" s="31"/>
      <c r="E957" s="31"/>
      <c r="F957" s="31"/>
      <c r="G957" s="31"/>
    </row>
    <row r="958" spans="1:7">
      <c r="A958" s="31"/>
      <c r="B958" s="31"/>
      <c r="C958" s="31"/>
      <c r="D958" s="31"/>
      <c r="E958" s="31"/>
      <c r="F958" s="31"/>
      <c r="G958" s="31"/>
    </row>
    <row r="959" spans="1:7">
      <c r="A959" s="31"/>
      <c r="B959" s="31"/>
      <c r="C959" s="31"/>
      <c r="D959" s="31"/>
      <c r="E959" s="31"/>
      <c r="F959" s="31"/>
      <c r="G959" s="31"/>
    </row>
    <row r="960" spans="1:7">
      <c r="A960" s="31"/>
      <c r="B960" s="31"/>
      <c r="C960" s="31"/>
      <c r="D960" s="31"/>
      <c r="E960" s="31"/>
      <c r="F960" s="31"/>
      <c r="G960" s="31"/>
    </row>
    <row r="961" spans="1:7">
      <c r="A961" s="31"/>
      <c r="B961" s="31"/>
      <c r="C961" s="31"/>
      <c r="D961" s="31"/>
      <c r="E961" s="31"/>
      <c r="F961" s="31"/>
      <c r="G961" s="31"/>
    </row>
    <row r="962" spans="1:7">
      <c r="A962" s="31"/>
      <c r="B962" s="31"/>
      <c r="C962" s="31"/>
      <c r="D962" s="31"/>
      <c r="E962" s="31"/>
      <c r="F962" s="31"/>
      <c r="G962" s="31"/>
    </row>
    <row r="963" spans="1:7">
      <c r="A963" s="31"/>
      <c r="B963" s="31"/>
      <c r="C963" s="31"/>
      <c r="D963" s="31"/>
      <c r="E963" s="31"/>
      <c r="F963" s="31"/>
      <c r="G963" s="31"/>
    </row>
    <row r="964" spans="1:7">
      <c r="A964" s="31"/>
      <c r="B964" s="31"/>
      <c r="C964" s="31"/>
      <c r="D964" s="31"/>
      <c r="E964" s="31"/>
      <c r="F964" s="31"/>
      <c r="G964" s="31"/>
    </row>
    <row r="965" spans="1:7">
      <c r="A965" s="31"/>
      <c r="B965" s="31"/>
      <c r="C965" s="31"/>
      <c r="D965" s="31"/>
      <c r="E965" s="31"/>
      <c r="F965" s="31"/>
      <c r="G965" s="31"/>
    </row>
    <row r="966" spans="1:7">
      <c r="A966" s="31"/>
      <c r="B966" s="31"/>
      <c r="C966" s="31"/>
      <c r="D966" s="31"/>
      <c r="E966" s="31"/>
      <c r="F966" s="31"/>
      <c r="G966" s="31"/>
    </row>
    <row r="967" spans="1:7">
      <c r="A967" s="31"/>
      <c r="B967" s="31"/>
      <c r="C967" s="31"/>
      <c r="D967" s="31"/>
      <c r="E967" s="31"/>
      <c r="F967" s="31"/>
      <c r="G967" s="31"/>
    </row>
    <row r="968" spans="1:7">
      <c r="A968" s="31"/>
      <c r="B968" s="31"/>
      <c r="C968" s="31"/>
      <c r="D968" s="31"/>
      <c r="E968" s="31"/>
      <c r="F968" s="31"/>
      <c r="G968" s="31"/>
    </row>
    <row r="969" spans="1:7">
      <c r="A969" s="31"/>
      <c r="B969" s="31"/>
      <c r="C969" s="31"/>
      <c r="D969" s="31"/>
      <c r="E969" s="31"/>
      <c r="F969" s="31"/>
      <c r="G969" s="31"/>
    </row>
    <row r="970" spans="1:7">
      <c r="A970" s="31"/>
      <c r="B970" s="31"/>
      <c r="C970" s="31"/>
      <c r="D970" s="31"/>
      <c r="E970" s="31"/>
      <c r="F970" s="31"/>
      <c r="G970" s="31"/>
    </row>
    <row r="971" spans="1:7">
      <c r="A971" s="31"/>
      <c r="B971" s="31"/>
      <c r="C971" s="31"/>
      <c r="D971" s="31"/>
      <c r="E971" s="31"/>
      <c r="F971" s="31"/>
      <c r="G971" s="31"/>
    </row>
    <row r="972" spans="1:7">
      <c r="A972" s="31"/>
      <c r="B972" s="31"/>
      <c r="C972" s="31"/>
      <c r="D972" s="31"/>
      <c r="E972" s="31"/>
      <c r="F972" s="31"/>
      <c r="G972" s="31"/>
    </row>
    <row r="973" spans="1:7">
      <c r="A973" s="31"/>
      <c r="B973" s="31"/>
      <c r="C973" s="31"/>
      <c r="D973" s="31"/>
      <c r="E973" s="31"/>
      <c r="F973" s="31"/>
      <c r="G973" s="31"/>
    </row>
    <row r="974" spans="1:7">
      <c r="A974" s="31"/>
      <c r="B974" s="31"/>
      <c r="C974" s="31"/>
      <c r="D974" s="31"/>
      <c r="E974" s="31"/>
      <c r="F974" s="31"/>
      <c r="G974" s="31"/>
    </row>
    <row r="975" spans="1:7">
      <c r="A975" s="31"/>
      <c r="B975" s="31"/>
      <c r="C975" s="31"/>
      <c r="D975" s="31"/>
      <c r="E975" s="31"/>
      <c r="F975" s="31"/>
      <c r="G975" s="31"/>
    </row>
    <row r="976" spans="1:7">
      <c r="A976" s="31"/>
      <c r="B976" s="31"/>
      <c r="C976" s="31"/>
      <c r="D976" s="31"/>
      <c r="E976" s="31"/>
      <c r="F976" s="31"/>
      <c r="G976" s="31"/>
    </row>
    <row r="977" spans="1:7">
      <c r="A977" s="31"/>
      <c r="B977" s="31"/>
      <c r="C977" s="31"/>
      <c r="D977" s="31"/>
      <c r="E977" s="31"/>
      <c r="F977" s="31"/>
      <c r="G977" s="31"/>
    </row>
    <row r="978" spans="1:7">
      <c r="A978" s="31"/>
      <c r="B978" s="31"/>
      <c r="C978" s="31"/>
      <c r="D978" s="31"/>
      <c r="E978" s="31"/>
      <c r="F978" s="31"/>
      <c r="G978" s="31"/>
    </row>
    <row r="979" spans="1:7">
      <c r="A979" s="31"/>
      <c r="B979" s="31"/>
      <c r="C979" s="31"/>
      <c r="D979" s="31"/>
      <c r="E979" s="31"/>
      <c r="F979" s="31"/>
      <c r="G979" s="31"/>
    </row>
    <row r="980" spans="1:7">
      <c r="A980" s="31"/>
      <c r="B980" s="31"/>
      <c r="C980" s="31"/>
      <c r="D980" s="31"/>
      <c r="E980" s="31"/>
      <c r="F980" s="31"/>
      <c r="G980" s="31"/>
    </row>
    <row r="981" spans="1:7">
      <c r="A981" s="31"/>
      <c r="B981" s="31"/>
      <c r="C981" s="31"/>
      <c r="D981" s="31"/>
      <c r="E981" s="31"/>
      <c r="F981" s="31"/>
      <c r="G981" s="31"/>
    </row>
    <row r="982" spans="1:7">
      <c r="A982" s="31"/>
      <c r="B982" s="31"/>
      <c r="C982" s="31"/>
      <c r="D982" s="31"/>
      <c r="E982" s="31"/>
      <c r="F982" s="31"/>
      <c r="G982" s="31"/>
    </row>
    <row r="983" spans="1:7">
      <c r="A983" s="31"/>
      <c r="B983" s="31"/>
      <c r="C983" s="31"/>
      <c r="D983" s="31"/>
      <c r="E983" s="31"/>
      <c r="F983" s="31"/>
      <c r="G983" s="31"/>
    </row>
    <row r="984" spans="1:7">
      <c r="A984" s="31"/>
      <c r="B984" s="31"/>
      <c r="C984" s="31"/>
      <c r="D984" s="31"/>
      <c r="E984" s="31"/>
      <c r="F984" s="31"/>
      <c r="G984" s="31"/>
    </row>
    <row r="985" spans="1:7">
      <c r="A985" s="31"/>
      <c r="B985" s="31"/>
      <c r="C985" s="31"/>
      <c r="D985" s="31"/>
      <c r="E985" s="31"/>
      <c r="F985" s="31"/>
      <c r="G985" s="31"/>
    </row>
    <row r="986" spans="1:7">
      <c r="A986" s="31"/>
      <c r="B986" s="31"/>
      <c r="C986" s="31"/>
      <c r="D986" s="31"/>
      <c r="E986" s="31"/>
      <c r="F986" s="31"/>
      <c r="G986" s="31"/>
    </row>
    <row r="987" spans="1:7">
      <c r="A987" s="31"/>
      <c r="B987" s="31"/>
      <c r="C987" s="31"/>
      <c r="D987" s="31"/>
      <c r="E987" s="31"/>
      <c r="F987" s="31"/>
      <c r="G987" s="31"/>
    </row>
    <row r="988" spans="1:7">
      <c r="A988" s="31"/>
      <c r="B988" s="31"/>
      <c r="C988" s="31"/>
      <c r="D988" s="31"/>
      <c r="E988" s="31"/>
      <c r="F988" s="31"/>
      <c r="G988" s="31"/>
    </row>
    <row r="989" spans="1:7">
      <c r="A989" s="31"/>
      <c r="B989" s="31"/>
      <c r="C989" s="31"/>
      <c r="D989" s="31"/>
      <c r="E989" s="31"/>
      <c r="F989" s="31"/>
      <c r="G989" s="31"/>
    </row>
    <row r="990" spans="1:7">
      <c r="A990" s="31"/>
      <c r="B990" s="31"/>
      <c r="C990" s="31"/>
      <c r="D990" s="31"/>
      <c r="E990" s="31"/>
      <c r="F990" s="31"/>
      <c r="G990" s="31"/>
    </row>
    <row r="991" spans="1:7">
      <c r="A991" s="31"/>
      <c r="B991" s="31"/>
      <c r="C991" s="31"/>
      <c r="D991" s="31"/>
      <c r="E991" s="31"/>
      <c r="F991" s="31"/>
      <c r="G991" s="31"/>
    </row>
    <row r="992" spans="1:7">
      <c r="A992" s="31"/>
      <c r="B992" s="31"/>
      <c r="C992" s="31"/>
      <c r="D992" s="31"/>
      <c r="E992" s="31"/>
      <c r="F992" s="31"/>
      <c r="G992" s="31"/>
    </row>
    <row r="993" spans="1:7">
      <c r="A993" s="31"/>
      <c r="B993" s="31"/>
      <c r="C993" s="31"/>
      <c r="D993" s="31"/>
      <c r="E993" s="31"/>
      <c r="F993" s="31"/>
      <c r="G993" s="31"/>
    </row>
    <row r="994" spans="1:7">
      <c r="A994" s="31"/>
      <c r="B994" s="31"/>
      <c r="C994" s="31"/>
      <c r="D994" s="31"/>
      <c r="E994" s="31"/>
      <c r="F994" s="31"/>
      <c r="G994" s="31"/>
    </row>
    <row r="995" spans="1:7">
      <c r="A995" s="31"/>
      <c r="B995" s="31"/>
      <c r="C995" s="31"/>
      <c r="D995" s="31"/>
      <c r="E995" s="31"/>
      <c r="F995" s="31"/>
      <c r="G995" s="31"/>
    </row>
    <row r="996" spans="1:7">
      <c r="A996" s="31"/>
      <c r="B996" s="31"/>
      <c r="C996" s="31"/>
      <c r="D996" s="31"/>
      <c r="E996" s="31"/>
      <c r="F996" s="31"/>
      <c r="G996" s="31"/>
    </row>
    <row r="997" spans="1:7">
      <c r="A997" s="31"/>
      <c r="B997" s="31"/>
      <c r="C997" s="31"/>
      <c r="D997" s="31"/>
      <c r="E997" s="31"/>
      <c r="F997" s="31"/>
      <c r="G997" s="31"/>
    </row>
    <row r="998" spans="1:7">
      <c r="A998" s="31"/>
      <c r="B998" s="31"/>
      <c r="C998" s="31"/>
      <c r="D998" s="31"/>
      <c r="E998" s="31"/>
      <c r="F998" s="31"/>
      <c r="G998" s="31"/>
    </row>
    <row r="999" spans="1:7">
      <c r="A999" s="31"/>
      <c r="B999" s="31"/>
      <c r="C999" s="31"/>
      <c r="D999" s="31"/>
      <c r="E999" s="31"/>
      <c r="F999" s="31"/>
      <c r="G999" s="31"/>
    </row>
    <row r="1000" spans="1:7">
      <c r="A1000" s="31"/>
      <c r="B1000" s="31"/>
      <c r="C1000" s="31"/>
      <c r="D1000" s="31"/>
      <c r="E1000" s="31"/>
      <c r="F1000" s="31"/>
      <c r="G1000" s="31"/>
    </row>
    <row r="1001" spans="1:7">
      <c r="A1001" s="31"/>
      <c r="B1001" s="31"/>
      <c r="C1001" s="31"/>
      <c r="D1001" s="31"/>
      <c r="E1001" s="31"/>
      <c r="F1001" s="31"/>
      <c r="G1001" s="31"/>
    </row>
  </sheetData>
  <hyperlinks>
    <hyperlink ref="A3" r:id="rId1" location="gid=133251357 " xr:uid="{FB8CC857-FEFD-4829-8946-392A8C1F3E3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1281-59BD-498B-9734-09FD523D7211}">
  <dimension ref="A1:F1000"/>
  <sheetViews>
    <sheetView showGridLines="0" workbookViewId="0">
      <pane xSplit="2" ySplit="4" topLeftCell="C5" activePane="bottomRight" state="frozen"/>
      <selection pane="topRight" activeCell="C1" sqref="C1"/>
      <selection pane="bottomLeft" activeCell="A5" sqref="A5"/>
      <selection pane="bottomRight" activeCell="A2" sqref="A2"/>
    </sheetView>
  </sheetViews>
  <sheetFormatPr baseColWidth="10" defaultColWidth="14.42578125" defaultRowHeight="15" customHeight="1"/>
  <cols>
    <col min="1" max="1" width="18" customWidth="1"/>
    <col min="2" max="2" width="46.28515625" customWidth="1"/>
    <col min="3" max="6" width="22" customWidth="1"/>
    <col min="7" max="26" width="8.7109375" customWidth="1"/>
  </cols>
  <sheetData>
    <row r="1" spans="1:6" ht="29.25" customHeight="1">
      <c r="A1" s="56" t="s">
        <v>131</v>
      </c>
    </row>
    <row r="2" spans="1:6" ht="22.5" customHeight="1">
      <c r="A2" s="57" t="s">
        <v>132</v>
      </c>
    </row>
    <row r="4" spans="1:6" ht="79.5" customHeight="1">
      <c r="A4" s="58" t="s">
        <v>3</v>
      </c>
      <c r="B4" s="58" t="s">
        <v>133</v>
      </c>
      <c r="C4" s="58" t="s">
        <v>134</v>
      </c>
      <c r="D4" s="58" t="s">
        <v>135</v>
      </c>
      <c r="E4" s="58" t="s">
        <v>136</v>
      </c>
      <c r="F4" s="58" t="s">
        <v>137</v>
      </c>
    </row>
    <row r="5" spans="1:6">
      <c r="A5" s="59" t="s">
        <v>109</v>
      </c>
      <c r="B5" s="60" t="s">
        <v>110</v>
      </c>
      <c r="C5" s="61">
        <v>0.10009999999999999</v>
      </c>
      <c r="D5" s="61">
        <v>0.67249999999999999</v>
      </c>
      <c r="E5" s="61">
        <v>0.2336</v>
      </c>
      <c r="F5" s="61">
        <v>0.17810000000000001</v>
      </c>
    </row>
    <row r="6" spans="1:6">
      <c r="A6" s="59" t="s">
        <v>109</v>
      </c>
      <c r="B6" s="60" t="s">
        <v>121</v>
      </c>
      <c r="C6" s="61">
        <v>0.1013</v>
      </c>
      <c r="D6" s="61">
        <v>0.50680000000000003</v>
      </c>
      <c r="E6" s="61">
        <v>0.23580000000000001</v>
      </c>
      <c r="F6" s="61">
        <v>0.14990000000000001</v>
      </c>
    </row>
    <row r="7" spans="1:6">
      <c r="A7" s="62" t="s">
        <v>122</v>
      </c>
      <c r="B7" s="60" t="s">
        <v>138</v>
      </c>
      <c r="C7" s="61">
        <v>0.161</v>
      </c>
      <c r="D7" s="61">
        <v>0.68920000000000003</v>
      </c>
      <c r="E7" s="61">
        <v>0.3044</v>
      </c>
      <c r="F7" s="61">
        <v>0.2389</v>
      </c>
    </row>
    <row r="8" spans="1:6">
      <c r="A8" s="63" t="s">
        <v>139</v>
      </c>
      <c r="B8" s="60" t="s">
        <v>140</v>
      </c>
      <c r="C8" s="61">
        <v>0.1467</v>
      </c>
      <c r="D8" s="61">
        <v>0.78200000000000003</v>
      </c>
      <c r="E8" s="61">
        <v>0.41860000000000003</v>
      </c>
      <c r="F8" s="61">
        <v>0.2878</v>
      </c>
    </row>
    <row r="9" spans="1:6">
      <c r="A9" s="63" t="s">
        <v>139</v>
      </c>
      <c r="B9" s="60" t="s">
        <v>141</v>
      </c>
      <c r="C9" s="61">
        <v>0.15279999999999999</v>
      </c>
      <c r="D9" s="61">
        <v>0.78200000000000003</v>
      </c>
      <c r="E9" s="61">
        <v>0.39150000000000001</v>
      </c>
      <c r="F9" s="61">
        <v>0.28170000000000001</v>
      </c>
    </row>
    <row r="10" spans="1:6">
      <c r="A10" s="63" t="s">
        <v>139</v>
      </c>
      <c r="B10" s="60" t="s">
        <v>142</v>
      </c>
      <c r="C10" s="61">
        <v>0.17910000000000001</v>
      </c>
      <c r="D10" s="61">
        <v>0.87180000000000002</v>
      </c>
      <c r="E10" s="61">
        <v>0.46129999999999999</v>
      </c>
      <c r="F10" s="61">
        <v>0.32540000000000002</v>
      </c>
    </row>
    <row r="11" spans="1:6">
      <c r="A11" s="63" t="s">
        <v>139</v>
      </c>
      <c r="B11" s="60" t="s">
        <v>143</v>
      </c>
      <c r="C11" s="61">
        <v>0.16750000000000001</v>
      </c>
      <c r="D11" s="61">
        <v>0.87180000000000002</v>
      </c>
      <c r="E11" s="61">
        <v>0.44469999999999998</v>
      </c>
      <c r="F11" s="61">
        <v>0.30649999999999999</v>
      </c>
    </row>
    <row r="12" spans="1:6">
      <c r="A12" s="63" t="s">
        <v>139</v>
      </c>
      <c r="B12" s="60" t="s">
        <v>144</v>
      </c>
      <c r="C12" s="37" t="s">
        <v>145</v>
      </c>
      <c r="D12" s="37" t="s">
        <v>145</v>
      </c>
      <c r="E12" s="37" t="s">
        <v>145</v>
      </c>
      <c r="F12" s="37" t="s">
        <v>145</v>
      </c>
    </row>
    <row r="13" spans="1:6">
      <c r="A13" s="63" t="s">
        <v>139</v>
      </c>
      <c r="B13" s="60" t="s">
        <v>146</v>
      </c>
      <c r="C13" s="37" t="s">
        <v>145</v>
      </c>
      <c r="D13" s="37" t="s">
        <v>145</v>
      </c>
      <c r="E13" s="37" t="s">
        <v>145</v>
      </c>
      <c r="F13" s="37" t="s">
        <v>145</v>
      </c>
    </row>
    <row r="14" spans="1:6">
      <c r="A14" s="63" t="s">
        <v>139</v>
      </c>
      <c r="B14" s="60" t="s">
        <v>147</v>
      </c>
      <c r="C14" s="37" t="s">
        <v>145</v>
      </c>
      <c r="D14" s="37" t="s">
        <v>145</v>
      </c>
      <c r="E14" s="37" t="s">
        <v>145</v>
      </c>
      <c r="F14" s="37" t="s">
        <v>145</v>
      </c>
    </row>
    <row r="15" spans="1:6">
      <c r="A15" s="63" t="s">
        <v>139</v>
      </c>
      <c r="B15" s="60" t="s">
        <v>148</v>
      </c>
      <c r="C15" s="37" t="s">
        <v>145</v>
      </c>
      <c r="D15" s="37" t="s">
        <v>145</v>
      </c>
      <c r="E15" s="37" t="s">
        <v>145</v>
      </c>
      <c r="F15" s="37" t="s">
        <v>145</v>
      </c>
    </row>
    <row r="16" spans="1:6">
      <c r="A16" s="63" t="s">
        <v>139</v>
      </c>
      <c r="B16" s="60" t="s">
        <v>149</v>
      </c>
      <c r="C16" s="37" t="s">
        <v>145</v>
      </c>
      <c r="D16" s="37" t="s">
        <v>145</v>
      </c>
      <c r="E16" s="37" t="s">
        <v>145</v>
      </c>
      <c r="F16" s="37" t="s">
        <v>145</v>
      </c>
    </row>
    <row r="17" spans="1:6">
      <c r="A17" s="63" t="s">
        <v>139</v>
      </c>
      <c r="B17" s="60" t="s">
        <v>150</v>
      </c>
      <c r="C17" s="37" t="s">
        <v>145</v>
      </c>
      <c r="D17" s="37" t="s">
        <v>145</v>
      </c>
      <c r="E17" s="37" t="s">
        <v>145</v>
      </c>
      <c r="F17" s="37" t="s">
        <v>145</v>
      </c>
    </row>
    <row r="18" spans="1:6">
      <c r="A18" s="63" t="s">
        <v>139</v>
      </c>
      <c r="B18" s="60" t="s">
        <v>151</v>
      </c>
      <c r="C18" s="37" t="s">
        <v>145</v>
      </c>
      <c r="D18" s="37" t="s">
        <v>145</v>
      </c>
      <c r="E18" s="37" t="s">
        <v>145</v>
      </c>
      <c r="F18" s="37" t="s">
        <v>145</v>
      </c>
    </row>
    <row r="19" spans="1:6">
      <c r="A19" s="63" t="s">
        <v>139</v>
      </c>
      <c r="B19" s="60" t="s">
        <v>152</v>
      </c>
      <c r="C19" s="37" t="s">
        <v>145</v>
      </c>
      <c r="D19" s="37" t="s">
        <v>145</v>
      </c>
      <c r="E19" s="37" t="s">
        <v>145</v>
      </c>
      <c r="F19" s="37" t="s">
        <v>145</v>
      </c>
    </row>
    <row r="20" spans="1:6">
      <c r="A20" s="63" t="s">
        <v>139</v>
      </c>
      <c r="B20" s="60" t="s">
        <v>153</v>
      </c>
      <c r="C20" s="37" t="s">
        <v>145</v>
      </c>
      <c r="D20" s="37" t="s">
        <v>145</v>
      </c>
      <c r="E20" s="37" t="s">
        <v>145</v>
      </c>
      <c r="F20" s="37" t="s">
        <v>145</v>
      </c>
    </row>
    <row r="21" spans="1:6" ht="15.75" customHeight="1">
      <c r="A21" s="63" t="s">
        <v>139</v>
      </c>
      <c r="B21" s="60" t="s">
        <v>154</v>
      </c>
      <c r="C21" s="37" t="s">
        <v>145</v>
      </c>
      <c r="D21" s="37" t="s">
        <v>145</v>
      </c>
      <c r="E21" s="37" t="s">
        <v>145</v>
      </c>
      <c r="F21" s="37" t="s">
        <v>145</v>
      </c>
    </row>
    <row r="22" spans="1:6" ht="15.75" customHeight="1">
      <c r="A22" s="63" t="s">
        <v>139</v>
      </c>
      <c r="B22" s="60" t="s">
        <v>155</v>
      </c>
      <c r="C22" s="37" t="s">
        <v>145</v>
      </c>
      <c r="D22" s="37" t="s">
        <v>145</v>
      </c>
      <c r="E22" s="37" t="s">
        <v>145</v>
      </c>
      <c r="F22" s="37" t="s">
        <v>145</v>
      </c>
    </row>
    <row r="23" spans="1:6" ht="15.75" customHeight="1">
      <c r="A23" s="63" t="s">
        <v>139</v>
      </c>
      <c r="B23" s="60" t="s">
        <v>156</v>
      </c>
      <c r="C23" s="37" t="s">
        <v>145</v>
      </c>
      <c r="D23" s="37" t="s">
        <v>145</v>
      </c>
      <c r="E23" s="37" t="s">
        <v>145</v>
      </c>
      <c r="F23" s="37" t="s">
        <v>145</v>
      </c>
    </row>
    <row r="24" spans="1:6" ht="15.75" customHeight="1">
      <c r="A24" s="63" t="s">
        <v>139</v>
      </c>
      <c r="B24" s="60" t="s">
        <v>157</v>
      </c>
      <c r="C24" s="37" t="s">
        <v>145</v>
      </c>
      <c r="D24" s="37" t="s">
        <v>145</v>
      </c>
      <c r="E24" s="37" t="s">
        <v>145</v>
      </c>
      <c r="F24" s="37" t="s">
        <v>145</v>
      </c>
    </row>
    <row r="25" spans="1:6" ht="15.75" customHeight="1">
      <c r="A25" s="63" t="s">
        <v>139</v>
      </c>
      <c r="B25" s="60" t="s">
        <v>158</v>
      </c>
      <c r="C25" s="37" t="s">
        <v>145</v>
      </c>
      <c r="D25" s="37" t="s">
        <v>145</v>
      </c>
      <c r="E25" s="37" t="s">
        <v>145</v>
      </c>
      <c r="F25" s="37" t="s">
        <v>145</v>
      </c>
    </row>
    <row r="26" spans="1:6" ht="15.75" customHeight="1">
      <c r="A26" s="63" t="s">
        <v>139</v>
      </c>
      <c r="B26" s="60" t="s">
        <v>159</v>
      </c>
      <c r="C26" s="37" t="s">
        <v>145</v>
      </c>
      <c r="D26" s="37" t="s">
        <v>145</v>
      </c>
      <c r="E26" s="37" t="s">
        <v>145</v>
      </c>
      <c r="F26" s="37" t="s">
        <v>145</v>
      </c>
    </row>
    <row r="27" spans="1:6" ht="15.75" customHeight="1">
      <c r="A27" s="63" t="s">
        <v>139</v>
      </c>
      <c r="B27" s="60" t="s">
        <v>160</v>
      </c>
      <c r="C27" s="37" t="s">
        <v>145</v>
      </c>
      <c r="D27" s="37" t="s">
        <v>145</v>
      </c>
      <c r="E27" s="37" t="s">
        <v>145</v>
      </c>
      <c r="F27" s="37" t="s">
        <v>145</v>
      </c>
    </row>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051E-57AD-46ED-899F-8DBE7A16FC1F}">
  <dimension ref="A1:AK27"/>
  <sheetViews>
    <sheetView showGridLines="0" zoomScale="80" zoomScaleNormal="80" workbookViewId="0">
      <pane xSplit="1" ySplit="2" topLeftCell="B5" activePane="bottomRight" state="frozen"/>
      <selection pane="topRight" activeCell="B1" sqref="B1"/>
      <selection pane="bottomLeft" activeCell="A3" sqref="A3"/>
      <selection pane="bottomRight" activeCell="E21" sqref="E21"/>
    </sheetView>
  </sheetViews>
  <sheetFormatPr baseColWidth="10" defaultRowHeight="12.75"/>
  <cols>
    <col min="1" max="1" width="11.42578125" style="6"/>
    <col min="2" max="2" width="18.42578125" style="6" customWidth="1"/>
    <col min="3" max="4" width="22.85546875" style="6" customWidth="1"/>
    <col min="5" max="7" width="19.5703125" style="6" customWidth="1"/>
    <col min="8" max="12" width="11.42578125" style="6"/>
    <col min="13" max="21" width="16.28515625" style="6" customWidth="1"/>
    <col min="22" max="34" width="11.42578125" style="6"/>
    <col min="35" max="35" width="13" style="6" bestFit="1" customWidth="1"/>
    <col min="36" max="16384" width="11.42578125" style="6"/>
  </cols>
  <sheetData>
    <row r="1" spans="1:37">
      <c r="B1" s="6" t="s">
        <v>22</v>
      </c>
      <c r="C1" s="6" t="s">
        <v>22</v>
      </c>
      <c r="D1" s="6" t="s">
        <v>22</v>
      </c>
      <c r="E1" s="6" t="s">
        <v>23</v>
      </c>
      <c r="F1" s="6" t="s">
        <v>22</v>
      </c>
      <c r="G1" s="6" t="s">
        <v>22</v>
      </c>
      <c r="H1" s="7" t="s">
        <v>24</v>
      </c>
      <c r="I1" s="7" t="s">
        <v>24</v>
      </c>
      <c r="J1" s="7"/>
      <c r="K1" s="6" t="s">
        <v>25</v>
      </c>
      <c r="M1" s="7" t="s">
        <v>24</v>
      </c>
      <c r="N1" s="7" t="s">
        <v>24</v>
      </c>
      <c r="O1" s="7" t="s">
        <v>24</v>
      </c>
      <c r="P1" s="7" t="s">
        <v>24</v>
      </c>
      <c r="Q1" s="7" t="s">
        <v>24</v>
      </c>
      <c r="R1" s="7" t="s">
        <v>24</v>
      </c>
      <c r="S1" s="7"/>
      <c r="T1" s="7" t="s">
        <v>24</v>
      </c>
      <c r="U1" s="7"/>
      <c r="AF1" s="6" t="s">
        <v>26</v>
      </c>
      <c r="AG1" s="6" t="s">
        <v>26</v>
      </c>
      <c r="AH1" s="6" t="s">
        <v>26</v>
      </c>
    </row>
    <row r="2" spans="1:37" ht="89.25">
      <c r="B2" s="8" t="s">
        <v>27</v>
      </c>
      <c r="C2" s="8" t="s">
        <v>28</v>
      </c>
      <c r="D2" s="8" t="s">
        <v>29</v>
      </c>
      <c r="E2" s="8" t="s">
        <v>28</v>
      </c>
      <c r="F2" s="8" t="s">
        <v>30</v>
      </c>
      <c r="G2" s="9" t="s">
        <v>31</v>
      </c>
      <c r="H2" s="8" t="s">
        <v>32</v>
      </c>
      <c r="I2" s="8" t="s">
        <v>33</v>
      </c>
      <c r="J2" s="8" t="s">
        <v>34</v>
      </c>
      <c r="K2" s="10" t="s">
        <v>35</v>
      </c>
      <c r="L2" s="10" t="s">
        <v>36</v>
      </c>
      <c r="M2" s="8" t="s">
        <v>28</v>
      </c>
      <c r="N2" s="8" t="s">
        <v>29</v>
      </c>
      <c r="O2" s="8" t="s">
        <v>37</v>
      </c>
      <c r="P2" s="8" t="s">
        <v>38</v>
      </c>
      <c r="Q2" s="8" t="s">
        <v>39</v>
      </c>
      <c r="R2" s="8" t="s">
        <v>40</v>
      </c>
      <c r="S2" s="8" t="s">
        <v>41</v>
      </c>
      <c r="T2" s="8" t="s">
        <v>42</v>
      </c>
      <c r="U2" s="8" t="s">
        <v>43</v>
      </c>
      <c r="V2" s="8" t="s">
        <v>44</v>
      </c>
      <c r="W2" s="8" t="s">
        <v>45</v>
      </c>
      <c r="X2" s="8" t="s">
        <v>46</v>
      </c>
      <c r="Y2" s="8" t="s">
        <v>47</v>
      </c>
      <c r="Z2" s="8" t="s">
        <v>48</v>
      </c>
      <c r="AA2" s="8" t="s">
        <v>49</v>
      </c>
      <c r="AB2" s="8" t="s">
        <v>50</v>
      </c>
      <c r="AC2" s="8" t="s">
        <v>51</v>
      </c>
      <c r="AF2" s="8" t="s">
        <v>52</v>
      </c>
      <c r="AG2" s="8" t="s">
        <v>53</v>
      </c>
      <c r="AH2" s="8" t="s">
        <v>54</v>
      </c>
      <c r="AI2" s="8" t="s">
        <v>55</v>
      </c>
    </row>
    <row r="3" spans="1:37">
      <c r="A3" s="6">
        <v>2001</v>
      </c>
      <c r="B3" s="11">
        <v>89240215000</v>
      </c>
      <c r="C3" s="11">
        <v>39864241987.7854</v>
      </c>
      <c r="D3" s="11">
        <v>28622363000</v>
      </c>
      <c r="E3" s="11">
        <v>239461222920.08801</v>
      </c>
      <c r="F3" s="11">
        <v>5086917680.6166</v>
      </c>
      <c r="G3" s="11">
        <v>3539644000</v>
      </c>
      <c r="K3" s="12">
        <v>13.408852</v>
      </c>
      <c r="L3" s="6">
        <v>19.078999</v>
      </c>
      <c r="M3" s="13">
        <f>C3/K3/1000000</f>
        <v>2972.9794905473937</v>
      </c>
      <c r="N3" s="13">
        <f>D3/K3/1000000</f>
        <v>2134.587136915226</v>
      </c>
      <c r="O3" s="13">
        <f>F3/K3/1000000</f>
        <v>379.37011167075309</v>
      </c>
      <c r="P3" s="13">
        <f t="shared" ref="P3:P25" si="0">G3/K3/1000000</f>
        <v>263.97815413280722</v>
      </c>
      <c r="Q3" s="13"/>
      <c r="R3" s="13"/>
      <c r="S3" s="13"/>
      <c r="T3" s="13"/>
      <c r="U3" s="13"/>
      <c r="X3" s="6">
        <f>N3/N$8*100</f>
        <v>89.859414676042107</v>
      </c>
      <c r="Y3" s="14">
        <f>'[1]rama-C'!AD2</f>
        <v>0.12760603054173855</v>
      </c>
    </row>
    <row r="4" spans="1:37">
      <c r="A4" s="6">
        <v>2002</v>
      </c>
      <c r="B4" s="11">
        <v>104934883446</v>
      </c>
      <c r="C4" s="11">
        <v>50476907405.301498</v>
      </c>
      <c r="D4" s="11" t="s">
        <v>56</v>
      </c>
      <c r="E4" s="11">
        <v>209996122529.83499</v>
      </c>
      <c r="F4" s="11">
        <v>13485389944.9646</v>
      </c>
      <c r="G4" s="11" t="s">
        <v>56</v>
      </c>
      <c r="K4" s="12">
        <v>21.587268000000002</v>
      </c>
      <c r="L4" s="6">
        <v>22.652647000000002</v>
      </c>
      <c r="M4" s="13">
        <f t="shared" ref="M4:M26" si="1">C4/K4/1000000</f>
        <v>2338.2721428807713</v>
      </c>
      <c r="N4" s="13"/>
      <c r="O4" s="13">
        <f t="shared" ref="O4:O26" si="2">F4/K4/1000000</f>
        <v>624.69182969167741</v>
      </c>
      <c r="P4" s="13"/>
      <c r="Q4" s="13"/>
      <c r="R4" s="13"/>
      <c r="S4" s="13"/>
      <c r="T4" s="13"/>
      <c r="U4" s="13"/>
      <c r="Y4" s="14">
        <f>'[1]rama-C'!AD3</f>
        <v>0.26715959115094784</v>
      </c>
    </row>
    <row r="5" spans="1:37">
      <c r="A5" s="6">
        <v>2003</v>
      </c>
      <c r="B5" s="11">
        <v>139349946300</v>
      </c>
      <c r="C5" s="11">
        <v>65662459347.958099</v>
      </c>
      <c r="D5" s="11">
        <v>48103564060</v>
      </c>
      <c r="E5" s="11">
        <v>198569505416.453</v>
      </c>
      <c r="F5" s="11">
        <v>12655823088.476601</v>
      </c>
      <c r="G5" s="11">
        <v>6899547696</v>
      </c>
      <c r="K5" s="12">
        <v>28.369938999999999</v>
      </c>
      <c r="L5" s="6">
        <v>26.367311999999998</v>
      </c>
      <c r="M5" s="13">
        <f t="shared" si="1"/>
        <v>2314.5083021841569</v>
      </c>
      <c r="N5" s="13">
        <f t="shared" ref="N5:N26" si="3">D5/K5/1000000</f>
        <v>1695.5822167964479</v>
      </c>
      <c r="O5" s="13">
        <f t="shared" si="2"/>
        <v>446.09976385485356</v>
      </c>
      <c r="P5" s="13">
        <f t="shared" si="0"/>
        <v>243.19924325533447</v>
      </c>
      <c r="Q5" s="13"/>
      <c r="R5" s="13"/>
      <c r="S5" s="13"/>
      <c r="T5" s="13"/>
      <c r="U5" s="13"/>
      <c r="X5" s="6">
        <f t="shared" ref="X5:X12" si="4">N5/N$8*100</f>
        <v>71.37868625809385</v>
      </c>
      <c r="Y5" s="14">
        <f>'[1]rama-C'!AD4</f>
        <v>0.19274061943691359</v>
      </c>
    </row>
    <row r="6" spans="1:37">
      <c r="A6" s="6">
        <v>2004</v>
      </c>
      <c r="B6" s="11">
        <v>179010449525</v>
      </c>
      <c r="C6" s="11">
        <v>72889932573.568207</v>
      </c>
      <c r="D6" s="11">
        <v>50525577181</v>
      </c>
      <c r="E6" s="11">
        <v>249774503499.92801</v>
      </c>
      <c r="F6" s="11">
        <v>19229598213.050201</v>
      </c>
      <c r="G6" s="11">
        <v>6396127195</v>
      </c>
      <c r="K6" s="12">
        <v>28.703792</v>
      </c>
      <c r="L6" s="6">
        <v>29.122845999999999</v>
      </c>
      <c r="M6" s="13">
        <f t="shared" si="1"/>
        <v>2539.3833878662513</v>
      </c>
      <c r="N6" s="13">
        <f t="shared" si="3"/>
        <v>1760.2404999659975</v>
      </c>
      <c r="O6" s="13">
        <f t="shared" si="2"/>
        <v>669.93232855959252</v>
      </c>
      <c r="P6" s="13">
        <f t="shared" si="0"/>
        <v>222.83213294605812</v>
      </c>
      <c r="Q6" s="13"/>
      <c r="R6" s="13"/>
      <c r="S6" s="13"/>
      <c r="T6" s="13"/>
      <c r="U6" s="13"/>
      <c r="X6" s="6">
        <f t="shared" si="4"/>
        <v>74.100596916643951</v>
      </c>
      <c r="Y6" s="14">
        <f>'[1]rama-C'!AD5</f>
        <v>0.26381692963759656</v>
      </c>
    </row>
    <row r="7" spans="1:37">
      <c r="A7" s="6">
        <v>2005</v>
      </c>
      <c r="B7" s="11">
        <v>184862461743</v>
      </c>
      <c r="C7" s="11">
        <v>75872496535.844803</v>
      </c>
      <c r="D7" s="11">
        <v>52418214093</v>
      </c>
      <c r="E7" s="11">
        <v>304509275539.28601</v>
      </c>
      <c r="F7" s="11">
        <v>17354019747.224098</v>
      </c>
      <c r="G7" s="11">
        <v>6464007473</v>
      </c>
      <c r="K7" s="12">
        <v>24.478579</v>
      </c>
      <c r="L7" s="6">
        <v>28.325216999999999</v>
      </c>
      <c r="M7" s="13">
        <f t="shared" si="1"/>
        <v>3099.5466091330222</v>
      </c>
      <c r="N7" s="13">
        <f t="shared" si="3"/>
        <v>2141.3912177255061</v>
      </c>
      <c r="O7" s="13">
        <f t="shared" si="2"/>
        <v>708.94718795662527</v>
      </c>
      <c r="P7" s="13">
        <f t="shared" si="0"/>
        <v>264.06792130376522</v>
      </c>
      <c r="Q7" s="13"/>
      <c r="R7" s="13"/>
      <c r="S7" s="13"/>
      <c r="T7" s="13"/>
      <c r="U7" s="13"/>
      <c r="X7" s="6">
        <f t="shared" si="4"/>
        <v>90.14584510956557</v>
      </c>
      <c r="Y7" s="14">
        <f>'[1]rama-C'!AD6</f>
        <v>0.22872609363823235</v>
      </c>
    </row>
    <row r="8" spans="1:37">
      <c r="A8" s="6">
        <v>2006</v>
      </c>
      <c r="B8" s="11">
        <v>185039597745.125</v>
      </c>
      <c r="C8" s="11">
        <v>80567670011.130997</v>
      </c>
      <c r="D8" s="11">
        <v>57185676835.0951</v>
      </c>
      <c r="E8" s="11">
        <v>273923165915.57199</v>
      </c>
      <c r="F8" s="11">
        <v>17995064622.019302</v>
      </c>
      <c r="G8" s="11">
        <v>6516136919.5927401</v>
      </c>
      <c r="H8" s="15">
        <v>1556.8148162694117</v>
      </c>
      <c r="I8" s="15">
        <v>83.75346027316732</v>
      </c>
      <c r="J8" s="15">
        <f>I8*0.9</f>
        <v>75.378114245850597</v>
      </c>
      <c r="K8" s="12">
        <v>24.073374000000001</v>
      </c>
      <c r="L8" s="6">
        <v>29.954262</v>
      </c>
      <c r="M8" s="13">
        <f t="shared" si="1"/>
        <v>3346.7543856183597</v>
      </c>
      <c r="N8" s="13">
        <f t="shared" si="3"/>
        <v>2375.4741165527976</v>
      </c>
      <c r="O8" s="13">
        <f t="shared" si="2"/>
        <v>747.50903724668183</v>
      </c>
      <c r="P8" s="13">
        <f t="shared" si="0"/>
        <v>270.6781741351561</v>
      </c>
      <c r="Q8" s="13">
        <f t="shared" ref="Q8:Q26" si="5">O8-I8</f>
        <v>663.75557697351451</v>
      </c>
      <c r="R8" s="13">
        <f>Q8-P8</f>
        <v>393.07740283835841</v>
      </c>
      <c r="S8" s="16">
        <f t="shared" ref="S8:S26" si="6">I8/O8</f>
        <v>0.11204340830668545</v>
      </c>
      <c r="T8" s="13">
        <f t="shared" ref="T8:T26" si="7">M8-H8</f>
        <v>1789.939569348948</v>
      </c>
      <c r="U8" s="13">
        <f>N8-H8</f>
        <v>818.65930028338585</v>
      </c>
      <c r="V8" s="6">
        <f t="shared" ref="V8:V26" si="8">H8/M8</f>
        <v>0.46517151750344787</v>
      </c>
      <c r="W8" s="6">
        <f t="shared" ref="W8:W26" si="9">H8/H$8*100</f>
        <v>100</v>
      </c>
      <c r="X8" s="6">
        <f t="shared" si="4"/>
        <v>100</v>
      </c>
      <c r="Y8" s="14">
        <f>'[1]rama-C'!AD7</f>
        <v>0.2233534197964662</v>
      </c>
      <c r="AF8" s="13">
        <f>$J8*K8</f>
        <v>1814.6055356550894</v>
      </c>
      <c r="AG8" s="13">
        <f>$J8*L8</f>
        <v>2257.8957831861412</v>
      </c>
      <c r="AH8" s="13">
        <f>AG8-AF8</f>
        <v>443.29024753105182</v>
      </c>
      <c r="AI8" s="16">
        <f>AH8/(F8/1000000)</f>
        <v>2.4633990310244765E-2</v>
      </c>
      <c r="AK8" s="17">
        <f>(AF8*1000000)/B8</f>
        <v>9.8065795525265967E-3</v>
      </c>
    </row>
    <row r="9" spans="1:37">
      <c r="A9" s="6">
        <v>2007</v>
      </c>
      <c r="B9" s="11">
        <v>235394001073.246</v>
      </c>
      <c r="C9" s="11">
        <v>118120892097.41901</v>
      </c>
      <c r="D9" s="11">
        <v>88288212567.623398</v>
      </c>
      <c r="E9" s="11">
        <v>324292281811.25598</v>
      </c>
      <c r="F9" s="11">
        <v>24110500055.013283</v>
      </c>
      <c r="G9" s="11">
        <v>17359289524.518902</v>
      </c>
      <c r="H9" s="15">
        <v>1737.3080523071112</v>
      </c>
      <c r="I9" s="15">
        <v>89.035722498457602</v>
      </c>
      <c r="J9" s="15">
        <f t="shared" ref="J9:J27" si="10">I9*0.9</f>
        <v>80.13215024861185</v>
      </c>
      <c r="K9" s="12">
        <v>23.471036000000002</v>
      </c>
      <c r="L9" s="6">
        <v>30.861639</v>
      </c>
      <c r="M9" s="13">
        <f t="shared" si="1"/>
        <v>5032.6237025676674</v>
      </c>
      <c r="N9" s="13">
        <f t="shared" si="3"/>
        <v>3761.5814047417166</v>
      </c>
      <c r="O9" s="13">
        <f t="shared" si="2"/>
        <v>1027.2448159089902</v>
      </c>
      <c r="P9" s="13">
        <f t="shared" si="0"/>
        <v>739.60474196873542</v>
      </c>
      <c r="Q9" s="13">
        <f t="shared" si="5"/>
        <v>938.20909341053255</v>
      </c>
      <c r="R9" s="13">
        <f t="shared" ref="R9:R26" si="11">Q9-P9</f>
        <v>198.60435144179712</v>
      </c>
      <c r="S9" s="16">
        <f t="shared" si="6"/>
        <v>8.6674297226481026E-2</v>
      </c>
      <c r="T9" s="13">
        <f t="shared" si="7"/>
        <v>3295.3156502605561</v>
      </c>
      <c r="U9" s="13">
        <f>N9-H9</f>
        <v>2024.2733524346054</v>
      </c>
      <c r="V9" s="6">
        <f t="shared" si="8"/>
        <v>0.345209209943658</v>
      </c>
      <c r="W9" s="6">
        <f t="shared" si="9"/>
        <v>111.59375117396522</v>
      </c>
      <c r="X9" s="6">
        <f t="shared" si="4"/>
        <v>158.35076368671986</v>
      </c>
      <c r="Y9" s="14">
        <f>'[1]rama-C'!AD8</f>
        <v>0.20411715173238273</v>
      </c>
      <c r="Z9" s="16">
        <f t="shared" ref="Z9:Z26" si="12">T9/Q9</f>
        <v>3.5123467395541685</v>
      </c>
      <c r="AA9" s="16">
        <f>R9/T9</f>
        <v>6.0268688198684015E-2</v>
      </c>
      <c r="AB9" s="16">
        <f>Q9/U9</f>
        <v>0.4634794467269665</v>
      </c>
      <c r="AC9" s="18">
        <f>AVERAGE(AA$9:AA$26)</f>
        <v>3.4243627065773531E-2</v>
      </c>
      <c r="AF9" s="13">
        <f t="shared" ref="AF9:AG26" si="13">$J9*K9</f>
        <v>1880.7845832425778</v>
      </c>
      <c r="AG9" s="13">
        <f t="shared" si="13"/>
        <v>2473.0094932664192</v>
      </c>
      <c r="AH9" s="13">
        <f t="shared" ref="AH9:AH26" si="14">AG9-AF9</f>
        <v>592.2249100238414</v>
      </c>
      <c r="AI9" s="16">
        <f t="shared" ref="AI9:AI26" si="15">AH9/(F9/1000000)</f>
        <v>2.4562945964312358E-2</v>
      </c>
      <c r="AK9" s="17">
        <f t="shared" ref="AK9:AK25" si="16">(AF9*1000000)/F9</f>
        <v>7.8006867503832927E-2</v>
      </c>
    </row>
    <row r="10" spans="1:37">
      <c r="A10" s="6">
        <v>2008</v>
      </c>
      <c r="B10" s="11">
        <v>284995693319.88397</v>
      </c>
      <c r="C10" s="11">
        <v>144765634654.789</v>
      </c>
      <c r="D10" s="11">
        <v>107971212345.29601</v>
      </c>
      <c r="E10" s="11">
        <v>349687299770.34399</v>
      </c>
      <c r="F10" s="11">
        <v>26698283053.685555</v>
      </c>
      <c r="G10" s="11">
        <v>17442926160.214401</v>
      </c>
      <c r="H10" s="15">
        <v>1785.2371446391153</v>
      </c>
      <c r="I10" s="15">
        <v>92.377721543406437</v>
      </c>
      <c r="J10" s="15">
        <f t="shared" si="10"/>
        <v>83.139949389065791</v>
      </c>
      <c r="K10" s="12">
        <v>20.949345000000001</v>
      </c>
      <c r="L10" s="6">
        <v>30.471964</v>
      </c>
      <c r="M10" s="13">
        <f t="shared" si="1"/>
        <v>6910.270209153985</v>
      </c>
      <c r="N10" s="13">
        <f t="shared" si="3"/>
        <v>5153.9182893448933</v>
      </c>
      <c r="O10" s="13">
        <f t="shared" si="2"/>
        <v>1274.4208973447883</v>
      </c>
      <c r="P10" s="13">
        <f t="shared" si="0"/>
        <v>832.62393932671409</v>
      </c>
      <c r="Q10" s="13">
        <f t="shared" si="5"/>
        <v>1182.0431758013819</v>
      </c>
      <c r="R10" s="13">
        <f t="shared" si="11"/>
        <v>349.41923647466785</v>
      </c>
      <c r="S10" s="16">
        <f t="shared" si="6"/>
        <v>7.2486037961141572E-2</v>
      </c>
      <c r="T10" s="13">
        <f t="shared" si="7"/>
        <v>5125.0330645148697</v>
      </c>
      <c r="U10" s="13">
        <f>N10-H10</f>
        <v>3368.681144705778</v>
      </c>
      <c r="V10" s="6">
        <f t="shared" si="8"/>
        <v>0.25834549020590025</v>
      </c>
      <c r="W10" s="6">
        <f t="shared" si="9"/>
        <v>114.67241485516375</v>
      </c>
      <c r="X10" s="6">
        <f t="shared" si="4"/>
        <v>216.96377381809043</v>
      </c>
      <c r="Y10" s="14">
        <f>'[1]rama-C'!AD9</f>
        <v>0.18442417716988432</v>
      </c>
      <c r="Z10" s="16">
        <f t="shared" si="12"/>
        <v>4.3357410028955039</v>
      </c>
      <c r="AA10" s="16">
        <f t="shared" ref="AA10:AA26" si="17">R10/T10</f>
        <v>6.8178923350564469E-2</v>
      </c>
      <c r="AB10" s="16">
        <f t="shared" ref="AB10:AB26" si="18">Q10/U10</f>
        <v>0.35089197375034498</v>
      </c>
      <c r="AC10" s="18">
        <f t="shared" ref="AC10:AC26" si="19">AVERAGE(AA$9:AA$26)</f>
        <v>3.4243627065773531E-2</v>
      </c>
      <c r="AF10" s="13">
        <f t="shared" si="13"/>
        <v>1741.7274830340787</v>
      </c>
      <c r="AG10" s="13">
        <f t="shared" si="13"/>
        <v>2533.4375447454349</v>
      </c>
      <c r="AH10" s="13">
        <f t="shared" si="14"/>
        <v>791.71006171135627</v>
      </c>
      <c r="AI10" s="16">
        <f t="shared" si="15"/>
        <v>2.9653969137991627E-2</v>
      </c>
      <c r="AK10" s="17">
        <f t="shared" si="16"/>
        <v>6.5237434165027419E-2</v>
      </c>
    </row>
    <row r="11" spans="1:37">
      <c r="A11" s="6">
        <v>2009</v>
      </c>
      <c r="B11" s="11">
        <v>262347159926.776</v>
      </c>
      <c r="C11" s="11">
        <v>127638989405.789</v>
      </c>
      <c r="D11" s="11">
        <v>93192117548.195999</v>
      </c>
      <c r="E11" s="11">
        <v>335593659520.992</v>
      </c>
      <c r="F11" s="11">
        <v>18018680108.036697</v>
      </c>
      <c r="G11" s="11">
        <v>7961085386.4242697</v>
      </c>
      <c r="H11" s="15">
        <v>1666.644847</v>
      </c>
      <c r="I11" s="15">
        <v>93.635920193234909</v>
      </c>
      <c r="J11" s="15">
        <f t="shared" si="10"/>
        <v>84.272328173911419</v>
      </c>
      <c r="K11" s="12">
        <v>22.567971</v>
      </c>
      <c r="L11" s="6">
        <v>32.276463</v>
      </c>
      <c r="M11" s="13">
        <f t="shared" si="1"/>
        <v>5655.758304802368</v>
      </c>
      <c r="N11" s="13">
        <f t="shared" si="3"/>
        <v>4129.397257210052</v>
      </c>
      <c r="O11" s="13">
        <f t="shared" si="2"/>
        <v>798.41825869222794</v>
      </c>
      <c r="P11" s="13">
        <f t="shared" si="0"/>
        <v>352.76035166937561</v>
      </c>
      <c r="Q11" s="13">
        <f t="shared" si="5"/>
        <v>704.782338498993</v>
      </c>
      <c r="R11" s="13">
        <f t="shared" si="11"/>
        <v>352.02198682961739</v>
      </c>
      <c r="S11" s="16">
        <f t="shared" si="6"/>
        <v>0.11727677714510963</v>
      </c>
      <c r="T11" s="13">
        <f t="shared" si="7"/>
        <v>3989.113457802368</v>
      </c>
      <c r="U11" s="13">
        <f>N11-H11</f>
        <v>2462.7524102100519</v>
      </c>
      <c r="V11" s="6">
        <f t="shared" si="8"/>
        <v>0.29468105905176911</v>
      </c>
      <c r="W11" s="6">
        <f t="shared" si="9"/>
        <v>107.05479094769753</v>
      </c>
      <c r="X11" s="6">
        <f t="shared" si="4"/>
        <v>173.83465592975961</v>
      </c>
      <c r="Y11" s="14">
        <f>'[1]rama-C'!AD10</f>
        <v>0.14116909098012231</v>
      </c>
      <c r="Z11" s="16">
        <f t="shared" si="12"/>
        <v>5.6600644481219042</v>
      </c>
      <c r="AA11" s="16">
        <f t="shared" si="17"/>
        <v>8.8245669257938059E-2</v>
      </c>
      <c r="AB11" s="16">
        <f t="shared" si="18"/>
        <v>0.28617669221522801</v>
      </c>
      <c r="AC11" s="18">
        <f t="shared" si="19"/>
        <v>3.4243627065773531E-2</v>
      </c>
      <c r="AF11" s="13">
        <f t="shared" si="13"/>
        <v>1901.855458331316</v>
      </c>
      <c r="AG11" s="13">
        <f t="shared" si="13"/>
        <v>2720.0126822291095</v>
      </c>
      <c r="AH11" s="13">
        <f t="shared" si="14"/>
        <v>818.15722389779353</v>
      </c>
      <c r="AI11" s="16">
        <f t="shared" si="15"/>
        <v>4.5406057435520973E-2</v>
      </c>
      <c r="AK11" s="17">
        <f t="shared" si="16"/>
        <v>0.10554909943059869</v>
      </c>
    </row>
    <row r="12" spans="1:37">
      <c r="A12" s="6">
        <v>2010</v>
      </c>
      <c r="B12" s="11">
        <v>298614685114.745</v>
      </c>
      <c r="C12" s="11">
        <v>138171906936.90302</v>
      </c>
      <c r="D12" s="11">
        <v>99737810059.451508</v>
      </c>
      <c r="E12" s="11">
        <v>406929488750.46399</v>
      </c>
      <c r="F12" s="11">
        <v>24477634469.89695</v>
      </c>
      <c r="G12" s="11">
        <v>10581328732.3151</v>
      </c>
      <c r="H12" s="15">
        <v>1792.8302759999999</v>
      </c>
      <c r="I12" s="15">
        <v>74.528890346052449</v>
      </c>
      <c r="J12" s="15">
        <f t="shared" si="10"/>
        <v>67.0760013114472</v>
      </c>
      <c r="K12" s="12">
        <v>20.059238000000001</v>
      </c>
      <c r="L12" s="6">
        <v>32.828747999999997</v>
      </c>
      <c r="M12" s="13">
        <f t="shared" si="1"/>
        <v>6888.193207384199</v>
      </c>
      <c r="N12" s="13">
        <f t="shared" si="3"/>
        <v>4972.1634520439666</v>
      </c>
      <c r="O12" s="13">
        <f t="shared" si="2"/>
        <v>1220.2674134429708</v>
      </c>
      <c r="P12" s="13">
        <f t="shared" si="0"/>
        <v>527.50402245165537</v>
      </c>
      <c r="Q12" s="13">
        <f t="shared" si="5"/>
        <v>1145.7385230969182</v>
      </c>
      <c r="R12" s="13">
        <f t="shared" si="11"/>
        <v>618.23450064526287</v>
      </c>
      <c r="S12" s="16">
        <f t="shared" si="6"/>
        <v>6.1075867080454128E-2</v>
      </c>
      <c r="T12" s="13">
        <f t="shared" si="7"/>
        <v>5095.3629313841993</v>
      </c>
      <c r="U12" s="13">
        <f>N12-H12</f>
        <v>3179.3331760439669</v>
      </c>
      <c r="V12" s="6">
        <f t="shared" si="8"/>
        <v>0.26027584041604279</v>
      </c>
      <c r="W12" s="6">
        <f t="shared" si="9"/>
        <v>115.16014989478009</v>
      </c>
      <c r="X12" s="6">
        <f t="shared" si="4"/>
        <v>209.312465978766</v>
      </c>
      <c r="Y12" s="14">
        <f>'[1]rama-C'!AD11</f>
        <v>0.17715348229994973</v>
      </c>
      <c r="Z12" s="16">
        <f t="shared" si="12"/>
        <v>4.4472301739593174</v>
      </c>
      <c r="AA12" s="16">
        <f t="shared" si="17"/>
        <v>0.12133277039743941</v>
      </c>
      <c r="AB12" s="16">
        <f t="shared" si="18"/>
        <v>0.3603707002870824</v>
      </c>
      <c r="AC12" s="18">
        <f t="shared" si="19"/>
        <v>3.4243627065773531E-2</v>
      </c>
      <c r="AF12" s="13">
        <f t="shared" si="13"/>
        <v>1345.4934743946314</v>
      </c>
      <c r="AG12" s="13">
        <f t="shared" si="13"/>
        <v>2202.0211439011696</v>
      </c>
      <c r="AH12" s="13">
        <f t="shared" si="14"/>
        <v>856.52766950653813</v>
      </c>
      <c r="AI12" s="16">
        <f t="shared" si="15"/>
        <v>3.4992256729706121E-2</v>
      </c>
      <c r="AK12" s="17">
        <f t="shared" si="16"/>
        <v>5.4968280372408709E-2</v>
      </c>
    </row>
    <row r="13" spans="1:37">
      <c r="A13" s="6">
        <v>2011</v>
      </c>
      <c r="B13" s="11">
        <v>322720110758.961</v>
      </c>
      <c r="C13" s="11">
        <v>164590514092.41199</v>
      </c>
      <c r="D13" s="11" t="s">
        <v>56</v>
      </c>
      <c r="E13" s="11">
        <v>394553982689.07098</v>
      </c>
      <c r="F13" s="11">
        <v>15603515946.660084</v>
      </c>
      <c r="G13" s="11" t="s">
        <v>56</v>
      </c>
      <c r="H13" s="15">
        <v>2051.703618</v>
      </c>
      <c r="I13" s="15">
        <v>85.105634776207978</v>
      </c>
      <c r="J13" s="15">
        <f t="shared" si="10"/>
        <v>76.595071298587186</v>
      </c>
      <c r="K13" s="12">
        <v>19.314209000000002</v>
      </c>
      <c r="L13" s="6">
        <v>34.651024999999997</v>
      </c>
      <c r="M13" s="13">
        <f t="shared" si="1"/>
        <v>8521.7320622559255</v>
      </c>
      <c r="N13" s="13"/>
      <c r="O13" s="13">
        <f t="shared" si="2"/>
        <v>807.87755515434685</v>
      </c>
      <c r="P13" s="13"/>
      <c r="Q13" s="13">
        <f t="shared" si="5"/>
        <v>722.77192037813893</v>
      </c>
      <c r="R13" s="13">
        <f t="shared" si="11"/>
        <v>722.77192037813893</v>
      </c>
      <c r="S13" s="16">
        <f t="shared" si="6"/>
        <v>0.1053447199185381</v>
      </c>
      <c r="T13" s="13">
        <f t="shared" si="7"/>
        <v>6470.0284442559259</v>
      </c>
      <c r="U13" s="13"/>
      <c r="V13" s="6">
        <f t="shared" si="8"/>
        <v>0.24076133854141155</v>
      </c>
      <c r="W13" s="6">
        <f t="shared" si="9"/>
        <v>131.7885464962678</v>
      </c>
      <c r="Y13" s="14">
        <f>'[1]rama-C'!AD12</f>
        <v>9.480203663437882E-2</v>
      </c>
      <c r="Z13" s="16">
        <f t="shared" si="12"/>
        <v>8.9516876096555382</v>
      </c>
      <c r="AA13" s="16">
        <f t="shared" si="17"/>
        <v>0.11171077942011429</v>
      </c>
      <c r="AB13" s="16"/>
      <c r="AC13" s="18">
        <f t="shared" si="19"/>
        <v>3.4243627065773531E-2</v>
      </c>
      <c r="AF13" s="13">
        <f t="shared" si="13"/>
        <v>1479.3732154308145</v>
      </c>
      <c r="AG13" s="13">
        <f t="shared" si="13"/>
        <v>2654.0977304441267</v>
      </c>
      <c r="AH13" s="13">
        <f t="shared" si="14"/>
        <v>1174.7245150133122</v>
      </c>
      <c r="AI13" s="16">
        <f t="shared" si="15"/>
        <v>7.5285885503565672E-2</v>
      </c>
      <c r="AK13" s="17">
        <f t="shared" si="16"/>
        <v>9.4810247926684299E-2</v>
      </c>
    </row>
    <row r="14" spans="1:37">
      <c r="A14" s="6">
        <v>2012</v>
      </c>
      <c r="B14" s="11">
        <v>366495477250.28802</v>
      </c>
      <c r="C14" s="11">
        <v>167784888060.70901</v>
      </c>
      <c r="D14" s="11">
        <v>118070224347.511</v>
      </c>
      <c r="E14" s="11">
        <v>395091245724.24597</v>
      </c>
      <c r="F14" s="11">
        <v>12653048671.502739</v>
      </c>
      <c r="G14" s="11">
        <v>17144628448.139</v>
      </c>
      <c r="H14" s="15">
        <v>2252.2034780000004</v>
      </c>
      <c r="I14" s="15">
        <v>102.14218845301211</v>
      </c>
      <c r="J14" s="15">
        <f t="shared" si="10"/>
        <v>91.927969607710907</v>
      </c>
      <c r="K14" s="12">
        <v>20.310164</v>
      </c>
      <c r="L14" s="6">
        <v>35.243068000000001</v>
      </c>
      <c r="M14" s="13">
        <f t="shared" si="1"/>
        <v>8261.1291597994496</v>
      </c>
      <c r="N14" s="13">
        <f t="shared" si="3"/>
        <v>5813.3565217647183</v>
      </c>
      <c r="O14" s="13">
        <f t="shared" si="2"/>
        <v>622.99096509032324</v>
      </c>
      <c r="P14" s="13">
        <f t="shared" si="0"/>
        <v>844.14032541238953</v>
      </c>
      <c r="Q14" s="13">
        <f t="shared" si="5"/>
        <v>520.84877663731118</v>
      </c>
      <c r="R14" s="13">
        <f t="shared" si="11"/>
        <v>-323.29154877507835</v>
      </c>
      <c r="S14" s="16">
        <f t="shared" si="6"/>
        <v>0.16395452611131078</v>
      </c>
      <c r="T14" s="13">
        <f t="shared" si="7"/>
        <v>6008.9256817994492</v>
      </c>
      <c r="U14" s="13">
        <f t="shared" ref="U14:U26" si="20">N14-H14</f>
        <v>3561.1530437647179</v>
      </c>
      <c r="V14" s="6">
        <f t="shared" si="8"/>
        <v>0.27262659067960582</v>
      </c>
      <c r="W14" s="6">
        <f t="shared" si="9"/>
        <v>144.66739746201449</v>
      </c>
      <c r="X14" s="6">
        <f t="shared" ref="X14:X26" si="21">N14/N$8*100</f>
        <v>244.72405240099403</v>
      </c>
      <c r="Y14" s="14">
        <f>'[1]rama-C'!AD13</f>
        <v>7.5412325971362396E-2</v>
      </c>
      <c r="Z14" s="16">
        <f t="shared" si="12"/>
        <v>11.536795229882465</v>
      </c>
      <c r="AA14" s="16">
        <f t="shared" si="17"/>
        <v>-5.3801888373208269E-2</v>
      </c>
      <c r="AB14" s="16">
        <f t="shared" si="18"/>
        <v>0.14625846467038925</v>
      </c>
      <c r="AC14" s="18">
        <f t="shared" si="19"/>
        <v>3.4243627065773531E-2</v>
      </c>
      <c r="AF14" s="13">
        <f t="shared" si="13"/>
        <v>1867.0721389196242</v>
      </c>
      <c r="AG14" s="13">
        <f t="shared" si="13"/>
        <v>3239.823683986489</v>
      </c>
      <c r="AH14" s="13">
        <f t="shared" si="14"/>
        <v>1372.7515450668648</v>
      </c>
      <c r="AI14" s="16">
        <f t="shared" si="15"/>
        <v>0.10849176200187888</v>
      </c>
      <c r="AK14" s="17">
        <f t="shared" si="16"/>
        <v>0.14755907350017972</v>
      </c>
    </row>
    <row r="15" spans="1:37">
      <c r="A15" s="6">
        <v>2013</v>
      </c>
      <c r="B15" s="11">
        <v>393495580200.29303</v>
      </c>
      <c r="C15" s="11">
        <v>183498071401.983</v>
      </c>
      <c r="D15" s="11">
        <v>130303268121.312</v>
      </c>
      <c r="E15" s="11">
        <v>410912621918.95001</v>
      </c>
      <c r="F15" s="11">
        <v>12278747465.469757</v>
      </c>
      <c r="G15" s="11">
        <v>28790672811.2985</v>
      </c>
      <c r="H15" s="15">
        <v>2329.9270850000003</v>
      </c>
      <c r="I15" s="15">
        <v>115.22407424619011</v>
      </c>
      <c r="J15" s="15">
        <f t="shared" si="10"/>
        <v>103.70166682157111</v>
      </c>
      <c r="K15" s="12">
        <v>20.481618000000001</v>
      </c>
      <c r="L15" s="6">
        <v>35.991435000000003</v>
      </c>
      <c r="M15" s="13">
        <f t="shared" si="1"/>
        <v>8959.1589591204665</v>
      </c>
      <c r="N15" s="13">
        <f t="shared" si="3"/>
        <v>6361.9616439146548</v>
      </c>
      <c r="O15" s="13">
        <f t="shared" si="2"/>
        <v>599.50085317818912</v>
      </c>
      <c r="P15" s="13">
        <f t="shared" si="0"/>
        <v>1405.6835163754397</v>
      </c>
      <c r="Q15" s="13">
        <f>O15-I15</f>
        <v>484.27677893199899</v>
      </c>
      <c r="R15" s="13">
        <f t="shared" si="11"/>
        <v>-921.40673744344076</v>
      </c>
      <c r="S15" s="16">
        <f t="shared" si="6"/>
        <v>0.19220001712314855</v>
      </c>
      <c r="T15" s="13">
        <f t="shared" si="7"/>
        <v>6629.2318741204663</v>
      </c>
      <c r="U15" s="13">
        <f t="shared" si="20"/>
        <v>4032.0345589146546</v>
      </c>
      <c r="V15" s="6">
        <f t="shared" si="8"/>
        <v>0.26006091594436143</v>
      </c>
      <c r="W15" s="6">
        <f t="shared" si="9"/>
        <v>149.65987352196416</v>
      </c>
      <c r="X15" s="6">
        <f t="shared" si="21"/>
        <v>267.81860511900271</v>
      </c>
      <c r="Y15" s="14">
        <f>'[1]rama-C'!AD14</f>
        <v>6.691485840508439E-2</v>
      </c>
      <c r="Z15" s="16">
        <f t="shared" si="12"/>
        <v>13.688931954863207</v>
      </c>
      <c r="AA15" s="16">
        <f t="shared" si="17"/>
        <v>-0.13899147818927188</v>
      </c>
      <c r="AB15" s="16">
        <f t="shared" si="18"/>
        <v>0.12010729864933423</v>
      </c>
      <c r="AC15" s="18">
        <f t="shared" si="19"/>
        <v>3.4243627065773531E-2</v>
      </c>
      <c r="AF15" s="13">
        <f t="shared" si="13"/>
        <v>2123.9779258026938</v>
      </c>
      <c r="AG15" s="13">
        <f t="shared" si="13"/>
        <v>3732.3718008002334</v>
      </c>
      <c r="AH15" s="13">
        <f t="shared" si="14"/>
        <v>1608.3938749975396</v>
      </c>
      <c r="AI15" s="16">
        <f t="shared" si="15"/>
        <v>0.13099006063286653</v>
      </c>
      <c r="AK15" s="17">
        <f t="shared" si="16"/>
        <v>0.17298001541083372</v>
      </c>
    </row>
    <row r="16" spans="1:37">
      <c r="A16" s="6">
        <v>2014</v>
      </c>
      <c r="B16" s="11">
        <v>453640919223.41602</v>
      </c>
      <c r="C16" s="11">
        <v>259377141950.67499</v>
      </c>
      <c r="D16" s="11">
        <v>198429417562.73401</v>
      </c>
      <c r="E16" s="11">
        <v>454201257170.14203</v>
      </c>
      <c r="F16" s="11">
        <v>17067827885.217899</v>
      </c>
      <c r="G16" s="11">
        <v>78176629453.823105</v>
      </c>
      <c r="H16" s="15">
        <v>2179.4861389999996</v>
      </c>
      <c r="I16" s="15">
        <v>118.36466301416122</v>
      </c>
      <c r="J16" s="15">
        <f t="shared" si="10"/>
        <v>106.5281967127451</v>
      </c>
      <c r="K16" s="12">
        <v>23.246061000000001</v>
      </c>
      <c r="L16" s="6">
        <v>38.372773000000002</v>
      </c>
      <c r="M16" s="13">
        <f t="shared" si="1"/>
        <v>11157.896469026515</v>
      </c>
      <c r="N16" s="13">
        <f t="shared" si="3"/>
        <v>8536.0447760476072</v>
      </c>
      <c r="O16" s="13">
        <f t="shared" si="2"/>
        <v>734.22451593919061</v>
      </c>
      <c r="P16" s="13">
        <f t="shared" si="0"/>
        <v>3363.005433644139</v>
      </c>
      <c r="Q16" s="13">
        <f t="shared" si="5"/>
        <v>615.85985292502937</v>
      </c>
      <c r="R16" s="13">
        <f t="shared" si="11"/>
        <v>-2747.1455807191096</v>
      </c>
      <c r="S16" s="16">
        <f t="shared" si="6"/>
        <v>0.16121044781888533</v>
      </c>
      <c r="T16" s="13">
        <f t="shared" si="7"/>
        <v>8978.410330026516</v>
      </c>
      <c r="U16" s="13">
        <f t="shared" si="20"/>
        <v>6356.5586370476076</v>
      </c>
      <c r="V16" s="6">
        <f t="shared" si="8"/>
        <v>0.19533127458657554</v>
      </c>
      <c r="W16" s="6">
        <f t="shared" si="9"/>
        <v>139.99649259651142</v>
      </c>
      <c r="X16" s="6">
        <f t="shared" si="21"/>
        <v>359.34067715436981</v>
      </c>
      <c r="Y16" s="14">
        <f>'[1]rama-C'!AD15</f>
        <v>6.5803130363984191E-2</v>
      </c>
      <c r="Z16" s="16">
        <f t="shared" si="12"/>
        <v>14.578658257042592</v>
      </c>
      <c r="AA16" s="16">
        <f t="shared" si="17"/>
        <v>-0.3059723803813939</v>
      </c>
      <c r="AB16" s="16">
        <f t="shared" si="18"/>
        <v>9.6885734575882732E-2</v>
      </c>
      <c r="AC16" s="18">
        <f t="shared" si="19"/>
        <v>3.4243627065773531E-2</v>
      </c>
      <c r="AF16" s="13">
        <f t="shared" si="13"/>
        <v>2476.3609590044721</v>
      </c>
      <c r="AG16" s="13">
        <f t="shared" si="13"/>
        <v>4087.7823105575139</v>
      </c>
      <c r="AH16" s="13">
        <f t="shared" si="14"/>
        <v>1611.4213515530419</v>
      </c>
      <c r="AI16" s="16">
        <f t="shared" si="15"/>
        <v>9.4412795956810722E-2</v>
      </c>
      <c r="AK16" s="17">
        <f t="shared" si="16"/>
        <v>0.14508940303699677</v>
      </c>
    </row>
    <row r="17" spans="1:37">
      <c r="A17" s="6">
        <v>2015</v>
      </c>
      <c r="B17" s="11">
        <v>478094966223.237</v>
      </c>
      <c r="C17" s="11">
        <v>270460042903.50201</v>
      </c>
      <c r="D17" s="11">
        <v>207813793849.16599</v>
      </c>
      <c r="E17" s="11">
        <v>454671896763.125</v>
      </c>
      <c r="F17" s="11">
        <v>24840445113.269791</v>
      </c>
      <c r="G17" s="11">
        <v>26806672376.5168</v>
      </c>
      <c r="H17" s="15">
        <v>2377.4683530000002</v>
      </c>
      <c r="I17" s="15">
        <v>110.44210495980047</v>
      </c>
      <c r="J17" s="15">
        <f t="shared" si="10"/>
        <v>99.397894463820435</v>
      </c>
      <c r="K17" s="12">
        <v>27.327226</v>
      </c>
      <c r="L17" s="6">
        <v>41.149155999999998</v>
      </c>
      <c r="M17" s="13">
        <f t="shared" si="1"/>
        <v>9897.0910147814502</v>
      </c>
      <c r="N17" s="13">
        <f t="shared" si="3"/>
        <v>7604.6428513880628</v>
      </c>
      <c r="O17" s="13">
        <f t="shared" si="2"/>
        <v>908.99987848271871</v>
      </c>
      <c r="P17" s="13">
        <f t="shared" si="0"/>
        <v>980.95109897055784</v>
      </c>
      <c r="Q17" s="13">
        <f t="shared" si="5"/>
        <v>798.5577735229183</v>
      </c>
      <c r="R17" s="13">
        <f t="shared" si="11"/>
        <v>-182.39332544763954</v>
      </c>
      <c r="S17" s="16">
        <f t="shared" si="6"/>
        <v>0.12149848154451665</v>
      </c>
      <c r="T17" s="13">
        <f>M17-H17</f>
        <v>7519.62266178145</v>
      </c>
      <c r="U17" s="13">
        <f t="shared" si="20"/>
        <v>5227.1744983880626</v>
      </c>
      <c r="V17" s="6">
        <f t="shared" si="8"/>
        <v>0.24021890366060253</v>
      </c>
      <c r="W17" s="6">
        <f t="shared" si="9"/>
        <v>152.71362580535538</v>
      </c>
      <c r="X17" s="6">
        <f t="shared" si="21"/>
        <v>320.13158124507987</v>
      </c>
      <c r="Y17" s="14">
        <f>'[1]rama-C'!AD16</f>
        <v>9.1845157039084926E-2</v>
      </c>
      <c r="Z17" s="16">
        <f t="shared" si="12"/>
        <v>9.4165042419008387</v>
      </c>
      <c r="AA17" s="16">
        <f t="shared" si="17"/>
        <v>-2.4255648674321818E-2</v>
      </c>
      <c r="AB17" s="16">
        <f t="shared" si="18"/>
        <v>0.15277044486828872</v>
      </c>
      <c r="AC17" s="18">
        <f t="shared" si="19"/>
        <v>3.4243627065773531E-2</v>
      </c>
      <c r="AF17" s="13">
        <f t="shared" si="13"/>
        <v>2716.26872593697</v>
      </c>
      <c r="AG17" s="13">
        <f t="shared" si="13"/>
        <v>4090.1394653632833</v>
      </c>
      <c r="AH17" s="13">
        <f t="shared" si="14"/>
        <v>1373.8707394263133</v>
      </c>
      <c r="AI17" s="16">
        <f t="shared" si="15"/>
        <v>5.5307814862479668E-2</v>
      </c>
      <c r="AK17" s="17">
        <f t="shared" si="16"/>
        <v>0.10934863339006499</v>
      </c>
    </row>
    <row r="18" spans="1:37">
      <c r="A18" s="6">
        <v>2016</v>
      </c>
      <c r="B18" s="11">
        <v>488282856955.12799</v>
      </c>
      <c r="C18" s="11">
        <v>283302377562.35797</v>
      </c>
      <c r="D18" s="11">
        <v>218824498043.51999</v>
      </c>
      <c r="E18" s="11">
        <v>458197444854.55499</v>
      </c>
      <c r="F18" s="11">
        <v>19680939437.842308</v>
      </c>
      <c r="G18" s="11">
        <v>17409371770.145</v>
      </c>
      <c r="H18" s="15">
        <v>2353.9156059999996</v>
      </c>
      <c r="I18" s="15">
        <v>116.70317056701678</v>
      </c>
      <c r="J18" s="15">
        <f t="shared" si="10"/>
        <v>105.03285351031511</v>
      </c>
      <c r="K18" s="12">
        <v>30.162600000000001</v>
      </c>
      <c r="L18" s="6">
        <v>44.043940999999997</v>
      </c>
      <c r="M18" s="13">
        <f t="shared" si="1"/>
        <v>9392.5052071889695</v>
      </c>
      <c r="N18" s="13">
        <f t="shared" si="3"/>
        <v>7254.8287628891403</v>
      </c>
      <c r="O18" s="13">
        <f t="shared" si="2"/>
        <v>652.49479281767174</v>
      </c>
      <c r="P18" s="13">
        <f t="shared" si="0"/>
        <v>577.18405476136002</v>
      </c>
      <c r="Q18" s="13">
        <f t="shared" si="5"/>
        <v>535.791622250655</v>
      </c>
      <c r="R18" s="13">
        <f t="shared" si="11"/>
        <v>-41.392432510705021</v>
      </c>
      <c r="S18" s="16">
        <f t="shared" si="6"/>
        <v>0.17885686116061841</v>
      </c>
      <c r="T18" s="13">
        <f t="shared" si="7"/>
        <v>7038.5896011889699</v>
      </c>
      <c r="U18" s="13">
        <f t="shared" si="20"/>
        <v>4900.9131568891407</v>
      </c>
      <c r="V18" s="6">
        <f t="shared" si="8"/>
        <v>0.25061637487284288</v>
      </c>
      <c r="W18" s="6">
        <f t="shared" si="9"/>
        <v>151.20074535522966</v>
      </c>
      <c r="X18" s="6">
        <f t="shared" si="21"/>
        <v>305.40550672962439</v>
      </c>
      <c r="Y18" s="14">
        <f>'[1]rama-C'!AD17</f>
        <v>6.9469729153650739E-2</v>
      </c>
      <c r="Z18" s="16">
        <f t="shared" si="12"/>
        <v>13.136804139681312</v>
      </c>
      <c r="AA18" s="16">
        <f t="shared" si="17"/>
        <v>-5.8807850515553489E-3</v>
      </c>
      <c r="AB18" s="16">
        <f t="shared" si="18"/>
        <v>0.1093248554093436</v>
      </c>
      <c r="AC18" s="18">
        <f t="shared" si="19"/>
        <v>3.4243627065773531E-2</v>
      </c>
      <c r="AF18" s="13">
        <f t="shared" si="13"/>
        <v>3168.0639472902308</v>
      </c>
      <c r="AG18" s="13">
        <f t="shared" si="13"/>
        <v>4626.0608030699614</v>
      </c>
      <c r="AH18" s="13">
        <f t="shared" si="14"/>
        <v>1457.9968557797306</v>
      </c>
      <c r="AI18" s="16">
        <f t="shared" si="15"/>
        <v>7.4081669748767634E-2</v>
      </c>
      <c r="AK18" s="17">
        <f t="shared" si="16"/>
        <v>0.16097117504455655</v>
      </c>
    </row>
    <row r="19" spans="1:37">
      <c r="A19" s="6">
        <v>2017</v>
      </c>
      <c r="B19" s="11">
        <v>484141525416.43597</v>
      </c>
      <c r="C19" s="11">
        <v>273206637485.992</v>
      </c>
      <c r="D19" s="11">
        <v>209773097223.23999</v>
      </c>
      <c r="E19" s="11">
        <v>456886334306.29199</v>
      </c>
      <c r="F19" s="11">
        <v>47598174688.954308</v>
      </c>
      <c r="G19" s="11">
        <v>17036239960.98</v>
      </c>
      <c r="H19" s="15">
        <v>2159.4332289999998</v>
      </c>
      <c r="I19" s="15">
        <v>109.68600650032801</v>
      </c>
      <c r="J19" s="15">
        <f t="shared" si="10"/>
        <v>98.717405850295208</v>
      </c>
      <c r="K19" s="12">
        <v>28.65</v>
      </c>
      <c r="L19" s="6">
        <v>44.520021999999997</v>
      </c>
      <c r="M19" s="13">
        <f t="shared" si="1"/>
        <v>9536.0082892143801</v>
      </c>
      <c r="N19" s="13">
        <f t="shared" si="3"/>
        <v>7321.9231142492154</v>
      </c>
      <c r="O19" s="13">
        <f t="shared" si="2"/>
        <v>1661.3673538902028</v>
      </c>
      <c r="P19" s="13">
        <f t="shared" si="0"/>
        <v>594.63315745130899</v>
      </c>
      <c r="Q19" s="13">
        <f t="shared" si="5"/>
        <v>1551.6813473898749</v>
      </c>
      <c r="R19" s="13">
        <f t="shared" si="11"/>
        <v>957.04818993856588</v>
      </c>
      <c r="S19" s="16">
        <f t="shared" si="6"/>
        <v>6.6021525127173644E-2</v>
      </c>
      <c r="T19" s="13">
        <f>M19-H19</f>
        <v>7376.5750602143798</v>
      </c>
      <c r="U19" s="13">
        <f t="shared" si="20"/>
        <v>5162.4898852492151</v>
      </c>
      <c r="V19" s="6">
        <f t="shared" si="8"/>
        <v>0.22645043539259588</v>
      </c>
      <c r="W19" s="6">
        <f t="shared" si="9"/>
        <v>138.70841968055259</v>
      </c>
      <c r="X19" s="6">
        <f t="shared" si="21"/>
        <v>308.22996820838978</v>
      </c>
      <c r="Y19" s="14">
        <f>'[1]rama-C'!AD18</f>
        <v>0.174220418387144</v>
      </c>
      <c r="Z19" s="16">
        <f t="shared" si="12"/>
        <v>4.7539239113898715</v>
      </c>
      <c r="AA19" s="16">
        <f t="shared" si="17"/>
        <v>0.12974153751927686</v>
      </c>
      <c r="AB19" s="16">
        <f t="shared" si="18"/>
        <v>0.30056840437082399</v>
      </c>
      <c r="AC19" s="18">
        <f t="shared" si="19"/>
        <v>3.4243627065773531E-2</v>
      </c>
      <c r="AF19" s="13">
        <f t="shared" si="13"/>
        <v>2828.2536776109578</v>
      </c>
      <c r="AG19" s="13">
        <f t="shared" si="13"/>
        <v>4394.9010802380708</v>
      </c>
      <c r="AH19" s="13">
        <f t="shared" si="14"/>
        <v>1566.647402627113</v>
      </c>
      <c r="AI19" s="16">
        <f t="shared" si="15"/>
        <v>3.2914022709166435E-2</v>
      </c>
      <c r="AK19" s="17">
        <f t="shared" si="16"/>
        <v>5.9419372614456283E-2</v>
      </c>
    </row>
    <row r="20" spans="1:37">
      <c r="A20" s="6">
        <v>2018</v>
      </c>
      <c r="B20" s="11">
        <v>570036849535.36304</v>
      </c>
      <c r="C20" s="11">
        <v>303469927276</v>
      </c>
      <c r="D20" s="11">
        <v>230944653073.897</v>
      </c>
      <c r="E20" s="11">
        <v>466608647222.88</v>
      </c>
      <c r="F20" s="11">
        <v>73700680952.003464</v>
      </c>
      <c r="G20" s="11">
        <v>21403883661.212399</v>
      </c>
      <c r="H20" s="15">
        <v>2408.2764909999996</v>
      </c>
      <c r="I20" s="15">
        <v>118.23441397041888</v>
      </c>
      <c r="J20" s="15">
        <f t="shared" si="10"/>
        <v>106.41097257337699</v>
      </c>
      <c r="K20" s="12">
        <v>30.77</v>
      </c>
      <c r="L20" s="6">
        <v>47.589359999999999</v>
      </c>
      <c r="M20" s="13">
        <f t="shared" si="1"/>
        <v>9862.5260733181676</v>
      </c>
      <c r="N20" s="13">
        <f t="shared" si="3"/>
        <v>7505.5135870619761</v>
      </c>
      <c r="O20" s="13">
        <f t="shared" si="2"/>
        <v>2395.2122506338469</v>
      </c>
      <c r="P20" s="13">
        <f t="shared" si="0"/>
        <v>695.60882876868379</v>
      </c>
      <c r="Q20" s="13">
        <f t="shared" si="5"/>
        <v>2276.9778366634282</v>
      </c>
      <c r="R20" s="13">
        <f t="shared" si="11"/>
        <v>1581.3690078947443</v>
      </c>
      <c r="S20" s="16">
        <f t="shared" si="6"/>
        <v>4.9362812810902421E-2</v>
      </c>
      <c r="T20" s="13">
        <f>M20-H20</f>
        <v>7454.249582318168</v>
      </c>
      <c r="U20" s="13">
        <f t="shared" si="20"/>
        <v>5097.2370960619764</v>
      </c>
      <c r="V20" s="6">
        <f t="shared" si="8"/>
        <v>0.24418454999224701</v>
      </c>
      <c r="W20" s="6">
        <f t="shared" si="9"/>
        <v>154.69254697684224</v>
      </c>
      <c r="X20" s="6">
        <f t="shared" si="21"/>
        <v>315.95855053784828</v>
      </c>
      <c r="Y20" s="14">
        <f>'[1]rama-C'!AD19</f>
        <v>0.24285991568770546</v>
      </c>
      <c r="Z20" s="16">
        <f t="shared" si="12"/>
        <v>3.2737470968278113</v>
      </c>
      <c r="AA20" s="16">
        <f t="shared" si="17"/>
        <v>0.21214328691728088</v>
      </c>
      <c r="AB20" s="16">
        <f t="shared" si="18"/>
        <v>0.44670824482984633</v>
      </c>
      <c r="AC20" s="18">
        <f t="shared" si="19"/>
        <v>3.4243627065773531E-2</v>
      </c>
      <c r="AF20" s="13">
        <f t="shared" si="13"/>
        <v>3274.2656260828103</v>
      </c>
      <c r="AG20" s="13">
        <f t="shared" si="13"/>
        <v>5064.0300817445641</v>
      </c>
      <c r="AH20" s="13">
        <f t="shared" si="14"/>
        <v>1789.7644556617538</v>
      </c>
      <c r="AI20" s="16">
        <f t="shared" si="15"/>
        <v>2.4284232283108931E-2</v>
      </c>
      <c r="AK20" s="17">
        <f t="shared" si="16"/>
        <v>4.4426531529812185E-2</v>
      </c>
    </row>
    <row r="21" spans="1:37">
      <c r="A21" s="6">
        <v>2019</v>
      </c>
      <c r="B21" s="11">
        <v>601651424497</v>
      </c>
      <c r="C21" s="11">
        <v>338490559626.54498</v>
      </c>
      <c r="D21" s="11">
        <v>259048160897</v>
      </c>
      <c r="E21" s="11">
        <v>479657109055.97601</v>
      </c>
      <c r="F21" s="11">
        <v>57159845925.725655</v>
      </c>
      <c r="G21" s="11">
        <v>30759048024</v>
      </c>
      <c r="H21" s="15">
        <v>2177.6591509999998</v>
      </c>
      <c r="I21" s="15">
        <v>123.64706340753941</v>
      </c>
      <c r="J21" s="15">
        <f t="shared" si="10"/>
        <v>111.28235706678547</v>
      </c>
      <c r="K21" s="12">
        <v>35.299999999999997</v>
      </c>
      <c r="L21" s="6">
        <v>50.391058999999998</v>
      </c>
      <c r="M21" s="13">
        <f t="shared" si="1"/>
        <v>9588.9676948029755</v>
      </c>
      <c r="N21" s="13">
        <f t="shared" si="3"/>
        <v>7338.4748129461768</v>
      </c>
      <c r="O21" s="13">
        <f t="shared" si="2"/>
        <v>1619.2590913803303</v>
      </c>
      <c r="P21" s="13">
        <f t="shared" si="0"/>
        <v>871.36113382436258</v>
      </c>
      <c r="Q21" s="13">
        <f t="shared" si="5"/>
        <v>1495.6120279727909</v>
      </c>
      <c r="R21" s="13">
        <f t="shared" si="11"/>
        <v>624.2508941484283</v>
      </c>
      <c r="S21" s="16">
        <f t="shared" si="6"/>
        <v>7.636027122882294E-2</v>
      </c>
      <c r="T21" s="13">
        <f t="shared" si="7"/>
        <v>7411.3085438029757</v>
      </c>
      <c r="U21" s="13">
        <f t="shared" si="20"/>
        <v>5160.815661946177</v>
      </c>
      <c r="V21" s="6">
        <f t="shared" si="8"/>
        <v>0.22710047841544473</v>
      </c>
      <c r="W21" s="6">
        <f t="shared" si="9"/>
        <v>139.87913836909098</v>
      </c>
      <c r="X21" s="6">
        <f t="shared" si="21"/>
        <v>308.9267427420134</v>
      </c>
      <c r="Y21" s="14">
        <f>'[1]rama-C'!AD20</f>
        <v>0.16886688358100693</v>
      </c>
      <c r="Z21" s="16">
        <f t="shared" si="12"/>
        <v>4.9553683744096011</v>
      </c>
      <c r="AA21" s="16">
        <f t="shared" si="17"/>
        <v>8.4229510950586534E-2</v>
      </c>
      <c r="AB21" s="16">
        <f t="shared" si="18"/>
        <v>0.28980148215733514</v>
      </c>
      <c r="AC21" s="18">
        <f t="shared" si="19"/>
        <v>3.4243627065773531E-2</v>
      </c>
      <c r="AF21" s="13">
        <f t="shared" si="13"/>
        <v>3928.2672044575265</v>
      </c>
      <c r="AG21" s="13">
        <f t="shared" si="13"/>
        <v>5607.6358206114528</v>
      </c>
      <c r="AH21" s="13">
        <f t="shared" si="14"/>
        <v>1679.3686161539263</v>
      </c>
      <c r="AI21" s="16">
        <f t="shared" si="15"/>
        <v>2.9380215935783358E-2</v>
      </c>
      <c r="AK21" s="17">
        <f t="shared" si="16"/>
        <v>6.8724244105940649E-2</v>
      </c>
    </row>
    <row r="22" spans="1:37">
      <c r="A22" s="6">
        <v>2020</v>
      </c>
      <c r="B22" s="11">
        <v>600817528391.49805</v>
      </c>
      <c r="C22" s="11">
        <v>376276396874.06097</v>
      </c>
      <c r="D22" s="11">
        <v>296322600807.052</v>
      </c>
      <c r="E22" s="11">
        <v>448150142520.28198</v>
      </c>
      <c r="F22" s="11">
        <v>55200295364.4925</v>
      </c>
      <c r="G22" s="11">
        <v>40941559983.906898</v>
      </c>
      <c r="H22" s="15">
        <v>2172.8074104583329</v>
      </c>
      <c r="I22" s="15">
        <v>106.45435055182325</v>
      </c>
      <c r="J22" s="15">
        <f t="shared" si="10"/>
        <v>95.808915496640935</v>
      </c>
      <c r="K22" s="12">
        <v>42</v>
      </c>
      <c r="L22" s="6">
        <v>57.605680999999997</v>
      </c>
      <c r="M22" s="13">
        <f t="shared" si="1"/>
        <v>8958.9618303347852</v>
      </c>
      <c r="N22" s="13">
        <f t="shared" si="3"/>
        <v>7055.3000192155241</v>
      </c>
      <c r="O22" s="13">
        <f t="shared" si="2"/>
        <v>1314.2927467736308</v>
      </c>
      <c r="P22" s="13">
        <f t="shared" si="0"/>
        <v>974.79904723587856</v>
      </c>
      <c r="Q22" s="13">
        <f t="shared" si="5"/>
        <v>1207.8383962218077</v>
      </c>
      <c r="R22" s="13">
        <f t="shared" si="11"/>
        <v>233.03934898592911</v>
      </c>
      <c r="S22" s="16">
        <f t="shared" si="6"/>
        <v>8.0997442018264879E-2</v>
      </c>
      <c r="T22" s="13">
        <f t="shared" si="7"/>
        <v>6786.1544198764523</v>
      </c>
      <c r="U22" s="13">
        <f t="shared" si="20"/>
        <v>4882.4926087571912</v>
      </c>
      <c r="V22" s="6">
        <f t="shared" si="8"/>
        <v>0.24252892819581728</v>
      </c>
      <c r="W22" s="6">
        <f t="shared" si="9"/>
        <v>139.56749304744039</v>
      </c>
      <c r="X22" s="6">
        <f t="shared" si="21"/>
        <v>297.00597325193849</v>
      </c>
      <c r="Y22" s="14">
        <f>'[1]rama-C'!AD21</f>
        <v>0.14670145622492484</v>
      </c>
      <c r="Z22" s="16">
        <f t="shared" si="12"/>
        <v>5.6184291218957423</v>
      </c>
      <c r="AA22" s="16">
        <f t="shared" si="17"/>
        <v>3.4340413519527865E-2</v>
      </c>
      <c r="AB22" s="16">
        <f t="shared" si="18"/>
        <v>0.24738151043084847</v>
      </c>
      <c r="AC22" s="18">
        <f t="shared" si="19"/>
        <v>3.4243627065773531E-2</v>
      </c>
      <c r="AF22" s="13">
        <f t="shared" si="13"/>
        <v>4023.9744508589192</v>
      </c>
      <c r="AG22" s="13">
        <f t="shared" si="13"/>
        <v>5519.1378230554537</v>
      </c>
      <c r="AH22" s="13">
        <f t="shared" si="14"/>
        <v>1495.1633721965345</v>
      </c>
      <c r="AI22" s="16">
        <f t="shared" si="15"/>
        <v>2.7086148041850805E-2</v>
      </c>
      <c r="AK22" s="17">
        <f t="shared" si="16"/>
        <v>7.2897697816438387E-2</v>
      </c>
    </row>
    <row r="23" spans="1:37">
      <c r="A23" s="6">
        <v>2021</v>
      </c>
      <c r="B23" s="11">
        <v>740451400483.521</v>
      </c>
      <c r="C23" s="11">
        <v>469698711522.27502</v>
      </c>
      <c r="D23" s="11">
        <v>377193985828.289</v>
      </c>
      <c r="E23" s="11">
        <v>457591011871.85199</v>
      </c>
      <c r="F23" s="11">
        <v>109339487870.68243</v>
      </c>
      <c r="G23" s="11">
        <v>83942983585.564697</v>
      </c>
      <c r="H23" s="15">
        <v>2232.9524127291666</v>
      </c>
      <c r="I23" s="15">
        <v>86.973256090721023</v>
      </c>
      <c r="J23" s="15">
        <f t="shared" si="10"/>
        <v>78.275930481648928</v>
      </c>
      <c r="K23" s="12">
        <v>43.56</v>
      </c>
      <c r="L23" s="6">
        <v>58.976208</v>
      </c>
      <c r="M23" s="13">
        <f t="shared" si="1"/>
        <v>10782.798703449838</v>
      </c>
      <c r="N23" s="13">
        <f t="shared" si="3"/>
        <v>8659.1824111177448</v>
      </c>
      <c r="O23" s="13">
        <f t="shared" si="2"/>
        <v>2510.0892532296243</v>
      </c>
      <c r="P23" s="13">
        <f t="shared" si="0"/>
        <v>1927.0657388788954</v>
      </c>
      <c r="Q23" s="13">
        <f t="shared" si="5"/>
        <v>2423.1159971389034</v>
      </c>
      <c r="R23" s="13">
        <f t="shared" si="11"/>
        <v>496.05025826000792</v>
      </c>
      <c r="S23" s="16">
        <f t="shared" si="6"/>
        <v>3.4649467535393913E-2</v>
      </c>
      <c r="T23" s="13">
        <f t="shared" si="7"/>
        <v>8549.8462907206722</v>
      </c>
      <c r="U23" s="13">
        <f t="shared" si="20"/>
        <v>6426.2299983885787</v>
      </c>
      <c r="V23" s="6">
        <f t="shared" si="8"/>
        <v>0.20708467941766898</v>
      </c>
      <c r="W23" s="6">
        <f t="shared" si="9"/>
        <v>143.43083001226699</v>
      </c>
      <c r="X23" s="6">
        <f t="shared" si="21"/>
        <v>364.52438487031964</v>
      </c>
      <c r="Y23" s="14">
        <f>'[1]rama-C'!AD22</f>
        <v>0.23278643349120004</v>
      </c>
      <c r="Z23" s="16">
        <f t="shared" si="12"/>
        <v>3.5284510938873384</v>
      </c>
      <c r="AA23" s="16">
        <f t="shared" si="17"/>
        <v>5.8018617106412977E-2</v>
      </c>
      <c r="AB23" s="16">
        <f t="shared" si="18"/>
        <v>0.37706649120036417</v>
      </c>
      <c r="AC23" s="18">
        <f t="shared" si="19"/>
        <v>3.4243627065773531E-2</v>
      </c>
      <c r="AF23" s="13">
        <f t="shared" si="13"/>
        <v>3409.6995317806272</v>
      </c>
      <c r="AG23" s="13">
        <f t="shared" si="13"/>
        <v>4616.4175574792671</v>
      </c>
      <c r="AH23" s="13">
        <f t="shared" si="14"/>
        <v>1206.7180256986398</v>
      </c>
      <c r="AI23" s="16">
        <f t="shared" si="15"/>
        <v>1.1036433855679336E-2</v>
      </c>
      <c r="AK23" s="17">
        <f t="shared" si="16"/>
        <v>3.1184520781854526E-2</v>
      </c>
    </row>
    <row r="24" spans="1:37">
      <c r="A24" s="6">
        <v>2022</v>
      </c>
      <c r="B24" s="11">
        <v>887448109461.11902</v>
      </c>
      <c r="C24" s="11">
        <v>507413899940.41602</v>
      </c>
      <c r="D24" s="11">
        <v>392603477898.92603</v>
      </c>
      <c r="E24" s="11">
        <v>456462007528.55499</v>
      </c>
      <c r="F24" s="11">
        <v>110876730077.23088</v>
      </c>
      <c r="G24" s="11">
        <v>69687013752.249298</v>
      </c>
      <c r="H24" s="15">
        <v>2453.2461271867433</v>
      </c>
      <c r="I24" s="15">
        <v>113.81052630549033</v>
      </c>
      <c r="J24" s="15">
        <f t="shared" si="10"/>
        <v>102.42947367494129</v>
      </c>
      <c r="K24" s="12">
        <v>41.3</v>
      </c>
      <c r="L24" s="6">
        <v>58.134197</v>
      </c>
      <c r="M24" s="13">
        <f t="shared" si="1"/>
        <v>12286.050846014918</v>
      </c>
      <c r="N24" s="13">
        <f t="shared" si="3"/>
        <v>9506.1374793928826</v>
      </c>
      <c r="O24" s="13">
        <f t="shared" si="2"/>
        <v>2684.6665878264134</v>
      </c>
      <c r="P24" s="13">
        <f t="shared" si="0"/>
        <v>1687.336894727586</v>
      </c>
      <c r="Q24" s="13">
        <f t="shared" si="5"/>
        <v>2570.856061520923</v>
      </c>
      <c r="R24" s="13">
        <f t="shared" si="11"/>
        <v>883.51916679333704</v>
      </c>
      <c r="S24" s="16">
        <f t="shared" si="6"/>
        <v>4.2392797236559171E-2</v>
      </c>
      <c r="T24" s="13">
        <f t="shared" si="7"/>
        <v>9832.8047188281744</v>
      </c>
      <c r="U24" s="13">
        <f t="shared" si="20"/>
        <v>7052.8913522061393</v>
      </c>
      <c r="V24" s="6">
        <f t="shared" si="8"/>
        <v>0.19967735425598324</v>
      </c>
      <c r="W24" s="6">
        <f t="shared" si="9"/>
        <v>157.58111379396078</v>
      </c>
      <c r="X24" s="6">
        <f t="shared" si="21"/>
        <v>400.17853333581456</v>
      </c>
      <c r="Y24" s="14">
        <f>'[1]rama-C'!AD23</f>
        <v>0.21851338737517986</v>
      </c>
      <c r="Z24" s="16">
        <f t="shared" si="12"/>
        <v>3.8247200479248415</v>
      </c>
      <c r="AA24" s="16">
        <f t="shared" si="17"/>
        <v>8.9854237123365807E-2</v>
      </c>
      <c r="AB24" s="16">
        <f t="shared" si="18"/>
        <v>0.36451094071040258</v>
      </c>
      <c r="AC24" s="18">
        <f t="shared" si="19"/>
        <v>3.4243627065773531E-2</v>
      </c>
      <c r="AF24" s="13">
        <f t="shared" si="13"/>
        <v>4230.337262775075</v>
      </c>
      <c r="AG24" s="13">
        <f t="shared" si="13"/>
        <v>5954.6552012253514</v>
      </c>
      <c r="AH24" s="13">
        <f t="shared" si="14"/>
        <v>1724.3179384502764</v>
      </c>
      <c r="AI24" s="16">
        <f t="shared" si="15"/>
        <v>1.5551666587292099E-2</v>
      </c>
      <c r="AK24" s="17">
        <f t="shared" si="16"/>
        <v>3.8153517512903252E-2</v>
      </c>
    </row>
    <row r="25" spans="1:37">
      <c r="A25" s="6">
        <v>2023</v>
      </c>
      <c r="B25" s="11">
        <v>809592502649.11304</v>
      </c>
      <c r="C25" s="11">
        <v>510913341922.44598</v>
      </c>
      <c r="D25" s="11">
        <v>402462792005.25299</v>
      </c>
      <c r="E25" s="11">
        <v>465889304287.64502</v>
      </c>
      <c r="F25" s="11">
        <v>71043588447.21463</v>
      </c>
      <c r="G25" s="11">
        <v>56457788625.375702</v>
      </c>
      <c r="H25" s="15">
        <v>2596.6552987203804</v>
      </c>
      <c r="I25" s="15">
        <v>160.27275777475361</v>
      </c>
      <c r="J25" s="15">
        <f t="shared" si="10"/>
        <v>144.24548199727826</v>
      </c>
      <c r="K25" s="12">
        <v>38.695</v>
      </c>
      <c r="L25" s="6">
        <v>60.006461000000002</v>
      </c>
      <c r="M25" s="13">
        <f t="shared" si="1"/>
        <v>13203.601031721048</v>
      </c>
      <c r="N25" s="13">
        <f t="shared" si="3"/>
        <v>10400.899134390826</v>
      </c>
      <c r="O25" s="13">
        <f t="shared" si="2"/>
        <v>1835.9888473243218</v>
      </c>
      <c r="P25" s="13">
        <f t="shared" si="0"/>
        <v>1459.0460944663575</v>
      </c>
      <c r="Q25" s="13">
        <f t="shared" si="5"/>
        <v>1675.7160895495681</v>
      </c>
      <c r="R25" s="13">
        <f t="shared" si="11"/>
        <v>216.66999508321055</v>
      </c>
      <c r="S25" s="16">
        <f t="shared" si="6"/>
        <v>8.7295060647196804E-2</v>
      </c>
      <c r="T25" s="13">
        <f t="shared" si="7"/>
        <v>10606.945733000666</v>
      </c>
      <c r="U25" s="13">
        <f t="shared" si="20"/>
        <v>7804.2438356704452</v>
      </c>
      <c r="V25" s="6">
        <f t="shared" si="8"/>
        <v>0.19666265986695863</v>
      </c>
      <c r="W25" s="6">
        <f t="shared" si="9"/>
        <v>166.79281771885584</v>
      </c>
      <c r="X25" s="6">
        <f t="shared" si="21"/>
        <v>437.84518896312943</v>
      </c>
      <c r="Y25" s="14">
        <f>'[1]rama-C'!AD24</f>
        <v>0.13905213001464087</v>
      </c>
      <c r="Z25" s="16">
        <f t="shared" si="12"/>
        <v>6.3297988240071206</v>
      </c>
      <c r="AA25" s="16">
        <f t="shared" si="17"/>
        <v>2.0427180503912637E-2</v>
      </c>
      <c r="AB25" s="16">
        <f t="shared" si="18"/>
        <v>0.21471857169434674</v>
      </c>
      <c r="AC25" s="18">
        <f t="shared" si="19"/>
        <v>3.4243627065773531E-2</v>
      </c>
      <c r="AF25" s="13">
        <f t="shared" si="13"/>
        <v>5581.5789258846826</v>
      </c>
      <c r="AG25" s="13">
        <f t="shared" si="13"/>
        <v>8655.6608898958802</v>
      </c>
      <c r="AH25" s="13">
        <f t="shared" si="14"/>
        <v>3074.0819640111977</v>
      </c>
      <c r="AI25" s="16">
        <f t="shared" si="15"/>
        <v>4.3270364450906644E-2</v>
      </c>
      <c r="AK25" s="17">
        <f t="shared" si="16"/>
        <v>7.8565554582477132E-2</v>
      </c>
    </row>
    <row r="26" spans="1:37">
      <c r="A26" s="6">
        <v>2024</v>
      </c>
      <c r="B26" s="11">
        <v>858071607633.11902</v>
      </c>
      <c r="C26" s="11">
        <v>550965223542.48206</v>
      </c>
      <c r="D26" s="11">
        <v>436965957591.82397</v>
      </c>
      <c r="E26" s="11">
        <v>483989418307.88702</v>
      </c>
      <c r="F26" s="11">
        <v>80163642511.139069</v>
      </c>
      <c r="G26" s="11">
        <v>43801057524.488998</v>
      </c>
      <c r="H26" s="15">
        <v>2506.6900498683785</v>
      </c>
      <c r="I26" s="15">
        <v>156.51050634763018</v>
      </c>
      <c r="J26" s="15">
        <f t="shared" si="10"/>
        <v>140.85945571286717</v>
      </c>
      <c r="K26" s="12">
        <v>40.234999999999999</v>
      </c>
      <c r="L26" s="6">
        <v>61.848213999999999</v>
      </c>
      <c r="M26" s="13">
        <f t="shared" si="1"/>
        <v>13693.6802172855</v>
      </c>
      <c r="N26" s="13">
        <f t="shared" si="3"/>
        <v>10860.344416349546</v>
      </c>
      <c r="O26" s="13">
        <f t="shared" si="2"/>
        <v>1992.3857962256511</v>
      </c>
      <c r="P26" s="13">
        <f>G26/K26/1000000</f>
        <v>1088.6307325584439</v>
      </c>
      <c r="Q26" s="13">
        <f t="shared" si="5"/>
        <v>1835.875289878021</v>
      </c>
      <c r="R26" s="13">
        <f t="shared" si="11"/>
        <v>747.2445573195771</v>
      </c>
      <c r="S26" s="16">
        <f t="shared" si="6"/>
        <v>7.8554317464078288E-2</v>
      </c>
      <c r="T26" s="13">
        <f t="shared" si="7"/>
        <v>11186.990167417121</v>
      </c>
      <c r="U26" s="13">
        <f t="shared" si="20"/>
        <v>8353.654366481167</v>
      </c>
      <c r="V26" s="6">
        <f t="shared" si="8"/>
        <v>0.18305451931791059</v>
      </c>
      <c r="W26" s="6">
        <f t="shared" si="9"/>
        <v>161.01401551888802</v>
      </c>
      <c r="X26" s="6">
        <f t="shared" si="21"/>
        <v>457.18639242046078</v>
      </c>
      <c r="Y26" s="14">
        <f>'[1]rama-C'!AD25</f>
        <v>0.14549673751769573</v>
      </c>
      <c r="Z26" s="16">
        <f t="shared" si="12"/>
        <v>6.0935458029724918</v>
      </c>
      <c r="AA26" s="16">
        <f t="shared" si="17"/>
        <v>6.6795853588570972E-2</v>
      </c>
      <c r="AB26" s="16">
        <f t="shared" si="18"/>
        <v>0.21976912251055364</v>
      </c>
      <c r="AC26" s="18">
        <f t="shared" si="19"/>
        <v>3.4243627065773531E-2</v>
      </c>
      <c r="AF26" s="13">
        <f t="shared" si="13"/>
        <v>5667.4802006072105</v>
      </c>
      <c r="AG26" s="13">
        <f t="shared" si="13"/>
        <v>8711.9057608529311</v>
      </c>
      <c r="AH26" s="13">
        <f t="shared" si="14"/>
        <v>3044.4255602457206</v>
      </c>
      <c r="AI26" s="16">
        <f t="shared" si="15"/>
        <v>3.7977635058470363E-2</v>
      </c>
      <c r="AK26" s="17">
        <f>(AF26*1000000)/F26</f>
        <v>7.0698885717670454E-2</v>
      </c>
    </row>
    <row r="27" spans="1:37">
      <c r="A27" s="6">
        <v>2025</v>
      </c>
      <c r="H27" s="15">
        <v>2704.0962738723397</v>
      </c>
      <c r="I27" s="15">
        <v>144.46262569326208</v>
      </c>
      <c r="J27" s="15">
        <f t="shared" si="10"/>
        <v>130.01636312393589</v>
      </c>
      <c r="K27" s="12">
        <v>41.08</v>
      </c>
      <c r="L27" s="6">
        <v>62.865715000000002</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F163-3600-4BE7-9B7C-36593B0A177F}">
  <dimension ref="A1:M31"/>
  <sheetViews>
    <sheetView showGridLines="0" workbookViewId="0">
      <pane xSplit="1" ySplit="4" topLeftCell="B23" activePane="bottomRight" state="frozen"/>
      <selection pane="topRight" activeCell="B1" sqref="B1"/>
      <selection pane="bottomLeft" activeCell="A5" sqref="A5"/>
      <selection pane="bottomRight" activeCell="E31" sqref="C31:E31"/>
    </sheetView>
  </sheetViews>
  <sheetFormatPr baseColWidth="10" defaultRowHeight="12.75"/>
  <cols>
    <col min="1" max="1" width="11.85546875" style="20" bestFit="1" customWidth="1"/>
    <col min="2" max="2" width="19" style="20" bestFit="1" customWidth="1"/>
    <col min="3" max="3" width="19" style="20" customWidth="1"/>
    <col min="4" max="5" width="11" style="20" customWidth="1"/>
    <col min="6" max="6" width="9" style="20" customWidth="1"/>
    <col min="7" max="7" width="18.140625" style="20" customWidth="1"/>
    <col min="8" max="8" width="16.7109375" style="20" customWidth="1"/>
    <col min="9" max="9" width="30" style="20" customWidth="1"/>
    <col min="10" max="10" width="16.7109375" style="20" customWidth="1"/>
    <col min="11" max="11" width="18" style="20" bestFit="1" customWidth="1"/>
    <col min="12" max="12" width="17.140625" style="20" customWidth="1"/>
    <col min="13" max="16384" width="11.42578125" style="20"/>
  </cols>
  <sheetData>
    <row r="1" spans="1:13" ht="32.25" customHeight="1">
      <c r="A1" s="19" t="s">
        <v>57</v>
      </c>
    </row>
    <row r="4" spans="1:13" ht="79.5" customHeight="1">
      <c r="B4" s="2" t="s">
        <v>58</v>
      </c>
      <c r="C4" s="2" t="s">
        <v>59</v>
      </c>
      <c r="D4" s="2" t="s">
        <v>20</v>
      </c>
      <c r="E4" s="2" t="s">
        <v>21</v>
      </c>
      <c r="F4" s="2" t="s">
        <v>60</v>
      </c>
      <c r="G4" s="21" t="s">
        <v>61</v>
      </c>
      <c r="H4" s="21" t="s">
        <v>62</v>
      </c>
      <c r="I4" s="21" t="s">
        <v>63</v>
      </c>
      <c r="J4" s="21" t="s">
        <v>64</v>
      </c>
    </row>
    <row r="5" spans="1:13" ht="17.25" customHeight="1">
      <c r="A5" s="20">
        <v>2000</v>
      </c>
      <c r="B5" s="22">
        <f>[2]Base!$AU3</f>
        <v>2161817</v>
      </c>
      <c r="C5" s="22">
        <f>B5*0.95</f>
        <v>2053726.15</v>
      </c>
      <c r="D5" s="3">
        <v>12.114924999999999</v>
      </c>
      <c r="E5" s="3">
        <v>17.830572</v>
      </c>
      <c r="F5" s="5">
        <f t="shared" ref="F5:F28" si="0">E5/D5-1</f>
        <v>0.47178558678654636</v>
      </c>
      <c r="G5" s="23">
        <f>C5*D5</f>
        <v>24880738.277788747</v>
      </c>
      <c r="H5" s="23">
        <f>C5*E5</f>
        <v>36619111.9858578</v>
      </c>
      <c r="I5" s="23">
        <f>H5-G5</f>
        <v>11738373.708069053</v>
      </c>
      <c r="J5" s="24">
        <f>I5/G5</f>
        <v>0.47178558678654653</v>
      </c>
    </row>
    <row r="6" spans="1:13">
      <c r="A6" s="20">
        <v>2001</v>
      </c>
      <c r="B6" s="22">
        <f>[2]Base!$AU4</f>
        <v>1894160</v>
      </c>
      <c r="C6" s="22">
        <f t="shared" ref="C6:C29" si="1">B6*0.95</f>
        <v>1799452</v>
      </c>
      <c r="D6" s="4">
        <v>13.408852</v>
      </c>
      <c r="E6" s="4">
        <v>19.078999</v>
      </c>
      <c r="F6" s="5">
        <f t="shared" si="0"/>
        <v>0.42286595452019315</v>
      </c>
      <c r="G6" s="23">
        <f>C6*D6</f>
        <v>24128585.549103998</v>
      </c>
      <c r="H6" s="23">
        <f t="shared" ref="H6:H29" si="2">C6*E6</f>
        <v>34331742.908547997</v>
      </c>
      <c r="I6" s="23">
        <f t="shared" ref="I6:I29" si="3">H6-G6</f>
        <v>10203157.359444</v>
      </c>
      <c r="J6" s="24">
        <f t="shared" ref="J6:J29" si="4">I6/G6</f>
        <v>0.4228659545201931</v>
      </c>
      <c r="K6" s="22">
        <v>89240215000</v>
      </c>
      <c r="L6" s="23">
        <f>G6*1000</f>
        <v>24128585549.103996</v>
      </c>
      <c r="M6" s="20">
        <f>L6/K6</f>
        <v>0.27037794058546361</v>
      </c>
    </row>
    <row r="7" spans="1:13">
      <c r="A7" s="20">
        <v>2002</v>
      </c>
      <c r="B7" s="22">
        <f>[2]Base!$AU5</f>
        <v>1693280</v>
      </c>
      <c r="C7" s="22">
        <f t="shared" si="1"/>
        <v>1608616</v>
      </c>
      <c r="D7" s="3">
        <v>21.587268000000002</v>
      </c>
      <c r="E7" s="3">
        <v>22.652647000000002</v>
      </c>
      <c r="F7" s="5">
        <f t="shared" si="0"/>
        <v>4.9352192227381408E-2</v>
      </c>
      <c r="G7" s="23">
        <f t="shared" ref="G7:G29" si="5">C7*D7</f>
        <v>34725624.701088004</v>
      </c>
      <c r="H7" s="23">
        <f t="shared" si="2"/>
        <v>36439410.406552002</v>
      </c>
      <c r="I7" s="23">
        <f t="shared" si="3"/>
        <v>1713785.705463998</v>
      </c>
      <c r="J7" s="24">
        <f t="shared" si="4"/>
        <v>4.9352192227381374E-2</v>
      </c>
      <c r="K7" s="22">
        <v>104934883446</v>
      </c>
      <c r="L7" s="23">
        <f t="shared" ref="L7:L29" si="6">G7*1000</f>
        <v>34725624701.088005</v>
      </c>
      <c r="M7" s="20">
        <f t="shared" ref="M7:M29" si="7">L7/K7</f>
        <v>0.33092546120716837</v>
      </c>
    </row>
    <row r="8" spans="1:13">
      <c r="A8" s="20">
        <v>2003</v>
      </c>
      <c r="B8" s="22">
        <f>[2]Base!$AU6</f>
        <v>2005751</v>
      </c>
      <c r="C8" s="22">
        <f t="shared" si="1"/>
        <v>1905463.45</v>
      </c>
      <c r="D8" s="4">
        <v>28.369938999999999</v>
      </c>
      <c r="E8" s="4">
        <v>26.367311999999998</v>
      </c>
      <c r="F8" s="5">
        <f t="shared" si="0"/>
        <v>-7.0589753471094863E-2</v>
      </c>
      <c r="G8" s="23">
        <f t="shared" si="5"/>
        <v>54057881.843229547</v>
      </c>
      <c r="H8" s="23">
        <f t="shared" si="2"/>
        <v>50241949.290746398</v>
      </c>
      <c r="I8" s="23">
        <f t="shared" si="3"/>
        <v>-3815932.5524831489</v>
      </c>
      <c r="J8" s="24">
        <f t="shared" si="4"/>
        <v>-7.0589753471094863E-2</v>
      </c>
      <c r="K8" s="22">
        <v>139349946300</v>
      </c>
      <c r="L8" s="23">
        <f t="shared" si="6"/>
        <v>54057881843.229546</v>
      </c>
      <c r="M8" s="20">
        <f t="shared" si="7"/>
        <v>0.3879289750629028</v>
      </c>
    </row>
    <row r="9" spans="1:13">
      <c r="A9" s="20">
        <v>2004</v>
      </c>
      <c r="B9" s="22">
        <f>[2]Base!$AU7</f>
        <v>2752231</v>
      </c>
      <c r="C9" s="22">
        <f t="shared" si="1"/>
        <v>2614619.4499999997</v>
      </c>
      <c r="D9" s="3">
        <v>28.703792</v>
      </c>
      <c r="E9" s="3">
        <v>29.122845999999999</v>
      </c>
      <c r="F9" s="5">
        <f t="shared" si="0"/>
        <v>1.4599255735966876E-2</v>
      </c>
      <c r="G9" s="23">
        <f t="shared" si="5"/>
        <v>75049492.851954386</v>
      </c>
      <c r="H9" s="23">
        <f t="shared" si="2"/>
        <v>76145159.590954691</v>
      </c>
      <c r="I9" s="23">
        <f t="shared" si="3"/>
        <v>1095666.7390003055</v>
      </c>
      <c r="J9" s="24">
        <f t="shared" si="4"/>
        <v>1.4599255735966947E-2</v>
      </c>
      <c r="K9" s="22">
        <v>179010449525</v>
      </c>
      <c r="L9" s="23">
        <f t="shared" si="6"/>
        <v>75049492851.954391</v>
      </c>
      <c r="M9" s="20">
        <f t="shared" si="7"/>
        <v>0.41924643533992817</v>
      </c>
    </row>
    <row r="10" spans="1:13">
      <c r="A10" s="20">
        <v>2005</v>
      </c>
      <c r="B10" s="22">
        <f>[2]Base!$AU8</f>
        <v>3288799</v>
      </c>
      <c r="C10" s="22">
        <f t="shared" si="1"/>
        <v>3124359.05</v>
      </c>
      <c r="D10" s="4">
        <v>24.478579</v>
      </c>
      <c r="E10" s="4">
        <v>28.325216999999999</v>
      </c>
      <c r="F10" s="5">
        <f t="shared" si="0"/>
        <v>0.15714302697064242</v>
      </c>
      <c r="G10" s="23">
        <f t="shared" si="5"/>
        <v>76479869.829789951</v>
      </c>
      <c r="H10" s="23">
        <f t="shared" si="2"/>
        <v>88498148.077163845</v>
      </c>
      <c r="I10" s="23">
        <f t="shared" si="3"/>
        <v>12018278.247373894</v>
      </c>
      <c r="J10" s="24">
        <f t="shared" si="4"/>
        <v>0.15714302697064228</v>
      </c>
      <c r="K10" s="22">
        <v>184862461743</v>
      </c>
      <c r="L10" s="23">
        <f t="shared" si="6"/>
        <v>76479869829.789948</v>
      </c>
      <c r="M10" s="20">
        <f t="shared" si="7"/>
        <v>0.41371227619003581</v>
      </c>
    </row>
    <row r="11" spans="1:13">
      <c r="A11" s="20">
        <v>2006</v>
      </c>
      <c r="B11" s="22">
        <f>[2]Base!$AU9</f>
        <v>3843115</v>
      </c>
      <c r="C11" s="22">
        <f t="shared" si="1"/>
        <v>3650959.25</v>
      </c>
      <c r="D11" s="3">
        <v>24.073374000000001</v>
      </c>
      <c r="E11" s="3">
        <v>29.954262</v>
      </c>
      <c r="F11" s="5">
        <f t="shared" si="0"/>
        <v>0.24429014395738613</v>
      </c>
      <c r="G11" s="23">
        <f t="shared" si="5"/>
        <v>87890907.484009504</v>
      </c>
      <c r="H11" s="23">
        <f t="shared" si="2"/>
        <v>109361789.92582349</v>
      </c>
      <c r="I11" s="23">
        <f t="shared" si="3"/>
        <v>21470882.44181399</v>
      </c>
      <c r="J11" s="24">
        <f t="shared" si="4"/>
        <v>0.24429014395738616</v>
      </c>
      <c r="K11" s="22">
        <v>185039597745.125</v>
      </c>
      <c r="L11" s="23">
        <f t="shared" si="6"/>
        <v>87890907484.009506</v>
      </c>
      <c r="M11" s="20">
        <f t="shared" si="7"/>
        <v>0.47498431987012391</v>
      </c>
    </row>
    <row r="12" spans="1:13">
      <c r="A12" s="20">
        <v>2007</v>
      </c>
      <c r="B12" s="22">
        <f>[2]Base!$AU10</f>
        <v>4255335</v>
      </c>
      <c r="C12" s="22">
        <f t="shared" si="1"/>
        <v>4042568.25</v>
      </c>
      <c r="D12" s="4">
        <v>23.471036000000002</v>
      </c>
      <c r="E12" s="4">
        <v>30.861639</v>
      </c>
      <c r="F12" s="5">
        <f t="shared" si="0"/>
        <v>0.31488183989833241</v>
      </c>
      <c r="G12" s="23">
        <f t="shared" si="5"/>
        <v>94883264.92820701</v>
      </c>
      <c r="H12" s="23">
        <f t="shared" si="2"/>
        <v>124760281.96436176</v>
      </c>
      <c r="I12" s="23">
        <f t="shared" si="3"/>
        <v>29877017.036154747</v>
      </c>
      <c r="J12" s="24">
        <f t="shared" si="4"/>
        <v>0.31488183989833252</v>
      </c>
      <c r="K12" s="22">
        <v>235394001073.246</v>
      </c>
      <c r="L12" s="23">
        <f t="shared" si="6"/>
        <v>94883264928.207016</v>
      </c>
      <c r="M12" s="20">
        <f t="shared" si="7"/>
        <v>0.40308276547235722</v>
      </c>
    </row>
    <row r="13" spans="1:13">
      <c r="A13" s="20">
        <v>2008</v>
      </c>
      <c r="B13" s="22">
        <f>[2]Base!$AU11</f>
        <v>5966085</v>
      </c>
      <c r="C13" s="22">
        <f t="shared" si="1"/>
        <v>5667780.75</v>
      </c>
      <c r="D13" s="3">
        <v>20.949345000000001</v>
      </c>
      <c r="E13" s="3">
        <v>30.471964</v>
      </c>
      <c r="F13" s="5">
        <f t="shared" si="0"/>
        <v>0.45455449800459147</v>
      </c>
      <c r="G13" s="23">
        <f t="shared" si="5"/>
        <v>118736294.31610875</v>
      </c>
      <c r="H13" s="23">
        <f t="shared" si="2"/>
        <v>172708410.97389299</v>
      </c>
      <c r="I13" s="23">
        <f t="shared" si="3"/>
        <v>53972116.657784238</v>
      </c>
      <c r="J13" s="24">
        <f t="shared" si="4"/>
        <v>0.45455449800459147</v>
      </c>
      <c r="K13" s="22">
        <v>284995693319.88397</v>
      </c>
      <c r="L13" s="23">
        <f t="shared" si="6"/>
        <v>118736294316.10875</v>
      </c>
      <c r="M13" s="20">
        <f t="shared" si="7"/>
        <v>0.41662487223214678</v>
      </c>
    </row>
    <row r="14" spans="1:13">
      <c r="A14" s="20">
        <v>2009</v>
      </c>
      <c r="B14" s="22">
        <f>[2]Base!$AU12</f>
        <v>5101669</v>
      </c>
      <c r="C14" s="22">
        <f t="shared" si="1"/>
        <v>4846585.55</v>
      </c>
      <c r="D14" s="5">
        <v>22.567971</v>
      </c>
      <c r="E14" s="5">
        <v>32.276463</v>
      </c>
      <c r="F14" s="5">
        <f t="shared" si="0"/>
        <v>0.43018896116093019</v>
      </c>
      <c r="G14" s="23">
        <f t="shared" si="5"/>
        <v>109377602.14141905</v>
      </c>
      <c r="H14" s="23">
        <f t="shared" si="2"/>
        <v>156430639.18090963</v>
      </c>
      <c r="I14" s="23">
        <f t="shared" si="3"/>
        <v>47053037.039490581</v>
      </c>
      <c r="J14" s="24">
        <f t="shared" si="4"/>
        <v>0.43018896116093003</v>
      </c>
      <c r="K14" s="22">
        <v>262347159926.776</v>
      </c>
      <c r="L14" s="23">
        <f t="shared" si="6"/>
        <v>109377602141.41905</v>
      </c>
      <c r="M14" s="20">
        <f t="shared" si="7"/>
        <v>0.41691932998987891</v>
      </c>
    </row>
    <row r="15" spans="1:13">
      <c r="A15" s="20">
        <v>2010</v>
      </c>
      <c r="B15" s="22">
        <f>[2]Base!$AU13</f>
        <v>6236366</v>
      </c>
      <c r="C15" s="22">
        <f t="shared" si="1"/>
        <v>5924547.7000000002</v>
      </c>
      <c r="D15" s="5">
        <v>20.059238000000001</v>
      </c>
      <c r="E15" s="5">
        <v>32.828747999999997</v>
      </c>
      <c r="F15" s="5">
        <f t="shared" si="0"/>
        <v>0.63658998412601697</v>
      </c>
      <c r="G15" s="23">
        <f t="shared" si="5"/>
        <v>118841912.3566526</v>
      </c>
      <c r="H15" s="23">
        <f t="shared" si="2"/>
        <v>194495483.45727959</v>
      </c>
      <c r="I15" s="23">
        <f t="shared" si="3"/>
        <v>75653571.10062699</v>
      </c>
      <c r="J15" s="24">
        <f t="shared" si="4"/>
        <v>0.63658998412601708</v>
      </c>
      <c r="K15" s="22">
        <v>298614685114.745</v>
      </c>
      <c r="L15" s="23">
        <f t="shared" si="6"/>
        <v>118841912356.6526</v>
      </c>
      <c r="M15" s="20">
        <f t="shared" si="7"/>
        <v>0.39797745482941232</v>
      </c>
    </row>
    <row r="16" spans="1:13">
      <c r="A16" s="20">
        <v>2011</v>
      </c>
      <c r="B16" s="22">
        <f>[2]Base!$AU14</f>
        <v>7334170</v>
      </c>
      <c r="C16" s="22">
        <f t="shared" si="1"/>
        <v>6967461.5</v>
      </c>
      <c r="D16" s="5">
        <v>19.314209000000002</v>
      </c>
      <c r="E16" s="5">
        <v>34.651024999999997</v>
      </c>
      <c r="F16" s="5">
        <f t="shared" si="0"/>
        <v>0.79406907111753799</v>
      </c>
      <c r="G16" s="23">
        <f t="shared" si="5"/>
        <v>134571007.61045352</v>
      </c>
      <c r="H16" s="23">
        <f t="shared" si="2"/>
        <v>241429682.62303749</v>
      </c>
      <c r="I16" s="23">
        <f t="shared" si="3"/>
        <v>106858675.01258397</v>
      </c>
      <c r="J16" s="24">
        <f t="shared" si="4"/>
        <v>0.79406907111753811</v>
      </c>
      <c r="K16" s="22">
        <v>322720110758.961</v>
      </c>
      <c r="L16" s="23">
        <f t="shared" si="6"/>
        <v>134571007610.45352</v>
      </c>
      <c r="M16" s="20">
        <f t="shared" si="7"/>
        <v>0.41698984080655677</v>
      </c>
    </row>
    <row r="17" spans="1:13">
      <c r="A17" s="20">
        <v>2012</v>
      </c>
      <c r="B17" s="22">
        <f>[2]Base!$AU15</f>
        <v>7387626</v>
      </c>
      <c r="C17" s="22">
        <f t="shared" si="1"/>
        <v>7018244.6999999993</v>
      </c>
      <c r="D17" s="5">
        <v>20.310164</v>
      </c>
      <c r="E17" s="5">
        <v>35.243068000000001</v>
      </c>
      <c r="F17" s="5">
        <f t="shared" si="0"/>
        <v>0.73524290596570263</v>
      </c>
      <c r="G17" s="23">
        <f t="shared" si="5"/>
        <v>142541700.84913078</v>
      </c>
      <c r="H17" s="23">
        <f t="shared" si="2"/>
        <v>247344475.20273957</v>
      </c>
      <c r="I17" s="23">
        <f t="shared" si="3"/>
        <v>104802774.35360879</v>
      </c>
      <c r="J17" s="24">
        <f t="shared" si="4"/>
        <v>0.73524290596570274</v>
      </c>
      <c r="K17" s="22">
        <v>366495477250.28802</v>
      </c>
      <c r="L17" s="23">
        <f t="shared" si="6"/>
        <v>142541700849.13077</v>
      </c>
      <c r="M17" s="20">
        <f t="shared" si="7"/>
        <v>0.38893167773469089</v>
      </c>
    </row>
    <row r="18" spans="1:13">
      <c r="A18" s="20">
        <v>2013</v>
      </c>
      <c r="B18" s="22">
        <f>[2]Base!$AU16</f>
        <v>7440534</v>
      </c>
      <c r="C18" s="22">
        <f t="shared" si="1"/>
        <v>7068507.2999999998</v>
      </c>
      <c r="D18" s="5">
        <v>20.481618000000001</v>
      </c>
      <c r="E18" s="5">
        <v>35.991435000000003</v>
      </c>
      <c r="F18" s="5">
        <f t="shared" si="0"/>
        <v>0.75725545706398778</v>
      </c>
      <c r="G18" s="23">
        <f t="shared" si="5"/>
        <v>144774466.34881142</v>
      </c>
      <c r="H18" s="23">
        <f t="shared" si="2"/>
        <v>254405721.0349755</v>
      </c>
      <c r="I18" s="23">
        <f t="shared" si="3"/>
        <v>109631254.68616408</v>
      </c>
      <c r="J18" s="24">
        <f t="shared" si="4"/>
        <v>0.75725545706398756</v>
      </c>
      <c r="K18" s="22">
        <v>393495580200.29303</v>
      </c>
      <c r="L18" s="23">
        <f t="shared" si="6"/>
        <v>144774466348.81143</v>
      </c>
      <c r="M18" s="20">
        <f t="shared" si="7"/>
        <v>0.36791891353676665</v>
      </c>
    </row>
    <row r="19" spans="1:13">
      <c r="A19" s="20">
        <v>2014</v>
      </c>
      <c r="B19" s="22">
        <f>[2]Base!$AU17</f>
        <v>7750681</v>
      </c>
      <c r="C19" s="22">
        <f t="shared" si="1"/>
        <v>7363146.9499999993</v>
      </c>
      <c r="D19" s="5">
        <v>23.246061000000001</v>
      </c>
      <c r="E19" s="5">
        <v>38.372773000000002</v>
      </c>
      <c r="F19" s="5">
        <f t="shared" si="0"/>
        <v>0.65072151363622432</v>
      </c>
      <c r="G19" s="23">
        <f t="shared" si="5"/>
        <v>171164163.15166393</v>
      </c>
      <c r="H19" s="23">
        <f t="shared" si="2"/>
        <v>282544366.47799236</v>
      </c>
      <c r="I19" s="23">
        <f t="shared" si="3"/>
        <v>111380203.32632843</v>
      </c>
      <c r="J19" s="24">
        <f t="shared" si="4"/>
        <v>0.65072151363622444</v>
      </c>
      <c r="K19" s="22">
        <v>453640919223.41602</v>
      </c>
      <c r="L19" s="23">
        <f t="shared" si="6"/>
        <v>171164163151.66394</v>
      </c>
      <c r="M19" s="20">
        <f t="shared" si="7"/>
        <v>0.37731200140560162</v>
      </c>
    </row>
    <row r="20" spans="1:13">
      <c r="A20" s="20">
        <v>2015</v>
      </c>
      <c r="B20" s="22">
        <f>[2]Base!$AU18</f>
        <v>7332807</v>
      </c>
      <c r="C20" s="22">
        <f t="shared" si="1"/>
        <v>6966166.6499999994</v>
      </c>
      <c r="D20" s="5">
        <v>27.327226</v>
      </c>
      <c r="E20" s="5">
        <v>41.149155999999998</v>
      </c>
      <c r="F20" s="5">
        <f t="shared" si="0"/>
        <v>0.50579337983299144</v>
      </c>
      <c r="G20" s="23">
        <f t="shared" si="5"/>
        <v>190366010.39821288</v>
      </c>
      <c r="H20" s="23">
        <f t="shared" si="2"/>
        <v>286651878.20284736</v>
      </c>
      <c r="I20" s="23">
        <f t="shared" si="3"/>
        <v>96285867.804634482</v>
      </c>
      <c r="J20" s="24">
        <f t="shared" si="4"/>
        <v>0.50579337983299144</v>
      </c>
      <c r="K20" s="22">
        <v>478094966223.237</v>
      </c>
      <c r="L20" s="23">
        <f t="shared" si="6"/>
        <v>190366010398.21289</v>
      </c>
      <c r="M20" s="20">
        <f t="shared" si="7"/>
        <v>0.39817614458907574</v>
      </c>
    </row>
    <row r="21" spans="1:13">
      <c r="A21" s="20">
        <v>2016</v>
      </c>
      <c r="B21" s="22">
        <f>[2]Base!$AU19</f>
        <v>6881861</v>
      </c>
      <c r="C21" s="22">
        <f t="shared" si="1"/>
        <v>6537767.9499999993</v>
      </c>
      <c r="D21" s="5">
        <v>30.162600000000001</v>
      </c>
      <c r="E21" s="5">
        <v>44.043940999999997</v>
      </c>
      <c r="F21" s="5">
        <f t="shared" si="0"/>
        <v>0.46021699057773513</v>
      </c>
      <c r="G21" s="23">
        <f t="shared" si="5"/>
        <v>197196079.56866997</v>
      </c>
      <c r="H21" s="23">
        <f t="shared" si="2"/>
        <v>287949065.86149091</v>
      </c>
      <c r="I21" s="23">
        <f>H21-G21</f>
        <v>90752986.29282093</v>
      </c>
      <c r="J21" s="24">
        <f t="shared" si="4"/>
        <v>0.4602169905777353</v>
      </c>
      <c r="K21" s="22">
        <v>488282856955.12799</v>
      </c>
      <c r="L21" s="23">
        <f t="shared" si="6"/>
        <v>197196079568.66998</v>
      </c>
      <c r="M21" s="20">
        <f t="shared" si="7"/>
        <v>0.40385624184793328</v>
      </c>
    </row>
    <row r="22" spans="1:13">
      <c r="A22" s="20">
        <v>2017</v>
      </c>
      <c r="B22" s="22">
        <f>[2]Base!$AU20</f>
        <v>7269212</v>
      </c>
      <c r="C22" s="22">
        <f t="shared" si="1"/>
        <v>6905751.3999999994</v>
      </c>
      <c r="D22" s="5">
        <v>28.65</v>
      </c>
      <c r="E22" s="5">
        <v>44.520021999999997</v>
      </c>
      <c r="F22" s="5">
        <f t="shared" si="0"/>
        <v>0.55392746945898774</v>
      </c>
      <c r="G22" s="23">
        <f t="shared" si="5"/>
        <v>197849777.60999998</v>
      </c>
      <c r="H22" s="23">
        <f t="shared" si="2"/>
        <v>307444204.25453073</v>
      </c>
      <c r="I22" s="23">
        <f t="shared" si="3"/>
        <v>109594426.64453074</v>
      </c>
      <c r="J22" s="24">
        <f>I22/G22</f>
        <v>0.55392746945898752</v>
      </c>
      <c r="K22" s="22">
        <v>484141525416.43597</v>
      </c>
      <c r="L22" s="23">
        <f t="shared" si="6"/>
        <v>197849777609.99997</v>
      </c>
      <c r="M22" s="20">
        <f t="shared" si="7"/>
        <v>0.40866103654260766</v>
      </c>
    </row>
    <row r="23" spans="1:13">
      <c r="A23" s="20">
        <v>2018</v>
      </c>
      <c r="B23" s="22">
        <f>[2]Base!$AU21</f>
        <v>7870612</v>
      </c>
      <c r="C23" s="22">
        <f t="shared" si="1"/>
        <v>7477081.3999999994</v>
      </c>
      <c r="D23" s="5">
        <v>30.77</v>
      </c>
      <c r="E23" s="5">
        <v>47.589359999999999</v>
      </c>
      <c r="F23" s="5">
        <f t="shared" si="0"/>
        <v>0.54661553461163481</v>
      </c>
      <c r="G23" s="23">
        <f t="shared" si="5"/>
        <v>230069794.67799997</v>
      </c>
      <c r="H23" s="23">
        <f t="shared" si="2"/>
        <v>355829518.49390399</v>
      </c>
      <c r="I23" s="23">
        <f t="shared" si="3"/>
        <v>125759723.81590402</v>
      </c>
      <c r="J23" s="24">
        <f t="shared" si="4"/>
        <v>0.54661553461163481</v>
      </c>
      <c r="K23" s="22">
        <v>570036849535.36304</v>
      </c>
      <c r="L23" s="23">
        <f t="shared" si="6"/>
        <v>230069794677.99997</v>
      </c>
      <c r="M23" s="20">
        <f t="shared" si="7"/>
        <v>0.40360512634495443</v>
      </c>
    </row>
    <row r="24" spans="1:13">
      <c r="A24" s="20">
        <v>2019</v>
      </c>
      <c r="B24" s="22">
        <f>[2]Base!$AU22</f>
        <v>7619202</v>
      </c>
      <c r="C24" s="22">
        <f t="shared" si="1"/>
        <v>7238241.8999999994</v>
      </c>
      <c r="D24" s="5">
        <v>35.299999999999997</v>
      </c>
      <c r="E24" s="5">
        <v>50.391058999999998</v>
      </c>
      <c r="F24" s="5">
        <f t="shared" si="0"/>
        <v>0.42750875354107665</v>
      </c>
      <c r="G24" s="23">
        <f t="shared" si="5"/>
        <v>255509939.06999996</v>
      </c>
      <c r="H24" s="23">
        <f t="shared" si="2"/>
        <v>364742674.63917208</v>
      </c>
      <c r="I24" s="23">
        <f t="shared" si="3"/>
        <v>109232735.56917211</v>
      </c>
      <c r="J24" s="24">
        <f t="shared" si="4"/>
        <v>0.42750875354107659</v>
      </c>
      <c r="K24" s="22">
        <v>601651424497</v>
      </c>
      <c r="L24" s="23">
        <f t="shared" si="6"/>
        <v>255509939069.99997</v>
      </c>
      <c r="M24" s="20">
        <f t="shared" si="7"/>
        <v>0.42468101739078323</v>
      </c>
    </row>
    <row r="25" spans="1:13">
      <c r="A25" s="20">
        <v>2020</v>
      </c>
      <c r="B25" s="22">
        <f>[2]Base!$AU23</f>
        <v>6584112</v>
      </c>
      <c r="C25" s="22">
        <f t="shared" si="1"/>
        <v>6254906.3999999994</v>
      </c>
      <c r="D25" s="5">
        <v>42</v>
      </c>
      <c r="E25" s="5">
        <v>57.605680999999997</v>
      </c>
      <c r="F25" s="5">
        <f t="shared" si="0"/>
        <v>0.37156383333333332</v>
      </c>
      <c r="G25" s="23">
        <f t="shared" si="5"/>
        <v>262706068.79999998</v>
      </c>
      <c r="H25" s="23">
        <f t="shared" si="2"/>
        <v>360318142.76325834</v>
      </c>
      <c r="I25" s="23">
        <f t="shared" si="3"/>
        <v>97612073.963258356</v>
      </c>
      <c r="J25" s="24">
        <f t="shared" si="4"/>
        <v>0.3715638333333332</v>
      </c>
      <c r="K25" s="22">
        <v>600817528391.49805</v>
      </c>
      <c r="L25" s="23">
        <f t="shared" si="6"/>
        <v>262706068799.99997</v>
      </c>
      <c r="M25" s="20">
        <f t="shared" si="7"/>
        <v>0.43724767734941705</v>
      </c>
    </row>
    <row r="26" spans="1:13">
      <c r="A26" s="20">
        <v>2021</v>
      </c>
      <c r="B26" s="22">
        <f>[2]Base!$AU24</f>
        <v>8900035</v>
      </c>
      <c r="C26" s="22">
        <f t="shared" si="1"/>
        <v>8455033.25</v>
      </c>
      <c r="D26" s="5">
        <v>43.56</v>
      </c>
      <c r="E26" s="5">
        <v>58.976208</v>
      </c>
      <c r="F26" s="5">
        <f t="shared" si="0"/>
        <v>0.3539074380165288</v>
      </c>
      <c r="G26" s="23">
        <f t="shared" si="5"/>
        <v>368301248.37</v>
      </c>
      <c r="H26" s="23">
        <f t="shared" si="2"/>
        <v>498645799.59891599</v>
      </c>
      <c r="I26" s="23">
        <f t="shared" si="3"/>
        <v>130344551.22891599</v>
      </c>
      <c r="J26" s="24">
        <f t="shared" si="4"/>
        <v>0.35390743801652891</v>
      </c>
      <c r="K26" s="22">
        <v>740451400483.521</v>
      </c>
      <c r="L26" s="23">
        <f t="shared" si="6"/>
        <v>368301248370</v>
      </c>
      <c r="M26" s="20">
        <f t="shared" si="7"/>
        <v>0.49740097476957457</v>
      </c>
    </row>
    <row r="27" spans="1:13">
      <c r="A27" s="20">
        <v>2022</v>
      </c>
      <c r="B27" s="22">
        <f>[2]Base!$AU25</f>
        <v>10237765</v>
      </c>
      <c r="C27" s="22">
        <f t="shared" si="1"/>
        <v>9725876.75</v>
      </c>
      <c r="D27" s="5">
        <v>41.3</v>
      </c>
      <c r="E27" s="5">
        <v>58.134197</v>
      </c>
      <c r="F27" s="5">
        <f t="shared" si="0"/>
        <v>0.40760767554479438</v>
      </c>
      <c r="G27" s="23">
        <f t="shared" si="5"/>
        <v>401678709.77499998</v>
      </c>
      <c r="H27" s="23">
        <f t="shared" si="2"/>
        <v>565406034.9822197</v>
      </c>
      <c r="I27" s="23">
        <f t="shared" si="3"/>
        <v>163727325.20721972</v>
      </c>
      <c r="J27" s="24">
        <f t="shared" si="4"/>
        <v>0.40760767554479416</v>
      </c>
      <c r="K27" s="22">
        <v>887448109461.11902</v>
      </c>
      <c r="L27" s="23">
        <f t="shared" si="6"/>
        <v>401678709775</v>
      </c>
      <c r="M27" s="20">
        <f t="shared" si="7"/>
        <v>0.45262219333467224</v>
      </c>
    </row>
    <row r="28" spans="1:13">
      <c r="A28" s="20">
        <v>2023</v>
      </c>
      <c r="B28" s="22">
        <f>[2]Base!$AU26</f>
        <v>9667693</v>
      </c>
      <c r="C28" s="22">
        <f t="shared" si="1"/>
        <v>9184308.3499999996</v>
      </c>
      <c r="D28" s="5">
        <v>38.695</v>
      </c>
      <c r="E28" s="5">
        <v>60.006461000000002</v>
      </c>
      <c r="F28" s="5">
        <f t="shared" si="0"/>
        <v>0.55075490373433267</v>
      </c>
      <c r="G28" s="23">
        <f t="shared" si="5"/>
        <v>355386811.60324997</v>
      </c>
      <c r="H28" s="23">
        <f t="shared" si="2"/>
        <v>551117840.81624937</v>
      </c>
      <c r="I28" s="23">
        <f t="shared" si="3"/>
        <v>195731029.2129994</v>
      </c>
      <c r="J28" s="24">
        <f t="shared" si="4"/>
        <v>0.55075490373433278</v>
      </c>
      <c r="K28" s="22">
        <v>809592502649.11304</v>
      </c>
      <c r="L28" s="23">
        <f t="shared" si="6"/>
        <v>355386811603.24994</v>
      </c>
      <c r="M28" s="20">
        <f t="shared" si="7"/>
        <v>0.43896998853172281</v>
      </c>
    </row>
    <row r="29" spans="1:13">
      <c r="A29" s="20">
        <v>2024</v>
      </c>
      <c r="B29" s="22">
        <f>[2]Base!$AU27</f>
        <v>10308558</v>
      </c>
      <c r="C29" s="22">
        <f t="shared" si="1"/>
        <v>9793130.0999999996</v>
      </c>
      <c r="D29" s="5">
        <v>40.234999999999999</v>
      </c>
      <c r="E29" s="5">
        <v>61.848213999999999</v>
      </c>
      <c r="F29" s="5">
        <f>E29/D29-1</f>
        <v>0.53717445010562948</v>
      </c>
      <c r="G29" s="23">
        <f t="shared" si="5"/>
        <v>394026589.57349998</v>
      </c>
      <c r="H29" s="23">
        <f t="shared" si="2"/>
        <v>605687606.15464139</v>
      </c>
      <c r="I29" s="23">
        <f t="shared" si="3"/>
        <v>211661016.58114141</v>
      </c>
      <c r="J29" s="24">
        <f t="shared" si="4"/>
        <v>0.53717445010562948</v>
      </c>
      <c r="K29" s="22">
        <v>858071607633.11902</v>
      </c>
      <c r="L29" s="23">
        <f t="shared" si="6"/>
        <v>394026589573.5</v>
      </c>
      <c r="M29" s="20">
        <f t="shared" si="7"/>
        <v>0.45920012510421132</v>
      </c>
    </row>
    <row r="30" spans="1:13">
      <c r="C30" s="20" t="s">
        <v>0</v>
      </c>
    </row>
    <row r="31" spans="1:13">
      <c r="C31" s="20">
        <v>100</v>
      </c>
      <c r="D31" s="87">
        <f>C31*F29</f>
        <v>53.717445010562948</v>
      </c>
      <c r="E31" s="87">
        <f>C31+D31</f>
        <v>153.71744501056295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4BED-76B2-400E-B3C5-8DA4C888E070}">
  <dimension ref="A3:P30"/>
  <sheetViews>
    <sheetView showGridLines="0" workbookViewId="0">
      <pane xSplit="1" ySplit="3" topLeftCell="E10" activePane="bottomRight" state="frozen"/>
      <selection pane="topRight" activeCell="B1" sqref="B1"/>
      <selection pane="bottomLeft" activeCell="A4" sqref="A4"/>
      <selection pane="bottomRight" activeCell="K17" sqref="K17:K18"/>
    </sheetView>
  </sheetViews>
  <sheetFormatPr baseColWidth="10" defaultRowHeight="15"/>
  <cols>
    <col min="2" max="2" width="15" customWidth="1"/>
    <col min="3" max="3" width="19.28515625" customWidth="1"/>
    <col min="4" max="4" width="18" customWidth="1"/>
    <col min="9" max="9" width="14.140625" bestFit="1" customWidth="1"/>
    <col min="10" max="10" width="16.7109375" customWidth="1"/>
    <col min="11" max="11" width="18.140625" customWidth="1"/>
    <col min="12" max="12" width="19.85546875" customWidth="1"/>
    <col min="13" max="13" width="16.5703125" customWidth="1"/>
  </cols>
  <sheetData>
    <row r="3" spans="1:16" ht="38.25">
      <c r="B3" s="2" t="s">
        <v>83</v>
      </c>
      <c r="C3" s="2" t="s">
        <v>84</v>
      </c>
      <c r="D3" s="2" t="s">
        <v>170</v>
      </c>
      <c r="F3" s="2" t="s">
        <v>20</v>
      </c>
      <c r="G3" s="2" t="s">
        <v>21</v>
      </c>
      <c r="J3" s="2" t="s">
        <v>93</v>
      </c>
      <c r="K3" s="2" t="s">
        <v>94</v>
      </c>
      <c r="L3" s="2" t="s">
        <v>95</v>
      </c>
      <c r="M3" s="29" t="s">
        <v>96</v>
      </c>
      <c r="N3" s="29" t="s">
        <v>97</v>
      </c>
    </row>
    <row r="4" spans="1:16">
      <c r="A4" s="25">
        <v>2004</v>
      </c>
      <c r="B4" s="22">
        <v>3342782345</v>
      </c>
      <c r="C4" s="22">
        <v>5136920717</v>
      </c>
      <c r="D4" s="28">
        <v>28622363000</v>
      </c>
      <c r="F4" s="5">
        <v>12.114924999999999</v>
      </c>
      <c r="G4" s="5">
        <v>17.830572</v>
      </c>
      <c r="J4" s="22">
        <f t="shared" ref="J4:J10" si="0">B4/F4</f>
        <v>275922661.09777814</v>
      </c>
      <c r="K4" s="22">
        <f t="shared" ref="K4:K10" si="1">J4*G4</f>
        <v>4919858875.1355324</v>
      </c>
      <c r="L4" s="22">
        <f t="shared" ref="L4:L10" si="2">K4-B4</f>
        <v>1577076530.1355324</v>
      </c>
      <c r="M4" s="22">
        <f>L4/20</f>
        <v>78853826.506776616</v>
      </c>
      <c r="N4" s="1">
        <f t="shared" ref="N4:N24" si="3">M4/C4</f>
        <v>1.5350407540030682E-2</v>
      </c>
      <c r="P4" s="1">
        <f t="shared" ref="P4:P10" si="4">L4/D4</f>
        <v>5.5099452485300827E-2</v>
      </c>
    </row>
    <row r="5" spans="1:16">
      <c r="A5" s="25">
        <v>2005</v>
      </c>
      <c r="B5" s="22">
        <v>4227502762</v>
      </c>
      <c r="C5" s="22">
        <v>5058292667</v>
      </c>
      <c r="D5">
        <v>38087990148.780998</v>
      </c>
      <c r="F5" s="5">
        <v>13.408852</v>
      </c>
      <c r="G5" s="5">
        <v>19.078999</v>
      </c>
      <c r="J5" s="22">
        <f t="shared" si="0"/>
        <v>315277009.69478971</v>
      </c>
      <c r="K5" s="22">
        <f t="shared" si="1"/>
        <v>6015169752.6898832</v>
      </c>
      <c r="L5" s="22">
        <f t="shared" si="2"/>
        <v>1787666990.6898832</v>
      </c>
      <c r="M5" s="22">
        <f>L5/20</f>
        <v>89383349.534494162</v>
      </c>
      <c r="N5" s="1">
        <f t="shared" si="3"/>
        <v>1.7670655974025742E-2</v>
      </c>
      <c r="P5" s="1">
        <f t="shared" si="4"/>
        <v>4.6935188328573366E-2</v>
      </c>
    </row>
    <row r="6" spans="1:16">
      <c r="A6" s="25">
        <v>2006</v>
      </c>
      <c r="B6" s="22">
        <v>3608627314.5158401</v>
      </c>
      <c r="C6" s="22">
        <v>4256913615.71668</v>
      </c>
      <c r="D6">
        <v>48103564060</v>
      </c>
      <c r="F6" s="5">
        <v>21.587268000000002</v>
      </c>
      <c r="G6" s="5">
        <v>22.652647000000002</v>
      </c>
      <c r="J6" s="22">
        <f t="shared" si="0"/>
        <v>167164613.62854436</v>
      </c>
      <c r="K6" s="22">
        <f t="shared" si="1"/>
        <v>3786720983.4188046</v>
      </c>
      <c r="L6" s="22">
        <f t="shared" si="2"/>
        <v>178093668.90296459</v>
      </c>
      <c r="M6" s="22">
        <f t="shared" ref="M6:M24" si="5">L6/20</f>
        <v>8904683.4451482296</v>
      </c>
      <c r="N6" s="1">
        <f t="shared" si="3"/>
        <v>2.0918168064937505E-3</v>
      </c>
      <c r="P6" s="1">
        <f t="shared" si="4"/>
        <v>3.7022967504201309E-3</v>
      </c>
    </row>
    <row r="7" spans="1:16">
      <c r="A7" s="25">
        <v>2007</v>
      </c>
      <c r="B7" s="22">
        <v>4610474178.1201</v>
      </c>
      <c r="C7" s="22">
        <v>5934830945.5998602</v>
      </c>
      <c r="D7">
        <v>50525577181</v>
      </c>
      <c r="F7" s="5">
        <v>28.369938999999999</v>
      </c>
      <c r="G7" s="5">
        <v>26.367311999999998</v>
      </c>
      <c r="J7" s="22">
        <f t="shared" si="0"/>
        <v>162512657.43363425</v>
      </c>
      <c r="K7" s="22">
        <f t="shared" si="1"/>
        <v>4285021942.5017533</v>
      </c>
      <c r="L7" s="22">
        <f t="shared" si="2"/>
        <v>-325452235.61834669</v>
      </c>
      <c r="M7" s="22">
        <f t="shared" si="5"/>
        <v>-16272611.780917335</v>
      </c>
      <c r="N7" s="1">
        <f t="shared" si="3"/>
        <v>-2.741882950007532E-3</v>
      </c>
      <c r="P7" s="1">
        <f t="shared" si="4"/>
        <v>-6.4413363246196044E-3</v>
      </c>
    </row>
    <row r="8" spans="1:16">
      <c r="A8" s="25">
        <v>2008</v>
      </c>
      <c r="B8" s="22">
        <v>7401223864.0304003</v>
      </c>
      <c r="C8" s="22">
        <v>8098413006.6877804</v>
      </c>
      <c r="D8">
        <v>52418214093</v>
      </c>
      <c r="F8" s="5">
        <v>28.703792</v>
      </c>
      <c r="G8" s="5">
        <v>29.122845999999999</v>
      </c>
      <c r="J8" s="22">
        <f t="shared" si="0"/>
        <v>257848296.28191286</v>
      </c>
      <c r="K8" s="22">
        <f t="shared" si="1"/>
        <v>7509276223.9805202</v>
      </c>
      <c r="L8" s="22">
        <f t="shared" si="2"/>
        <v>108052359.95011997</v>
      </c>
      <c r="M8" s="22">
        <f t="shared" si="5"/>
        <v>5402617.9975059982</v>
      </c>
      <c r="N8" s="1">
        <f t="shared" si="3"/>
        <v>6.671205819022125E-4</v>
      </c>
      <c r="P8" s="1">
        <f t="shared" si="4"/>
        <v>2.0613514180092877E-3</v>
      </c>
    </row>
    <row r="9" spans="1:16">
      <c r="A9" s="25">
        <v>2009</v>
      </c>
      <c r="B9" s="22">
        <v>3893703667.0086799</v>
      </c>
      <c r="C9" s="22">
        <v>7803216717.6423397</v>
      </c>
      <c r="D9">
        <v>57185676835.0951</v>
      </c>
      <c r="F9" s="5">
        <v>24.478579</v>
      </c>
      <c r="G9" s="5">
        <v>28.325216999999999</v>
      </c>
      <c r="J9" s="22">
        <f t="shared" si="0"/>
        <v>159065755.6963858</v>
      </c>
      <c r="K9" s="22">
        <f t="shared" si="1"/>
        <v>4505572047.3691139</v>
      </c>
      <c r="L9" s="22">
        <f t="shared" si="2"/>
        <v>611868380.36043406</v>
      </c>
      <c r="M9" s="22">
        <f t="shared" si="5"/>
        <v>30593419.018021703</v>
      </c>
      <c r="N9" s="1">
        <f t="shared" si="3"/>
        <v>3.9206163464424685E-3</v>
      </c>
      <c r="P9" s="1">
        <f t="shared" si="4"/>
        <v>1.0699678909543443E-2</v>
      </c>
    </row>
    <row r="10" spans="1:16">
      <c r="A10" s="25">
        <v>2010</v>
      </c>
      <c r="B10" s="22">
        <v>4455950049.94205</v>
      </c>
      <c r="C10" s="22">
        <v>8154845648.1199398</v>
      </c>
      <c r="D10">
        <v>88288212567.623398</v>
      </c>
      <c r="F10" s="5">
        <v>24.073374000000001</v>
      </c>
      <c r="G10" s="5">
        <v>29.954262</v>
      </c>
      <c r="J10" s="22">
        <f t="shared" si="0"/>
        <v>185098692.43679968</v>
      </c>
      <c r="K10" s="22">
        <f t="shared" si="1"/>
        <v>5544494729.1093159</v>
      </c>
      <c r="L10" s="22">
        <f t="shared" si="2"/>
        <v>1088544679.1672659</v>
      </c>
      <c r="M10" s="22">
        <f t="shared" si="5"/>
        <v>54427233.958363295</v>
      </c>
      <c r="N10" s="1">
        <f t="shared" si="3"/>
        <v>6.6742200045087586E-3</v>
      </c>
      <c r="P10" s="1">
        <f t="shared" si="4"/>
        <v>1.2329445205762965E-2</v>
      </c>
    </row>
    <row r="11" spans="1:16">
      <c r="A11" s="25">
        <v>2011</v>
      </c>
      <c r="B11" s="22" t="s">
        <v>56</v>
      </c>
      <c r="C11" s="22">
        <v>8184811603.9800196</v>
      </c>
      <c r="D11">
        <v>107971212345.29601</v>
      </c>
      <c r="F11" s="5">
        <v>23.471036000000002</v>
      </c>
      <c r="G11" s="5">
        <v>30.861639</v>
      </c>
      <c r="J11" s="22"/>
      <c r="K11" s="22"/>
      <c r="L11" s="22"/>
      <c r="M11" s="22"/>
      <c r="N11" s="1">
        <f t="shared" si="3"/>
        <v>0</v>
      </c>
      <c r="P11" s="1"/>
    </row>
    <row r="12" spans="1:16">
      <c r="A12" s="25">
        <v>2012</v>
      </c>
      <c r="B12" s="22">
        <v>9126800103.2520695</v>
      </c>
      <c r="C12" s="22">
        <v>9200641100.6563606</v>
      </c>
      <c r="D12">
        <v>93192117548.195999</v>
      </c>
      <c r="F12" s="5">
        <v>20.949345000000001</v>
      </c>
      <c r="G12" s="5">
        <v>30.471964</v>
      </c>
      <c r="J12" s="22">
        <f t="shared" ref="J12:J24" si="6">B12/F12</f>
        <v>435660403.85759407</v>
      </c>
      <c r="K12" s="22">
        <f t="shared" ref="K12:K24" si="7">J12*G12</f>
        <v>13275428142.574068</v>
      </c>
      <c r="L12" s="22">
        <f t="shared" ref="L12:L24" si="8">K12-B12</f>
        <v>4148628039.3219986</v>
      </c>
      <c r="M12" s="22">
        <f t="shared" si="5"/>
        <v>207431401.96609992</v>
      </c>
      <c r="N12" s="1">
        <f t="shared" si="3"/>
        <v>2.2545320450691426E-2</v>
      </c>
      <c r="P12" s="1">
        <f t="shared" ref="P12:P24" si="9">L12/D12</f>
        <v>4.4516941437417815E-2</v>
      </c>
    </row>
    <row r="13" spans="1:16">
      <c r="A13" s="25">
        <v>2013</v>
      </c>
      <c r="B13" s="22">
        <v>18778604279.4333</v>
      </c>
      <c r="C13" s="22">
        <v>9634456614.2834396</v>
      </c>
      <c r="D13">
        <v>99737810059.451508</v>
      </c>
      <c r="F13" s="5">
        <v>22.567971</v>
      </c>
      <c r="G13" s="5">
        <v>32.276463</v>
      </c>
      <c r="J13" s="22">
        <f t="shared" si="6"/>
        <v>832090943.37427592</v>
      </c>
      <c r="K13" s="22">
        <f t="shared" si="7"/>
        <v>26856952546.45491</v>
      </c>
      <c r="L13" s="22">
        <f t="shared" si="8"/>
        <v>8078348267.0216103</v>
      </c>
      <c r="M13" s="22">
        <f t="shared" si="5"/>
        <v>403917413.35108054</v>
      </c>
      <c r="N13" s="1">
        <f t="shared" si="3"/>
        <v>4.1924254737133591E-2</v>
      </c>
      <c r="P13" s="1">
        <f t="shared" si="9"/>
        <v>8.0995845629719412E-2</v>
      </c>
    </row>
    <row r="14" spans="1:16">
      <c r="A14" s="25">
        <v>2014</v>
      </c>
      <c r="B14" s="22">
        <v>50361030100.879204</v>
      </c>
      <c r="C14" s="22">
        <v>12235321829.4487</v>
      </c>
      <c r="D14">
        <v>122150149877.437</v>
      </c>
      <c r="F14" s="5">
        <v>20.059238000000001</v>
      </c>
      <c r="G14" s="5">
        <v>32.828747999999997</v>
      </c>
      <c r="J14" s="22">
        <f t="shared" si="6"/>
        <v>2510615313.5467658</v>
      </c>
      <c r="K14" s="22">
        <f t="shared" si="7"/>
        <v>82420357453.367752</v>
      </c>
      <c r="L14" s="22">
        <f t="shared" si="8"/>
        <v>32059327352.488548</v>
      </c>
      <c r="M14" s="22">
        <f t="shared" si="5"/>
        <v>1602966367.6244273</v>
      </c>
      <c r="N14" s="1">
        <f t="shared" si="3"/>
        <v>0.13101137754842807</v>
      </c>
      <c r="P14" s="1">
        <f t="shared" si="9"/>
        <v>0.26245835461238676</v>
      </c>
    </row>
    <row r="15" spans="1:16">
      <c r="A15" s="25">
        <v>2015</v>
      </c>
      <c r="B15" s="22">
        <v>7676001006.9217501</v>
      </c>
      <c r="C15" s="22">
        <v>14988600854.6759</v>
      </c>
      <c r="D15">
        <v>118070224347.511</v>
      </c>
      <c r="F15" s="5">
        <v>19.314209000000002</v>
      </c>
      <c r="G15" s="5">
        <v>34.651024999999997</v>
      </c>
      <c r="J15" s="22">
        <f t="shared" si="6"/>
        <v>397427666.17684162</v>
      </c>
      <c r="K15" s="22">
        <f t="shared" si="7"/>
        <v>13771275996.385391</v>
      </c>
      <c r="L15" s="22">
        <f t="shared" si="8"/>
        <v>6095274989.4636412</v>
      </c>
      <c r="M15" s="22">
        <f t="shared" si="5"/>
        <v>304763749.47318208</v>
      </c>
      <c r="N15" s="1">
        <f t="shared" si="3"/>
        <v>2.0333035246455765E-2</v>
      </c>
      <c r="P15" s="1">
        <f t="shared" si="9"/>
        <v>5.1624150145795279E-2</v>
      </c>
    </row>
    <row r="16" spans="1:16">
      <c r="A16" s="25">
        <v>2016</v>
      </c>
      <c r="B16" s="22">
        <v>6004619667.4550104</v>
      </c>
      <c r="C16" s="22">
        <v>16145911799.0432</v>
      </c>
      <c r="D16">
        <v>130303268121.312</v>
      </c>
      <c r="F16" s="5">
        <v>20.310164</v>
      </c>
      <c r="G16" s="5">
        <v>35.243068000000001</v>
      </c>
      <c r="J16" s="22">
        <f t="shared" si="6"/>
        <v>295646045.37191379</v>
      </c>
      <c r="K16" s="22">
        <f t="shared" si="7"/>
        <v>10419473680.973444</v>
      </c>
      <c r="L16" s="22">
        <f t="shared" si="8"/>
        <v>4414854013.5184336</v>
      </c>
      <c r="M16" s="22">
        <f t="shared" si="5"/>
        <v>220742700.67592168</v>
      </c>
      <c r="N16" s="1">
        <f t="shared" si="3"/>
        <v>1.3671739535267548E-2</v>
      </c>
      <c r="P16" s="1">
        <f t="shared" si="9"/>
        <v>3.3881375940687963E-2</v>
      </c>
    </row>
    <row r="17" spans="1:16">
      <c r="A17" s="25">
        <v>2017</v>
      </c>
      <c r="B17" s="22">
        <v>4623456010.3599997</v>
      </c>
      <c r="C17" s="22">
        <v>15918676560.870001</v>
      </c>
      <c r="D17">
        <v>198429417562.73401</v>
      </c>
      <c r="F17" s="5">
        <v>20.481618000000001</v>
      </c>
      <c r="G17" s="5">
        <v>35.991435000000003</v>
      </c>
      <c r="J17" s="22">
        <f t="shared" si="6"/>
        <v>225736853.91261566</v>
      </c>
      <c r="K17" s="22">
        <f t="shared" si="7"/>
        <v>8124593304.7004023</v>
      </c>
      <c r="L17" s="22">
        <f t="shared" si="8"/>
        <v>3501137294.3404026</v>
      </c>
      <c r="M17" s="22">
        <f t="shared" si="5"/>
        <v>175056864.71702012</v>
      </c>
      <c r="N17" s="1">
        <f t="shared" si="3"/>
        <v>1.0996948398796587E-2</v>
      </c>
      <c r="P17" s="1">
        <f t="shared" si="9"/>
        <v>1.7644245179692212E-2</v>
      </c>
    </row>
    <row r="18" spans="1:16">
      <c r="A18" s="25">
        <v>2018</v>
      </c>
      <c r="B18" s="22">
        <v>6219895633.8468304</v>
      </c>
      <c r="C18" s="22">
        <v>16454135974.9035</v>
      </c>
      <c r="D18">
        <v>207813793849.16599</v>
      </c>
      <c r="F18" s="5">
        <v>23.246061000000001</v>
      </c>
      <c r="G18" s="5">
        <v>38.372773000000002</v>
      </c>
      <c r="J18" s="22">
        <f t="shared" si="6"/>
        <v>267567724.00480366</v>
      </c>
      <c r="K18" s="22">
        <f t="shared" si="7"/>
        <v>10267315535.362982</v>
      </c>
      <c r="L18" s="22">
        <f t="shared" si="8"/>
        <v>4047419901.5161514</v>
      </c>
      <c r="M18" s="22">
        <f t="shared" si="5"/>
        <v>202370995.07580757</v>
      </c>
      <c r="N18" s="1">
        <f t="shared" si="3"/>
        <v>1.2299095825175618E-2</v>
      </c>
      <c r="P18" s="1">
        <f t="shared" si="9"/>
        <v>1.9476185033481572E-2</v>
      </c>
    </row>
    <row r="19" spans="1:16">
      <c r="A19" s="25">
        <v>2019</v>
      </c>
      <c r="B19" s="22">
        <v>14632306785</v>
      </c>
      <c r="C19" s="22">
        <v>18470370583.307598</v>
      </c>
      <c r="D19">
        <v>218824498043.51999</v>
      </c>
      <c r="F19" s="5">
        <v>27.327226</v>
      </c>
      <c r="G19" s="5">
        <v>41.149155999999998</v>
      </c>
      <c r="J19" s="22">
        <f t="shared" si="6"/>
        <v>535447936.97684503</v>
      </c>
      <c r="K19" s="22">
        <f t="shared" si="7"/>
        <v>22033230688.538364</v>
      </c>
      <c r="L19" s="22">
        <f t="shared" si="8"/>
        <v>7400923903.5383644</v>
      </c>
      <c r="M19" s="22">
        <f t="shared" si="5"/>
        <v>370046195.17691821</v>
      </c>
      <c r="N19" s="1">
        <f t="shared" si="3"/>
        <v>2.0034584228176968E-2</v>
      </c>
      <c r="P19" s="1">
        <f t="shared" si="9"/>
        <v>3.382127672956646E-2</v>
      </c>
    </row>
    <row r="20" spans="1:16">
      <c r="A20" s="25">
        <v>2020</v>
      </c>
      <c r="B20" s="22">
        <v>5984800540.9030504</v>
      </c>
      <c r="C20" s="22">
        <v>19749525803.3465</v>
      </c>
      <c r="D20">
        <v>209773097223.23999</v>
      </c>
      <c r="F20" s="5">
        <v>30.162600000000001</v>
      </c>
      <c r="G20" s="5">
        <v>44.043940999999997</v>
      </c>
      <c r="J20" s="22">
        <f t="shared" si="6"/>
        <v>198417926.2034125</v>
      </c>
      <c r="K20" s="22">
        <f t="shared" si="7"/>
        <v>8739107435.045454</v>
      </c>
      <c r="L20" s="22">
        <f t="shared" si="8"/>
        <v>2754306894.1424036</v>
      </c>
      <c r="M20" s="22">
        <f t="shared" si="5"/>
        <v>137715344.70712018</v>
      </c>
      <c r="N20" s="1">
        <f t="shared" si="3"/>
        <v>6.973096269672698E-3</v>
      </c>
      <c r="P20" s="1">
        <f t="shared" si="9"/>
        <v>1.3129933869505093E-2</v>
      </c>
    </row>
    <row r="21" spans="1:16">
      <c r="A21" s="25">
        <v>2021</v>
      </c>
      <c r="B21" s="22">
        <v>9316153707.0788193</v>
      </c>
      <c r="C21" s="22">
        <v>21739333748.875999</v>
      </c>
      <c r="D21">
        <v>230944653073.897</v>
      </c>
      <c r="F21" s="5">
        <v>28.65</v>
      </c>
      <c r="G21" s="5">
        <v>44.520021999999997</v>
      </c>
      <c r="J21" s="22">
        <f t="shared" si="6"/>
        <v>325171159.06034273</v>
      </c>
      <c r="K21" s="22">
        <f t="shared" si="7"/>
        <v>14476627155.131956</v>
      </c>
      <c r="L21" s="22">
        <f t="shared" si="8"/>
        <v>5160473448.0531368</v>
      </c>
      <c r="M21" s="22">
        <f t="shared" si="5"/>
        <v>258023672.40265685</v>
      </c>
      <c r="N21" s="1">
        <f t="shared" si="3"/>
        <v>1.1868977926519831E-2</v>
      </c>
      <c r="P21" s="1">
        <f t="shared" si="9"/>
        <v>2.2345065708890447E-2</v>
      </c>
    </row>
    <row r="22" spans="1:16">
      <c r="A22" s="25">
        <v>2022</v>
      </c>
      <c r="B22" s="22">
        <v>9320956981.22225</v>
      </c>
      <c r="C22" s="22">
        <v>21523441673.284</v>
      </c>
      <c r="D22">
        <v>259048160897</v>
      </c>
      <c r="F22" s="5">
        <v>30.77</v>
      </c>
      <c r="G22" s="5">
        <v>47.589359999999999</v>
      </c>
      <c r="H22">
        <f>G22/F22-1</f>
        <v>0.54661553461163481</v>
      </c>
      <c r="I22" s="82">
        <f>B22*H22</f>
        <v>5094979883.3828497</v>
      </c>
      <c r="J22" s="22">
        <f t="shared" si="6"/>
        <v>302923528.80150306</v>
      </c>
      <c r="K22" s="22">
        <f t="shared" si="7"/>
        <v>14415936864.605097</v>
      </c>
      <c r="L22" s="83">
        <f t="shared" si="8"/>
        <v>5094979883.3828468</v>
      </c>
      <c r="M22" s="22">
        <f>L22/20</f>
        <v>254748994.16914234</v>
      </c>
      <c r="N22" s="1">
        <f>M22/C22</f>
        <v>1.1835885637441982E-2</v>
      </c>
      <c r="P22" s="1">
        <f t="shared" si="9"/>
        <v>1.9668079733670293E-2</v>
      </c>
    </row>
    <row r="23" spans="1:16">
      <c r="A23" s="25">
        <v>2023</v>
      </c>
      <c r="B23" s="22">
        <v>8039097104.2939796</v>
      </c>
      <c r="C23" s="22">
        <v>24684323791.2756</v>
      </c>
      <c r="D23">
        <v>296322600807.052</v>
      </c>
      <c r="F23" s="5">
        <v>35.299999999999997</v>
      </c>
      <c r="G23" s="5">
        <v>50.391058999999998</v>
      </c>
      <c r="J23" s="22">
        <f t="shared" si="6"/>
        <v>227736461.87801644</v>
      </c>
      <c r="K23" s="22">
        <f t="shared" si="7"/>
        <v>11475881486.946377</v>
      </c>
      <c r="L23" s="22">
        <f t="shared" si="8"/>
        <v>3436784382.6523972</v>
      </c>
      <c r="M23" s="22">
        <f t="shared" si="5"/>
        <v>171839219.13261986</v>
      </c>
      <c r="N23" s="1">
        <f t="shared" si="3"/>
        <v>6.961471603826333E-3</v>
      </c>
      <c r="P23" s="1">
        <f t="shared" si="9"/>
        <v>1.1598117636967661E-2</v>
      </c>
    </row>
    <row r="24" spans="1:16">
      <c r="A24" s="25">
        <v>2024</v>
      </c>
      <c r="B24" s="22">
        <v>8404064819.0452995</v>
      </c>
      <c r="C24" s="22">
        <v>27515759179.244099</v>
      </c>
      <c r="D24">
        <v>377193985828.289</v>
      </c>
      <c r="F24" s="5">
        <v>42</v>
      </c>
      <c r="G24" s="5">
        <v>57.605680999999997</v>
      </c>
      <c r="J24" s="22">
        <f t="shared" si="6"/>
        <v>200096781.40584046</v>
      </c>
      <c r="K24" s="22">
        <f t="shared" si="7"/>
        <v>11526711358.791576</v>
      </c>
      <c r="L24" s="22">
        <f t="shared" si="8"/>
        <v>3122646539.7462769</v>
      </c>
      <c r="M24" s="22">
        <f t="shared" si="5"/>
        <v>156132326.98731384</v>
      </c>
      <c r="N24" s="1">
        <f t="shared" si="3"/>
        <v>5.6742874499748049E-3</v>
      </c>
      <c r="P24" s="1">
        <f t="shared" si="9"/>
        <v>8.2786222926889592E-3</v>
      </c>
    </row>
    <row r="25" spans="1:16">
      <c r="D25">
        <v>392603477898.92603</v>
      </c>
      <c r="F25" s="5">
        <v>43.56</v>
      </c>
      <c r="G25" s="5">
        <v>58.976208</v>
      </c>
    </row>
    <row r="26" spans="1:16">
      <c r="D26">
        <v>402462792005.25299</v>
      </c>
      <c r="F26" s="5">
        <v>41.3</v>
      </c>
      <c r="G26" s="5">
        <v>58.134197</v>
      </c>
    </row>
    <row r="27" spans="1:16">
      <c r="D27">
        <v>436965957591.82397</v>
      </c>
      <c r="F27" s="5">
        <v>38.695</v>
      </c>
      <c r="G27" s="5">
        <v>60.006461000000002</v>
      </c>
    </row>
    <row r="28" spans="1:16">
      <c r="F28" s="5">
        <v>40.234999999999999</v>
      </c>
      <c r="G28" s="5">
        <v>61.848213999999999</v>
      </c>
    </row>
    <row r="30" spans="1:16">
      <c r="A30" t="s">
        <v>3</v>
      </c>
      <c r="B30" t="s">
        <v>99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4553-7855-48B3-B2CA-FEEE33FF8285}">
  <dimension ref="A1:AD25"/>
  <sheetViews>
    <sheetView workbookViewId="0">
      <pane ySplit="1" topLeftCell="A17" activePane="bottomLeft" state="frozen"/>
      <selection pane="bottomLeft" activeCell="K29" sqref="K29"/>
    </sheetView>
  </sheetViews>
  <sheetFormatPr baseColWidth="10" defaultRowHeight="15"/>
  <cols>
    <col min="1" max="1" width="11.42578125" style="25"/>
    <col min="2" max="2" width="3.85546875" style="25" customWidth="1"/>
    <col min="3" max="3" width="11.42578125" style="25"/>
    <col min="4" max="4" width="7.85546875" style="25" customWidth="1"/>
    <col min="5" max="5" width="11.42578125" style="25"/>
    <col min="6" max="6" width="10" style="25" customWidth="1"/>
    <col min="7" max="10" width="11.42578125" style="25"/>
    <col min="11" max="11" width="13.42578125" style="25" customWidth="1"/>
    <col min="12" max="19" width="11.42578125" style="25"/>
    <col min="20" max="20" width="17.85546875" style="25" bestFit="1" customWidth="1"/>
    <col min="21" max="24" width="11.42578125" style="25"/>
    <col min="25" max="25" width="24.28515625" style="25" customWidth="1"/>
    <col min="26" max="28" width="11.42578125" style="25"/>
    <col min="29" max="29" width="17.85546875" style="25" bestFit="1" customWidth="1"/>
    <col min="30" max="16384" width="11.42578125" style="25"/>
  </cols>
  <sheetData>
    <row r="1" spans="1:30" s="9" customFormat="1" ht="60">
      <c r="A1" s="9" t="s">
        <v>65</v>
      </c>
      <c r="B1" s="9" t="s">
        <v>66</v>
      </c>
      <c r="C1" s="9" t="s">
        <v>67</v>
      </c>
      <c r="D1" s="9" t="s">
        <v>68</v>
      </c>
      <c r="E1" s="9" t="s">
        <v>69</v>
      </c>
      <c r="F1" s="9" t="s">
        <v>70</v>
      </c>
      <c r="G1" s="9" t="s">
        <v>71</v>
      </c>
      <c r="H1" s="9" t="s">
        <v>72</v>
      </c>
      <c r="I1" s="9" t="s">
        <v>73</v>
      </c>
      <c r="J1" s="9" t="s">
        <v>74</v>
      </c>
      <c r="K1" s="9" t="s">
        <v>75</v>
      </c>
      <c r="L1" s="9" t="s">
        <v>76</v>
      </c>
      <c r="M1" s="9" t="s">
        <v>77</v>
      </c>
      <c r="N1" s="9" t="s">
        <v>78</v>
      </c>
      <c r="O1" s="9" t="s">
        <v>79</v>
      </c>
      <c r="P1" s="9" t="s">
        <v>31</v>
      </c>
      <c r="Q1" s="9" t="s">
        <v>80</v>
      </c>
      <c r="R1" s="9" t="s">
        <v>81</v>
      </c>
      <c r="S1" s="9" t="s">
        <v>82</v>
      </c>
      <c r="T1" s="9" t="s">
        <v>83</v>
      </c>
      <c r="U1" s="9" t="s">
        <v>84</v>
      </c>
      <c r="V1" s="9" t="s">
        <v>85</v>
      </c>
      <c r="W1" s="9" t="s">
        <v>29</v>
      </c>
      <c r="X1" s="9" t="s">
        <v>86</v>
      </c>
      <c r="Y1" s="9" t="s">
        <v>28</v>
      </c>
      <c r="Z1" s="9" t="s">
        <v>87</v>
      </c>
      <c r="AA1" s="9" t="s">
        <v>88</v>
      </c>
      <c r="AB1" s="9" t="s">
        <v>89</v>
      </c>
      <c r="AC1" s="9" t="s">
        <v>30</v>
      </c>
    </row>
    <row r="2" spans="1:30">
      <c r="A2" s="25">
        <v>2001</v>
      </c>
      <c r="B2" s="25" t="s">
        <v>90</v>
      </c>
      <c r="C2" s="25">
        <v>1</v>
      </c>
      <c r="D2" s="25" t="s">
        <v>91</v>
      </c>
      <c r="E2" s="25">
        <v>89240215000</v>
      </c>
      <c r="F2" s="25" t="s">
        <v>56</v>
      </c>
      <c r="G2" s="25">
        <v>32030854000</v>
      </c>
      <c r="H2" s="25" t="s">
        <v>56</v>
      </c>
      <c r="I2" s="25">
        <v>26506272680.6166</v>
      </c>
      <c r="J2" s="25">
        <v>62733942319.383301</v>
      </c>
      <c r="K2" s="25">
        <v>9505142775.6641407</v>
      </c>
      <c r="L2" s="25">
        <v>11462459000</v>
      </c>
      <c r="M2" s="25">
        <v>1736736212.1212101</v>
      </c>
      <c r="N2" s="25">
        <v>113817</v>
      </c>
      <c r="O2" s="25">
        <v>12367</v>
      </c>
      <c r="P2" s="25">
        <v>3539644000</v>
      </c>
      <c r="Q2" s="25">
        <v>2057120000</v>
      </c>
      <c r="R2" s="25">
        <v>1075519000</v>
      </c>
      <c r="S2" s="25" t="s">
        <v>56</v>
      </c>
      <c r="T2" s="25" t="s">
        <v>56</v>
      </c>
      <c r="U2" s="25">
        <v>3127411000</v>
      </c>
      <c r="V2" s="25">
        <v>6829485000</v>
      </c>
      <c r="W2" s="25">
        <v>28622363000</v>
      </c>
      <c r="X2" s="25">
        <v>28622363000</v>
      </c>
      <c r="Y2" s="26">
        <v>39864241987.7854</v>
      </c>
      <c r="Z2" s="25">
        <v>20568395000</v>
      </c>
      <c r="AA2" s="25">
        <v>0.35785680269405201</v>
      </c>
      <c r="AB2" s="25">
        <v>281424.16334993899</v>
      </c>
      <c r="AC2" s="26">
        <f>I2-L2-U2-V2</f>
        <v>5086917680.6166</v>
      </c>
      <c r="AD2" s="25">
        <f>AC2/Y2</f>
        <v>0.12760603054173855</v>
      </c>
    </row>
    <row r="3" spans="1:30">
      <c r="A3" s="25">
        <v>2002</v>
      </c>
      <c r="B3" s="25" t="s">
        <v>90</v>
      </c>
      <c r="C3" s="25">
        <v>2</v>
      </c>
      <c r="D3" s="25" t="s">
        <v>91</v>
      </c>
      <c r="E3" s="25">
        <v>104934883446</v>
      </c>
      <c r="F3" s="25" t="s">
        <v>56</v>
      </c>
      <c r="G3" s="25">
        <v>39381506784</v>
      </c>
      <c r="H3" s="25" t="s">
        <v>56</v>
      </c>
      <c r="I3" s="25">
        <v>32589107907.9646</v>
      </c>
      <c r="J3" s="25">
        <v>72345775538.0354</v>
      </c>
      <c r="K3" s="25">
        <v>10961481142.1266</v>
      </c>
      <c r="L3" s="25">
        <v>9421078355</v>
      </c>
      <c r="M3" s="25">
        <v>1427436114.39394</v>
      </c>
      <c r="N3" s="25">
        <v>76575</v>
      </c>
      <c r="O3" s="25">
        <v>2884</v>
      </c>
      <c r="P3" s="25" t="s">
        <v>56</v>
      </c>
      <c r="Q3" s="25" t="s">
        <v>56</v>
      </c>
      <c r="R3" s="25" t="s">
        <v>56</v>
      </c>
      <c r="S3" s="25" t="s">
        <v>56</v>
      </c>
      <c r="T3" s="25" t="s">
        <v>56</v>
      </c>
      <c r="U3" s="25">
        <v>3758469943</v>
      </c>
      <c r="V3" s="25">
        <v>5924169665</v>
      </c>
      <c r="W3" s="25" t="s">
        <v>56</v>
      </c>
      <c r="X3" s="25">
        <v>38087990148.780998</v>
      </c>
      <c r="Y3" s="26">
        <v>50476907405.301498</v>
      </c>
      <c r="Z3" s="25">
        <v>29960428429</v>
      </c>
      <c r="AA3" s="25">
        <v>0.23922594954715201</v>
      </c>
      <c r="AB3" s="25">
        <v>514286.73567091097</v>
      </c>
      <c r="AC3" s="26">
        <f t="shared" ref="AC3:AC25" si="0">I3-L3-U3-V3</f>
        <v>13485389944.9646</v>
      </c>
      <c r="AD3" s="25">
        <f>AC3/Y3</f>
        <v>0.26715959115094784</v>
      </c>
    </row>
    <row r="4" spans="1:30">
      <c r="A4" s="25">
        <v>2003</v>
      </c>
      <c r="B4" s="25" t="s">
        <v>90</v>
      </c>
      <c r="C4" s="25">
        <v>2</v>
      </c>
      <c r="D4" s="25" t="s">
        <v>91</v>
      </c>
      <c r="E4" s="25">
        <v>139349946300</v>
      </c>
      <c r="F4" s="25" t="s">
        <v>56</v>
      </c>
      <c r="G4" s="25">
        <v>41497361974</v>
      </c>
      <c r="H4" s="25" t="s">
        <v>56</v>
      </c>
      <c r="I4" s="25">
        <v>34340027025.476601</v>
      </c>
      <c r="J4" s="25">
        <v>105009919274.52299</v>
      </c>
      <c r="K4" s="25">
        <v>15910593829.4732</v>
      </c>
      <c r="L4" s="25">
        <v>10878789626</v>
      </c>
      <c r="M4" s="25">
        <v>1648301458.4848499</v>
      </c>
      <c r="N4" s="25">
        <v>83356</v>
      </c>
      <c r="O4" s="25">
        <v>2884</v>
      </c>
      <c r="P4" s="25">
        <v>6899547696</v>
      </c>
      <c r="Q4" s="25">
        <v>5558448986</v>
      </c>
      <c r="R4" s="25">
        <v>5256351292</v>
      </c>
      <c r="S4" s="25" t="s">
        <v>56</v>
      </c>
      <c r="T4" s="25" t="s">
        <v>56</v>
      </c>
      <c r="U4" s="25">
        <v>4714590576</v>
      </c>
      <c r="V4" s="25">
        <v>6090823735</v>
      </c>
      <c r="W4" s="25">
        <v>48103564060</v>
      </c>
      <c r="X4" s="25">
        <v>48103564060</v>
      </c>
      <c r="Y4" s="26">
        <v>65662459347.958099</v>
      </c>
      <c r="Z4" s="25">
        <v>30618572348</v>
      </c>
      <c r="AA4" s="25">
        <v>0.26215617351329601</v>
      </c>
      <c r="AB4" s="25">
        <v>497832.93313018902</v>
      </c>
      <c r="AC4" s="26">
        <f t="shared" si="0"/>
        <v>12655823088.476601</v>
      </c>
      <c r="AD4" s="25">
        <f t="shared" ref="AD4:AD25" si="1">AC4/Y4</f>
        <v>0.19274061943691359</v>
      </c>
    </row>
    <row r="5" spans="1:30" s="64" customFormat="1">
      <c r="A5" s="64">
        <v>2004</v>
      </c>
      <c r="B5" s="64" t="s">
        <v>90</v>
      </c>
      <c r="C5" s="64">
        <v>2</v>
      </c>
      <c r="D5" s="64" t="s">
        <v>91</v>
      </c>
      <c r="E5" s="64">
        <v>179010449525</v>
      </c>
      <c r="F5" s="64" t="s">
        <v>56</v>
      </c>
      <c r="G5" s="64">
        <v>52621053735</v>
      </c>
      <c r="H5" s="64" t="s">
        <v>56</v>
      </c>
      <c r="I5" s="64">
        <v>43545139291.050201</v>
      </c>
      <c r="J5" s="64">
        <v>135465310233.95</v>
      </c>
      <c r="K5" s="64">
        <v>20525047005.143902</v>
      </c>
      <c r="L5" s="64">
        <v>12139435357</v>
      </c>
      <c r="M5" s="64">
        <v>1839308387.4242401</v>
      </c>
      <c r="N5" s="64">
        <v>88653</v>
      </c>
      <c r="O5" s="64">
        <v>3252</v>
      </c>
      <c r="P5" s="64">
        <v>6396127195</v>
      </c>
      <c r="Q5" s="64">
        <v>3154522472</v>
      </c>
      <c r="R5" s="64">
        <v>1599697016</v>
      </c>
      <c r="S5" s="64">
        <v>1743085329</v>
      </c>
      <c r="T5" s="65">
        <v>3342782345</v>
      </c>
      <c r="U5" s="64">
        <v>5136920717</v>
      </c>
      <c r="V5" s="64">
        <v>7039185004</v>
      </c>
      <c r="W5" s="64">
        <v>50525577181</v>
      </c>
      <c r="X5" s="64">
        <v>50525577181</v>
      </c>
      <c r="Y5" s="66">
        <v>72889932573.568207</v>
      </c>
      <c r="Z5" s="64">
        <v>40481618378</v>
      </c>
      <c r="AA5" s="64">
        <v>0.23069540602767599</v>
      </c>
      <c r="AB5" s="64">
        <v>593562.01972860505</v>
      </c>
      <c r="AC5" s="66">
        <f t="shared" si="0"/>
        <v>19229598213.050201</v>
      </c>
      <c r="AD5" s="64">
        <f t="shared" si="1"/>
        <v>0.26381692963759656</v>
      </c>
    </row>
    <row r="6" spans="1:30">
      <c r="A6" s="25">
        <v>2005</v>
      </c>
      <c r="B6" s="25" t="s">
        <v>90</v>
      </c>
      <c r="C6" s="25">
        <v>2</v>
      </c>
      <c r="D6" s="25" t="s">
        <v>91</v>
      </c>
      <c r="E6" s="25">
        <v>184862461743</v>
      </c>
      <c r="F6" s="25" t="s">
        <v>56</v>
      </c>
      <c r="G6" s="25">
        <v>53991760706</v>
      </c>
      <c r="H6" s="25" t="s">
        <v>56</v>
      </c>
      <c r="I6" s="25">
        <v>44679431019.224098</v>
      </c>
      <c r="J6" s="25">
        <v>140183030723.776</v>
      </c>
      <c r="K6" s="25">
        <v>21239853139.966</v>
      </c>
      <c r="L6" s="25">
        <v>14615233399</v>
      </c>
      <c r="M6" s="25">
        <v>2214429302.8787899</v>
      </c>
      <c r="N6" s="25">
        <v>102414</v>
      </c>
      <c r="O6" s="25">
        <v>3445</v>
      </c>
      <c r="P6" s="25">
        <v>6464007473</v>
      </c>
      <c r="Q6" s="25">
        <v>2747259075</v>
      </c>
      <c r="R6" s="25">
        <v>2116008436</v>
      </c>
      <c r="S6" s="25">
        <v>2111494326</v>
      </c>
      <c r="T6" s="27">
        <v>4227502762</v>
      </c>
      <c r="U6" s="25">
        <v>5058292667</v>
      </c>
      <c r="V6" s="25">
        <v>7651885206</v>
      </c>
      <c r="W6" s="25">
        <v>52418214093</v>
      </c>
      <c r="X6" s="25">
        <v>52418214093</v>
      </c>
      <c r="Y6" s="26">
        <v>75872496535.844803</v>
      </c>
      <c r="Z6" s="25">
        <v>39376527307</v>
      </c>
      <c r="AA6" s="25">
        <v>0.27069377267735301</v>
      </c>
      <c r="AB6" s="25">
        <v>527191.21122112195</v>
      </c>
      <c r="AC6" s="26">
        <f t="shared" si="0"/>
        <v>17354019747.224098</v>
      </c>
      <c r="AD6" s="25">
        <f t="shared" si="1"/>
        <v>0.22872609363823235</v>
      </c>
    </row>
    <row r="7" spans="1:30">
      <c r="A7" s="25">
        <v>2006</v>
      </c>
      <c r="B7" s="25" t="s">
        <v>90</v>
      </c>
      <c r="C7" s="25">
        <v>3</v>
      </c>
      <c r="D7" s="25" t="s">
        <v>91</v>
      </c>
      <c r="E7" s="25">
        <v>185039597745.125</v>
      </c>
      <c r="F7" s="25" t="s">
        <v>56</v>
      </c>
      <c r="G7" s="25">
        <v>54017527699.072403</v>
      </c>
      <c r="H7" s="25" t="s">
        <v>56</v>
      </c>
      <c r="I7" s="25">
        <v>44700753802.0802</v>
      </c>
      <c r="J7" s="25">
        <v>140338843943.04501</v>
      </c>
      <c r="K7" s="25">
        <v>21263461203.4916</v>
      </c>
      <c r="L7" s="25">
        <v>13982311018.7924</v>
      </c>
      <c r="M7" s="25">
        <v>2118531972.5443101</v>
      </c>
      <c r="N7" s="25">
        <v>63928.852765380201</v>
      </c>
      <c r="O7" s="25" t="s">
        <v>56</v>
      </c>
      <c r="P7" s="25">
        <v>6516136919.5927401</v>
      </c>
      <c r="Q7" s="25">
        <v>4227827579.7876601</v>
      </c>
      <c r="R7" s="25">
        <v>2182756205.9103298</v>
      </c>
      <c r="S7" s="25">
        <v>1425871108.60551</v>
      </c>
      <c r="T7" s="27">
        <v>3608627314.5158401</v>
      </c>
      <c r="U7" s="25">
        <v>4256913615.71668</v>
      </c>
      <c r="V7" s="25">
        <v>8466464545.5518198</v>
      </c>
      <c r="W7" s="25">
        <v>57185676835.0951</v>
      </c>
      <c r="X7" s="25">
        <v>57185676835.0951</v>
      </c>
      <c r="Y7" s="26">
        <v>80567670011.130997</v>
      </c>
      <c r="Z7" s="25">
        <v>40035216680.279999</v>
      </c>
      <c r="AA7" s="25">
        <v>0.25884766694038402</v>
      </c>
      <c r="AB7" s="25">
        <v>844963.195215118</v>
      </c>
      <c r="AC7" s="26">
        <f t="shared" si="0"/>
        <v>17995064622.019302</v>
      </c>
      <c r="AD7" s="25">
        <f t="shared" si="1"/>
        <v>0.2233534197964662</v>
      </c>
    </row>
    <row r="8" spans="1:30">
      <c r="A8" s="25">
        <v>2007</v>
      </c>
      <c r="B8" s="25" t="s">
        <v>90</v>
      </c>
      <c r="C8" s="25">
        <v>3</v>
      </c>
      <c r="D8" s="25" t="s">
        <v>91</v>
      </c>
      <c r="E8" s="25">
        <v>235394001073.246</v>
      </c>
      <c r="F8" s="25" t="s">
        <v>56</v>
      </c>
      <c r="G8" s="25">
        <v>70661648001.255997</v>
      </c>
      <c r="H8" s="25" t="s">
        <v>56</v>
      </c>
      <c r="I8" s="25">
        <v>58474148394.015404</v>
      </c>
      <c r="J8" s="25">
        <v>176919852679.23001</v>
      </c>
      <c r="K8" s="25">
        <v>26806038284.731899</v>
      </c>
      <c r="L8" s="25">
        <v>19975832217.423302</v>
      </c>
      <c r="M8" s="25">
        <v>3026641245.0641398</v>
      </c>
      <c r="N8" s="25">
        <v>100576.012248596</v>
      </c>
      <c r="O8" s="25" t="s">
        <v>56</v>
      </c>
      <c r="P8" s="25">
        <v>17359289524.518902</v>
      </c>
      <c r="Q8" s="25">
        <v>5954778083.05058</v>
      </c>
      <c r="R8" s="25">
        <v>2050142695.5597501</v>
      </c>
      <c r="S8" s="25">
        <v>2560331482.5603499</v>
      </c>
      <c r="T8" s="27">
        <v>4610474178.1201</v>
      </c>
      <c r="U8" s="25">
        <v>5934830945.5998602</v>
      </c>
      <c r="V8" s="25">
        <v>8452985175.97896</v>
      </c>
      <c r="W8" s="25">
        <v>88288212567.623398</v>
      </c>
      <c r="X8" s="25">
        <v>88288212567.623398</v>
      </c>
      <c r="Y8" s="26">
        <v>118120892097.41901</v>
      </c>
      <c r="Z8" s="25">
        <v>50685815783.832703</v>
      </c>
      <c r="AA8" s="25">
        <v>0.28269694781344801</v>
      </c>
      <c r="AB8" s="25">
        <v>702569.59310138097</v>
      </c>
      <c r="AC8" s="26">
        <f t="shared" si="0"/>
        <v>24110500055.013283</v>
      </c>
      <c r="AD8" s="25">
        <f t="shared" si="1"/>
        <v>0.20411715173238273</v>
      </c>
    </row>
    <row r="9" spans="1:30">
      <c r="A9" s="25">
        <v>2008</v>
      </c>
      <c r="B9" s="25" t="s">
        <v>90</v>
      </c>
      <c r="C9" s="25">
        <v>4</v>
      </c>
      <c r="D9" s="25" t="s">
        <v>92</v>
      </c>
      <c r="E9" s="25">
        <v>284995693319.88397</v>
      </c>
      <c r="F9" s="25" t="s">
        <v>56</v>
      </c>
      <c r="G9" s="25">
        <v>80292211343.235596</v>
      </c>
      <c r="H9" s="25" t="s">
        <v>56</v>
      </c>
      <c r="I9" s="25">
        <v>66443662351.103897</v>
      </c>
      <c r="J9" s="25">
        <v>218552030968.78</v>
      </c>
      <c r="K9" s="25">
        <v>33113944086.178799</v>
      </c>
      <c r="L9" s="25">
        <v>24291156273.874199</v>
      </c>
      <c r="M9" s="25">
        <v>3680478223.31427</v>
      </c>
      <c r="N9" s="25">
        <v>103902.68580704</v>
      </c>
      <c r="O9" s="25" t="s">
        <v>56</v>
      </c>
      <c r="P9" s="25">
        <v>17442926160.214401</v>
      </c>
      <c r="Q9" s="25">
        <v>10194336167.014299</v>
      </c>
      <c r="R9" s="25">
        <v>3655133361.7691598</v>
      </c>
      <c r="S9" s="25">
        <v>3746090502.26123</v>
      </c>
      <c r="T9" s="27">
        <v>7401223864.0304003</v>
      </c>
      <c r="U9" s="25">
        <v>8098413006.6877804</v>
      </c>
      <c r="V9" s="25">
        <v>7355810016.8563604</v>
      </c>
      <c r="W9" s="25">
        <v>107971212345.29601</v>
      </c>
      <c r="X9" s="25">
        <v>107971212345.29601</v>
      </c>
      <c r="Y9" s="26">
        <v>144765634654.789</v>
      </c>
      <c r="Z9" s="25">
        <v>56001055069.361504</v>
      </c>
      <c r="AA9" s="25">
        <v>0.30253440361772599</v>
      </c>
      <c r="AB9" s="25">
        <v>772763.578916025</v>
      </c>
      <c r="AC9" s="26">
        <f t="shared" si="0"/>
        <v>26698283053.685555</v>
      </c>
      <c r="AD9" s="25">
        <f t="shared" si="1"/>
        <v>0.18442417716988432</v>
      </c>
    </row>
    <row r="10" spans="1:30">
      <c r="A10" s="25">
        <v>2009</v>
      </c>
      <c r="B10" s="25" t="s">
        <v>90</v>
      </c>
      <c r="C10" s="25">
        <v>4</v>
      </c>
      <c r="D10" s="25" t="s">
        <v>92</v>
      </c>
      <c r="E10" s="25">
        <v>262347159926.776</v>
      </c>
      <c r="F10" s="25" t="s">
        <v>56</v>
      </c>
      <c r="G10" s="25">
        <v>78234883877.820404</v>
      </c>
      <c r="H10" s="25" t="s">
        <v>56</v>
      </c>
      <c r="I10" s="25">
        <v>64741176279.6548</v>
      </c>
      <c r="J10" s="25">
        <v>197605983647.12201</v>
      </c>
      <c r="K10" s="25">
        <v>29940300552.5942</v>
      </c>
      <c r="L10" s="25">
        <v>29743370612.9925</v>
      </c>
      <c r="M10" s="25">
        <v>4506571304.9988604</v>
      </c>
      <c r="N10" s="25">
        <v>104036.64779083501</v>
      </c>
      <c r="O10" s="25" t="s">
        <v>56</v>
      </c>
      <c r="P10" s="25">
        <v>7961085386.4242697</v>
      </c>
      <c r="Q10" s="25">
        <v>5801409600.9794102</v>
      </c>
      <c r="R10" s="25">
        <v>2415847160.2104001</v>
      </c>
      <c r="S10" s="25">
        <v>1477856506.79828</v>
      </c>
      <c r="T10" s="27">
        <v>3893703667.0086799</v>
      </c>
      <c r="U10" s="25">
        <v>7803216717.6423397</v>
      </c>
      <c r="V10" s="25">
        <v>9175908840.9832592</v>
      </c>
      <c r="W10" s="25">
        <v>93192117548.195999</v>
      </c>
      <c r="X10" s="25">
        <v>93192117548.195999</v>
      </c>
      <c r="Y10" s="26">
        <v>127638989405.789</v>
      </c>
      <c r="Z10" s="25">
        <v>48491513264.827904</v>
      </c>
      <c r="AA10" s="25">
        <v>0.38018041490855597</v>
      </c>
      <c r="AB10" s="25">
        <v>751993.50939402403</v>
      </c>
      <c r="AC10" s="26">
        <f t="shared" si="0"/>
        <v>18018680108.036697</v>
      </c>
      <c r="AD10" s="25">
        <f t="shared" si="1"/>
        <v>0.14116909098012231</v>
      </c>
    </row>
    <row r="11" spans="1:30">
      <c r="A11" s="25">
        <v>2010</v>
      </c>
      <c r="B11" s="25" t="s">
        <v>90</v>
      </c>
      <c r="C11" s="25">
        <v>4</v>
      </c>
      <c r="D11" s="25" t="s">
        <v>92</v>
      </c>
      <c r="E11" s="25">
        <v>298614685114.745</v>
      </c>
      <c r="F11" s="25" t="s">
        <v>56</v>
      </c>
      <c r="G11" s="25">
        <v>95564090931.252304</v>
      </c>
      <c r="H11" s="25" t="s">
        <v>56</v>
      </c>
      <c r="I11" s="25">
        <v>79081496006.913193</v>
      </c>
      <c r="J11" s="25">
        <v>219533189107.83099</v>
      </c>
      <c r="K11" s="25">
        <v>33262604410.2775</v>
      </c>
      <c r="L11" s="25">
        <v>34131850283.349602</v>
      </c>
      <c r="M11" s="25">
        <v>5171492467.1741896</v>
      </c>
      <c r="N11" s="25">
        <v>112274.193929867</v>
      </c>
      <c r="O11" s="25" t="s">
        <v>56</v>
      </c>
      <c r="P11" s="25">
        <v>10581328732.3151</v>
      </c>
      <c r="Q11" s="25">
        <v>6527266606.3431396</v>
      </c>
      <c r="R11" s="25">
        <v>2632960238.7007899</v>
      </c>
      <c r="S11" s="25">
        <v>1822989811.2412601</v>
      </c>
      <c r="T11" s="27">
        <v>4455950049.94205</v>
      </c>
      <c r="U11" s="25">
        <v>8154845648.1199398</v>
      </c>
      <c r="V11" s="25">
        <v>12317165605.5467</v>
      </c>
      <c r="W11" s="25">
        <v>99737810059.451508</v>
      </c>
      <c r="X11" s="25">
        <v>99737810059.451508</v>
      </c>
      <c r="Y11" s="26">
        <v>138171906936.90302</v>
      </c>
      <c r="Z11" s="25">
        <v>61432240647.902702</v>
      </c>
      <c r="AA11" s="25">
        <v>0.35716187901482399</v>
      </c>
      <c r="AB11" s="25">
        <v>851167.01876254403</v>
      </c>
      <c r="AC11" s="26">
        <f t="shared" si="0"/>
        <v>24477634469.89695</v>
      </c>
      <c r="AD11" s="25">
        <f t="shared" si="1"/>
        <v>0.17715348229994973</v>
      </c>
    </row>
    <row r="12" spans="1:30">
      <c r="A12" s="25">
        <v>2011</v>
      </c>
      <c r="B12" s="25" t="s">
        <v>90</v>
      </c>
      <c r="C12" s="25">
        <v>4</v>
      </c>
      <c r="D12" s="25" t="s">
        <v>92</v>
      </c>
      <c r="E12" s="25">
        <v>322720110758.961</v>
      </c>
      <c r="F12" s="25" t="s">
        <v>56</v>
      </c>
      <c r="G12" s="25">
        <v>97706590220.234604</v>
      </c>
      <c r="H12" s="25" t="s">
        <v>56</v>
      </c>
      <c r="I12" s="25">
        <v>80854463732.712601</v>
      </c>
      <c r="J12" s="25">
        <v>241865647026.24899</v>
      </c>
      <c r="K12" s="25">
        <v>36646310155.492203</v>
      </c>
      <c r="L12" s="25">
        <v>38240756792.585899</v>
      </c>
      <c r="M12" s="25">
        <v>5794054059.4827099</v>
      </c>
      <c r="N12" s="25">
        <v>109399.623065035</v>
      </c>
      <c r="O12" s="25">
        <v>2202</v>
      </c>
      <c r="P12" s="25" t="s">
        <v>56</v>
      </c>
      <c r="Q12" s="25" t="s">
        <v>56</v>
      </c>
      <c r="R12" s="25" t="s">
        <v>56</v>
      </c>
      <c r="S12" s="25" t="s">
        <v>56</v>
      </c>
      <c r="T12" s="27" t="s">
        <v>56</v>
      </c>
      <c r="U12" s="25">
        <v>8184811603.9800196</v>
      </c>
      <c r="V12" s="25">
        <v>18825379389.486599</v>
      </c>
      <c r="W12" s="25" t="s">
        <v>56</v>
      </c>
      <c r="X12" s="25">
        <v>122150149877.437</v>
      </c>
      <c r="Y12" s="26">
        <v>164590514092.41199</v>
      </c>
      <c r="Z12" s="25">
        <v>59465833427.648804</v>
      </c>
      <c r="AA12" s="25">
        <v>0.39138359763031</v>
      </c>
      <c r="AB12" s="25">
        <v>893116.333336454</v>
      </c>
      <c r="AC12" s="26">
        <f t="shared" si="0"/>
        <v>15603515946.660084</v>
      </c>
      <c r="AD12" s="25">
        <f t="shared" si="1"/>
        <v>9.480203663437882E-2</v>
      </c>
    </row>
    <row r="13" spans="1:30">
      <c r="A13" s="25">
        <v>2012</v>
      </c>
      <c r="B13" s="25" t="s">
        <v>90</v>
      </c>
      <c r="C13" s="25">
        <v>4</v>
      </c>
      <c r="D13" s="25" t="s">
        <v>92</v>
      </c>
      <c r="E13" s="25">
        <v>366495477250.28802</v>
      </c>
      <c r="F13" s="25" t="s">
        <v>56</v>
      </c>
      <c r="G13" s="25">
        <v>99292174533.573807</v>
      </c>
      <c r="H13" s="25" t="s">
        <v>56</v>
      </c>
      <c r="I13" s="25">
        <v>82166571432.603302</v>
      </c>
      <c r="J13" s="25">
        <v>284328905817.68402</v>
      </c>
      <c r="K13" s="25">
        <v>43080137245.103699</v>
      </c>
      <c r="L13" s="25">
        <v>43787874689.425102</v>
      </c>
      <c r="M13" s="25">
        <v>6634526468.0947199</v>
      </c>
      <c r="N13" s="25">
        <v>110138.749533575</v>
      </c>
      <c r="O13" s="25" t="s">
        <v>56</v>
      </c>
      <c r="P13" s="25">
        <v>17144628448.139</v>
      </c>
      <c r="Q13" s="25">
        <v>11867620456.3477</v>
      </c>
      <c r="R13" s="25">
        <v>5974186587.4051304</v>
      </c>
      <c r="S13" s="25">
        <v>3152613515.84694</v>
      </c>
      <c r="T13" s="27">
        <v>9126800103.2520695</v>
      </c>
      <c r="U13" s="25">
        <v>9200641100.6563606</v>
      </c>
      <c r="V13" s="25">
        <v>16525006971.0191</v>
      </c>
      <c r="W13" s="25">
        <v>118070224347.511</v>
      </c>
      <c r="X13" s="25">
        <v>118070224347.511</v>
      </c>
      <c r="Y13" s="26">
        <v>167784888060.70901</v>
      </c>
      <c r="Z13" s="25">
        <v>55504299844.148697</v>
      </c>
      <c r="AA13" s="25">
        <v>0.44100025903470402</v>
      </c>
      <c r="AB13" s="25">
        <v>901518.99267119495</v>
      </c>
      <c r="AC13" s="26">
        <f t="shared" si="0"/>
        <v>12653048671.502739</v>
      </c>
      <c r="AD13" s="25">
        <f>AC13/Y13</f>
        <v>7.5412325971362396E-2</v>
      </c>
    </row>
    <row r="14" spans="1:30">
      <c r="A14" s="25">
        <v>2013</v>
      </c>
      <c r="B14" s="25" t="s">
        <v>90</v>
      </c>
      <c r="C14" s="25">
        <v>4</v>
      </c>
      <c r="D14" s="25" t="s">
        <v>92</v>
      </c>
      <c r="E14" s="25">
        <v>393495580200.29303</v>
      </c>
      <c r="F14" s="25" t="s">
        <v>56</v>
      </c>
      <c r="G14" s="25">
        <v>111896035273.73399</v>
      </c>
      <c r="H14" s="25" t="s">
        <v>56</v>
      </c>
      <c r="I14" s="25">
        <v>92596557770.376694</v>
      </c>
      <c r="J14" s="25">
        <v>300899022429.91602</v>
      </c>
      <c r="K14" s="25">
        <v>45590760974.229698</v>
      </c>
      <c r="L14" s="25">
        <v>50186679222.508797</v>
      </c>
      <c r="M14" s="25">
        <v>7604042306.4407301</v>
      </c>
      <c r="N14" s="25">
        <v>109797.749814658</v>
      </c>
      <c r="O14" s="25" t="s">
        <v>56</v>
      </c>
      <c r="P14" s="25">
        <v>28790672811.2985</v>
      </c>
      <c r="Q14" s="25">
        <v>18295653366.858398</v>
      </c>
      <c r="R14" s="25">
        <v>2479792576.5747099</v>
      </c>
      <c r="S14" s="25">
        <v>16298811702.858601</v>
      </c>
      <c r="T14" s="27">
        <v>18778604279.4333</v>
      </c>
      <c r="U14" s="25">
        <v>9634456614.2834396</v>
      </c>
      <c r="V14" s="25">
        <v>20496674468.1147</v>
      </c>
      <c r="W14" s="25">
        <v>130303268121.312</v>
      </c>
      <c r="X14" s="25">
        <v>130303268121.312</v>
      </c>
      <c r="Y14" s="26">
        <v>183498071401.983</v>
      </c>
      <c r="Z14" s="25">
        <v>61709356051.225502</v>
      </c>
      <c r="AA14" s="25">
        <v>0.4485116840801</v>
      </c>
      <c r="AB14" s="25">
        <v>1019110.45957334</v>
      </c>
      <c r="AC14" s="26">
        <f t="shared" si="0"/>
        <v>12278747465.469757</v>
      </c>
      <c r="AD14" s="25">
        <f t="shared" si="1"/>
        <v>6.691485840508439E-2</v>
      </c>
    </row>
    <row r="15" spans="1:30">
      <c r="A15" s="25">
        <v>2014</v>
      </c>
      <c r="B15" s="25" t="s">
        <v>90</v>
      </c>
      <c r="C15" s="25">
        <v>4</v>
      </c>
      <c r="D15" s="25" t="s">
        <v>92</v>
      </c>
      <c r="E15" s="25">
        <v>453640919223.41602</v>
      </c>
      <c r="F15" s="25" t="s">
        <v>56</v>
      </c>
      <c r="G15" s="25">
        <v>130780131947.159</v>
      </c>
      <c r="H15" s="25" t="s">
        <v>56</v>
      </c>
      <c r="I15" s="25">
        <v>108223584628.696</v>
      </c>
      <c r="J15" s="25">
        <v>345417334594.71899</v>
      </c>
      <c r="K15" s="25">
        <v>52335959787.078697</v>
      </c>
      <c r="L15" s="25">
        <v>56837646365.692398</v>
      </c>
      <c r="M15" s="25">
        <v>8611764600.8624802</v>
      </c>
      <c r="N15" s="25">
        <v>107700.426949954</v>
      </c>
      <c r="O15" s="25" t="s">
        <v>56</v>
      </c>
      <c r="P15" s="25">
        <v>78176629453.823105</v>
      </c>
      <c r="Q15" s="25">
        <v>52611954747.577003</v>
      </c>
      <c r="R15" s="25">
        <v>2217119087.20402</v>
      </c>
      <c r="S15" s="25">
        <v>48143911013.675201</v>
      </c>
      <c r="T15" s="27">
        <v>50361030100.879204</v>
      </c>
      <c r="U15" s="25">
        <v>12235321829.4487</v>
      </c>
      <c r="V15" s="25">
        <v>22082788548.337002</v>
      </c>
      <c r="W15" s="25">
        <v>198429417562.73401</v>
      </c>
      <c r="X15" s="25">
        <v>198429417562.73401</v>
      </c>
      <c r="Y15" s="26">
        <v>259377141950.67499</v>
      </c>
      <c r="Z15" s="25">
        <v>73942485581.466507</v>
      </c>
      <c r="AA15" s="25">
        <v>0.43460459566333298</v>
      </c>
      <c r="AB15" s="25">
        <v>1214295.39000741</v>
      </c>
      <c r="AC15" s="26">
        <f t="shared" si="0"/>
        <v>17067827885.217899</v>
      </c>
      <c r="AD15" s="25">
        <f t="shared" si="1"/>
        <v>6.5803130363984191E-2</v>
      </c>
    </row>
    <row r="16" spans="1:30">
      <c r="A16" s="25">
        <v>2015</v>
      </c>
      <c r="B16" s="25" t="s">
        <v>90</v>
      </c>
      <c r="C16" s="25">
        <v>4</v>
      </c>
      <c r="D16" s="25" t="s">
        <v>92</v>
      </c>
      <c r="E16" s="25">
        <v>478094966223.237</v>
      </c>
      <c r="F16" s="25" t="s">
        <v>56</v>
      </c>
      <c r="G16" s="25">
        <v>151939673902.59201</v>
      </c>
      <c r="H16" s="25" t="s">
        <v>56</v>
      </c>
      <c r="I16" s="25">
        <v>125733595097.592</v>
      </c>
      <c r="J16" s="25">
        <v>352361371125.64502</v>
      </c>
      <c r="K16" s="25">
        <v>53388086534.188698</v>
      </c>
      <c r="L16" s="25">
        <v>61103872632.969101</v>
      </c>
      <c r="M16" s="25">
        <v>9258162520.1468391</v>
      </c>
      <c r="N16" s="25">
        <v>103791.208900956</v>
      </c>
      <c r="O16" s="25" t="s">
        <v>56</v>
      </c>
      <c r="P16" s="25">
        <v>26806672376.5168</v>
      </c>
      <c r="Q16" s="25">
        <v>16410900596.9536</v>
      </c>
      <c r="R16" s="25">
        <v>1393260740.63695</v>
      </c>
      <c r="S16" s="25">
        <v>6282740266.2847996</v>
      </c>
      <c r="T16" s="27">
        <v>7676001006.9217501</v>
      </c>
      <c r="U16" s="25">
        <v>14988600854.6759</v>
      </c>
      <c r="V16" s="25">
        <v>24800676496.6772</v>
      </c>
      <c r="W16" s="25">
        <v>207813793849.16599</v>
      </c>
      <c r="X16" s="25">
        <v>207813793849.16599</v>
      </c>
      <c r="Y16" s="26">
        <v>270460042903.50201</v>
      </c>
      <c r="Z16" s="25">
        <v>90835801269.622894</v>
      </c>
      <c r="AA16" s="25">
        <v>0.402158771725037</v>
      </c>
      <c r="AB16" s="25">
        <v>1463897.3330350299</v>
      </c>
      <c r="AC16" s="26">
        <f t="shared" si="0"/>
        <v>24840445113.269791</v>
      </c>
      <c r="AD16" s="25">
        <f t="shared" si="1"/>
        <v>9.1845157039084926E-2</v>
      </c>
    </row>
    <row r="17" spans="1:30">
      <c r="A17" s="25">
        <v>2016</v>
      </c>
      <c r="B17" s="25" t="s">
        <v>90</v>
      </c>
      <c r="C17" s="25">
        <v>4</v>
      </c>
      <c r="D17" s="25" t="s">
        <v>92</v>
      </c>
      <c r="E17" s="25">
        <v>488282856955.12799</v>
      </c>
      <c r="F17" s="25" t="s">
        <v>56</v>
      </c>
      <c r="G17" s="25">
        <v>155382839152.64899</v>
      </c>
      <c r="H17" s="25" t="s">
        <v>56</v>
      </c>
      <c r="I17" s="25">
        <v>128582893995.537</v>
      </c>
      <c r="J17" s="25">
        <v>359699962959.59198</v>
      </c>
      <c r="K17" s="25">
        <v>54499994387.816902</v>
      </c>
      <c r="L17" s="25">
        <v>65854041864.740097</v>
      </c>
      <c r="M17" s="25">
        <v>9977885131.0212307</v>
      </c>
      <c r="N17" s="25">
        <v>100240.446716766</v>
      </c>
      <c r="O17" s="25" t="s">
        <v>56</v>
      </c>
      <c r="P17" s="25">
        <v>17409371770.145</v>
      </c>
      <c r="Q17" s="25">
        <v>7957401871.3004799</v>
      </c>
      <c r="R17" s="25">
        <v>1694713789.3844199</v>
      </c>
      <c r="S17" s="25">
        <v>4309905878.0705795</v>
      </c>
      <c r="T17" s="27">
        <v>6004619667.4550104</v>
      </c>
      <c r="U17" s="25">
        <v>16145911799.0432</v>
      </c>
      <c r="V17" s="25">
        <v>26902000893.9114</v>
      </c>
      <c r="W17" s="25">
        <v>218824498043.51999</v>
      </c>
      <c r="X17" s="25">
        <v>218824498043.51999</v>
      </c>
      <c r="Y17" s="26">
        <v>283302377562.35797</v>
      </c>
      <c r="Z17" s="25">
        <v>89528797287.908905</v>
      </c>
      <c r="AA17" s="25">
        <v>0.423817985460059</v>
      </c>
      <c r="AB17" s="25">
        <v>1550101.2240267801</v>
      </c>
      <c r="AC17" s="26">
        <f t="shared" si="0"/>
        <v>19680939437.842308</v>
      </c>
      <c r="AD17" s="25">
        <f t="shared" si="1"/>
        <v>6.9469729153650739E-2</v>
      </c>
    </row>
    <row r="18" spans="1:30">
      <c r="A18" s="25">
        <v>2017</v>
      </c>
      <c r="B18" s="25" t="s">
        <v>90</v>
      </c>
      <c r="C18" s="25">
        <v>5</v>
      </c>
      <c r="D18" s="25" t="s">
        <v>92</v>
      </c>
      <c r="E18" s="25">
        <v>484141525416.43597</v>
      </c>
      <c r="F18" s="25">
        <v>455782090534.62</v>
      </c>
      <c r="G18" s="25">
        <v>164424571873.86099</v>
      </c>
      <c r="H18" s="25">
        <v>136065136992.04601</v>
      </c>
      <c r="I18" s="25">
        <v>136065136992.04601</v>
      </c>
      <c r="J18" s="25">
        <v>348076388424.39001</v>
      </c>
      <c r="K18" s="25">
        <v>52738846730.968102</v>
      </c>
      <c r="L18" s="25">
        <v>70584977309.771698</v>
      </c>
      <c r="M18" s="25">
        <v>10694693531.7836</v>
      </c>
      <c r="N18" s="25">
        <v>97466.997226108302</v>
      </c>
      <c r="O18" s="25" t="s">
        <v>56</v>
      </c>
      <c r="P18" s="25">
        <v>17036239960.98</v>
      </c>
      <c r="Q18" s="25">
        <v>8481037478.9200001</v>
      </c>
      <c r="R18" s="25">
        <v>1726303402.3</v>
      </c>
      <c r="S18" s="25">
        <v>2897152608.0599999</v>
      </c>
      <c r="T18" s="27">
        <v>4623456010.3599997</v>
      </c>
      <c r="U18" s="25">
        <v>15918676560.870001</v>
      </c>
      <c r="V18" s="25">
        <v>1963308432.45</v>
      </c>
      <c r="W18" s="25">
        <v>209773097223.23999</v>
      </c>
      <c r="X18" s="25">
        <v>209773097223.23999</v>
      </c>
      <c r="Y18" s="26">
        <v>273206637485.992</v>
      </c>
      <c r="Z18" s="25">
        <v>93839594564.0896</v>
      </c>
      <c r="AA18" s="25">
        <v>0.42928484778978898</v>
      </c>
      <c r="AB18" s="25">
        <v>1686976.8901613101</v>
      </c>
      <c r="AC18" s="26">
        <f t="shared" si="0"/>
        <v>47598174688.954308</v>
      </c>
      <c r="AD18" s="25">
        <f t="shared" si="1"/>
        <v>0.174220418387144</v>
      </c>
    </row>
    <row r="19" spans="1:30">
      <c r="A19" s="25">
        <v>2018</v>
      </c>
      <c r="B19" s="25" t="s">
        <v>90</v>
      </c>
      <c r="C19" s="25">
        <v>5</v>
      </c>
      <c r="D19" s="25" t="s">
        <v>92</v>
      </c>
      <c r="E19" s="25">
        <v>570036849535.36304</v>
      </c>
      <c r="F19" s="25">
        <v>539642243987.48297</v>
      </c>
      <c r="G19" s="25">
        <v>197885329971.67599</v>
      </c>
      <c r="H19" s="25">
        <v>167490724423.79599</v>
      </c>
      <c r="I19" s="25">
        <v>167490724423.79599</v>
      </c>
      <c r="J19" s="25">
        <v>402546125111.56702</v>
      </c>
      <c r="K19" s="25">
        <v>60991837138.116203</v>
      </c>
      <c r="L19" s="25">
        <v>76120684622.310806</v>
      </c>
      <c r="M19" s="25">
        <v>11533437063.9865</v>
      </c>
      <c r="N19" s="25">
        <v>94566.085657075993</v>
      </c>
      <c r="O19" s="25" t="s">
        <v>56</v>
      </c>
      <c r="P19" s="25">
        <v>21403883661.212399</v>
      </c>
      <c r="Q19" s="25">
        <v>9398761236.7636108</v>
      </c>
      <c r="R19" s="25">
        <v>2344301120.1145501</v>
      </c>
      <c r="S19" s="25">
        <v>3875594513.7322798</v>
      </c>
      <c r="T19" s="27">
        <v>6219895633.8468304</v>
      </c>
      <c r="U19" s="25">
        <v>16454135974.9035</v>
      </c>
      <c r="V19" s="25">
        <v>1215222874.5782199</v>
      </c>
      <c r="W19" s="25">
        <v>230944653073.897</v>
      </c>
      <c r="X19" s="25">
        <v>230944653073.897</v>
      </c>
      <c r="Y19" s="26">
        <v>303469927276</v>
      </c>
      <c r="Z19" s="25">
        <v>121764645349.366</v>
      </c>
      <c r="AA19" s="25">
        <v>0.38467068091002998</v>
      </c>
      <c r="AB19" s="25">
        <v>2092561.28766148</v>
      </c>
      <c r="AC19" s="26">
        <f t="shared" si="0"/>
        <v>73700680952.003464</v>
      </c>
      <c r="AD19" s="25">
        <f t="shared" si="1"/>
        <v>0.24285991568770546</v>
      </c>
    </row>
    <row r="20" spans="1:30">
      <c r="A20" s="25">
        <v>2019</v>
      </c>
      <c r="B20" s="25" t="s">
        <v>90</v>
      </c>
      <c r="C20" s="25">
        <v>5</v>
      </c>
      <c r="D20" s="25" t="s">
        <v>92</v>
      </c>
      <c r="E20" s="25">
        <v>601651424497</v>
      </c>
      <c r="F20" s="25">
        <v>569209962569</v>
      </c>
      <c r="G20" s="25">
        <v>190772526038</v>
      </c>
      <c r="H20" s="25">
        <v>158331064110</v>
      </c>
      <c r="I20" s="25">
        <v>158331064110</v>
      </c>
      <c r="J20" s="25">
        <v>443320360387</v>
      </c>
      <c r="K20" s="25">
        <v>67169751573.787903</v>
      </c>
      <c r="L20" s="25">
        <v>80999471228</v>
      </c>
      <c r="M20" s="25">
        <v>12272647155.757601</v>
      </c>
      <c r="N20" s="25">
        <v>90481</v>
      </c>
      <c r="O20" s="25" t="s">
        <v>56</v>
      </c>
      <c r="P20" s="25">
        <v>30759048024</v>
      </c>
      <c r="Q20" s="25">
        <v>10582877554</v>
      </c>
      <c r="R20" s="25">
        <v>10715087960</v>
      </c>
      <c r="S20" s="25">
        <v>3917218825</v>
      </c>
      <c r="T20" s="27">
        <v>14632306785</v>
      </c>
      <c r="U20" s="25">
        <v>18470370583.307598</v>
      </c>
      <c r="V20" s="25">
        <v>1701376372.9667399</v>
      </c>
      <c r="W20" s="25">
        <v>259048160897</v>
      </c>
      <c r="X20" s="25">
        <v>259048160897</v>
      </c>
      <c r="Y20" s="26">
        <v>338490559626.54498</v>
      </c>
      <c r="Z20" s="25">
        <v>109773054810</v>
      </c>
      <c r="AA20" s="25">
        <v>0.42458666827038699</v>
      </c>
      <c r="AB20" s="25">
        <v>2108426.3661763198</v>
      </c>
      <c r="AC20" s="26">
        <f t="shared" si="0"/>
        <v>57159845925.725655</v>
      </c>
      <c r="AD20" s="25">
        <f t="shared" si="1"/>
        <v>0.16886688358100693</v>
      </c>
    </row>
    <row r="21" spans="1:30">
      <c r="A21" s="25">
        <v>2020</v>
      </c>
      <c r="B21" s="25" t="s">
        <v>90</v>
      </c>
      <c r="C21" s="25">
        <v>5</v>
      </c>
      <c r="D21" s="25" t="s">
        <v>92</v>
      </c>
      <c r="E21" s="25">
        <v>600817528391.49805</v>
      </c>
      <c r="F21" s="25">
        <v>569255108499.03101</v>
      </c>
      <c r="G21" s="25">
        <v>182963110731.009</v>
      </c>
      <c r="H21" s="25">
        <v>151400690838.54199</v>
      </c>
      <c r="I21" s="25">
        <v>151400690838.54199</v>
      </c>
      <c r="J21" s="25">
        <v>449416837552.95599</v>
      </c>
      <c r="K21" s="25">
        <v>68093460235.296402</v>
      </c>
      <c r="L21" s="25">
        <v>78278216489.303406</v>
      </c>
      <c r="M21" s="25">
        <v>11860335831.712601</v>
      </c>
      <c r="N21" s="25">
        <v>84764.464740720796</v>
      </c>
      <c r="O21" s="25">
        <v>1759</v>
      </c>
      <c r="P21" s="25">
        <v>40941559983.906898</v>
      </c>
      <c r="Q21" s="25">
        <v>9808505040.4488697</v>
      </c>
      <c r="R21" s="25">
        <v>3275448937.7523799</v>
      </c>
      <c r="S21" s="25">
        <v>2709351603.15066</v>
      </c>
      <c r="T21" s="27">
        <v>5984800540.9030504</v>
      </c>
      <c r="U21" s="25">
        <v>19749525803.3465</v>
      </c>
      <c r="V21" s="25">
        <v>-1827346818.60041</v>
      </c>
      <c r="W21" s="25">
        <v>296322600807.052</v>
      </c>
      <c r="X21" s="25">
        <v>296322600807.052</v>
      </c>
      <c r="Y21" s="26">
        <v>376276396874.06097</v>
      </c>
      <c r="Z21" s="25">
        <v>104684894241.705</v>
      </c>
      <c r="AA21" s="25">
        <v>0.42783606037605898</v>
      </c>
      <c r="AB21" s="25">
        <v>2158488.3629084402</v>
      </c>
      <c r="AC21" s="26">
        <f t="shared" si="0"/>
        <v>55200295364.4925</v>
      </c>
      <c r="AD21" s="25">
        <f t="shared" si="1"/>
        <v>0.14670145622492484</v>
      </c>
    </row>
    <row r="22" spans="1:30">
      <c r="A22" s="25">
        <v>2021</v>
      </c>
      <c r="B22" s="25" t="s">
        <v>90</v>
      </c>
      <c r="C22" s="25">
        <v>5</v>
      </c>
      <c r="D22" s="25" t="s">
        <v>92</v>
      </c>
      <c r="E22" s="25">
        <v>740451400483.521</v>
      </c>
      <c r="F22" s="25">
        <v>729519030143.12903</v>
      </c>
      <c r="G22" s="25">
        <v>224974680121.47299</v>
      </c>
      <c r="H22" s="25">
        <v>214042309781.07999</v>
      </c>
      <c r="I22" s="25">
        <v>214042309781.07999</v>
      </c>
      <c r="J22" s="25">
        <v>526409090702.44098</v>
      </c>
      <c r="K22" s="25">
        <v>79758953136.733398</v>
      </c>
      <c r="L22" s="25">
        <v>84122098877.865601</v>
      </c>
      <c r="M22" s="25">
        <v>12745772557.252399</v>
      </c>
      <c r="N22" s="25">
        <v>86333.094378265305</v>
      </c>
      <c r="O22" s="25" t="s">
        <v>56</v>
      </c>
      <c r="P22" s="25">
        <v>83942983585.564697</v>
      </c>
      <c r="Q22" s="25">
        <v>18626904296.7775</v>
      </c>
      <c r="R22" s="25">
        <v>3312365312.6912799</v>
      </c>
      <c r="S22" s="25">
        <v>6003788394.3875504</v>
      </c>
      <c r="T22" s="27">
        <v>9316153707.0788193</v>
      </c>
      <c r="U22" s="25">
        <v>21739333748.875999</v>
      </c>
      <c r="V22" s="25">
        <v>-1158610716.3440599</v>
      </c>
      <c r="W22" s="25">
        <v>377193985828.289</v>
      </c>
      <c r="X22" s="25">
        <v>377193985828.289</v>
      </c>
      <c r="Y22" s="26">
        <v>469698711522.27502</v>
      </c>
      <c r="Z22" s="25">
        <v>140852581243.60699</v>
      </c>
      <c r="AA22" s="25">
        <v>0.37391807305802</v>
      </c>
      <c r="AB22" s="25">
        <v>2605891.5383683001</v>
      </c>
      <c r="AC22" s="26">
        <f t="shared" si="0"/>
        <v>109339487870.68243</v>
      </c>
      <c r="AD22" s="25">
        <f t="shared" si="1"/>
        <v>0.23278643349120004</v>
      </c>
    </row>
    <row r="23" spans="1:30">
      <c r="A23" s="25">
        <v>2022</v>
      </c>
      <c r="B23" s="25" t="s">
        <v>90</v>
      </c>
      <c r="C23" s="25">
        <v>5</v>
      </c>
      <c r="D23" s="25" t="s">
        <v>92</v>
      </c>
      <c r="E23" s="25">
        <v>887448109461.11902</v>
      </c>
      <c r="F23" s="25">
        <v>847221297274.51501</v>
      </c>
      <c r="G23" s="25">
        <v>265536050207.76501</v>
      </c>
      <c r="H23" s="25">
        <v>225309238021.16101</v>
      </c>
      <c r="I23" s="25">
        <v>225309238021.16101</v>
      </c>
      <c r="J23" s="25">
        <v>662138871439.95801</v>
      </c>
      <c r="K23" s="25">
        <v>100324071430.297</v>
      </c>
      <c r="L23" s="25">
        <v>95609914033.877808</v>
      </c>
      <c r="M23" s="25">
        <v>14486350611.1936</v>
      </c>
      <c r="N23" s="25">
        <v>89467.506088785594</v>
      </c>
      <c r="O23" s="25" t="s">
        <v>56</v>
      </c>
      <c r="P23" s="25">
        <v>69687013752.249298</v>
      </c>
      <c r="Q23" s="25">
        <v>17242949725.568802</v>
      </c>
      <c r="R23" s="25">
        <v>4140576932.6812201</v>
      </c>
      <c r="S23" s="25">
        <v>5180380048.5410299</v>
      </c>
      <c r="T23" s="27">
        <v>9320956981.22225</v>
      </c>
      <c r="U23" s="25">
        <v>21523441673.284</v>
      </c>
      <c r="V23" s="25">
        <v>-2700847763.2316799</v>
      </c>
      <c r="W23" s="25">
        <v>392603477898.92603</v>
      </c>
      <c r="X23" s="25">
        <v>392603477898.92603</v>
      </c>
      <c r="Y23" s="26">
        <v>507413899940.41602</v>
      </c>
      <c r="Z23" s="25">
        <v>169926136173.88699</v>
      </c>
      <c r="AA23" s="25">
        <v>0.36006378026286501</v>
      </c>
      <c r="AB23" s="25">
        <v>2967960.79175665</v>
      </c>
      <c r="AC23" s="26">
        <f t="shared" si="0"/>
        <v>110876730077.23088</v>
      </c>
      <c r="AD23" s="25">
        <f t="shared" si="1"/>
        <v>0.21851338737517986</v>
      </c>
    </row>
    <row r="24" spans="1:30">
      <c r="A24" s="25">
        <v>2023</v>
      </c>
      <c r="B24" s="25" t="s">
        <v>90</v>
      </c>
      <c r="C24" s="25">
        <v>5</v>
      </c>
      <c r="D24" s="25" t="s">
        <v>92</v>
      </c>
      <c r="E24" s="25">
        <v>809592502649.11304</v>
      </c>
      <c r="F24" s="25">
        <v>767904015950.46802</v>
      </c>
      <c r="G24" s="25">
        <v>240127159755.69601</v>
      </c>
      <c r="H24" s="25">
        <v>198438673057.05099</v>
      </c>
      <c r="I24" s="25">
        <v>198438673057.05099</v>
      </c>
      <c r="J24" s="25">
        <v>611153829592.06201</v>
      </c>
      <c r="K24" s="25">
        <v>92599065089.706406</v>
      </c>
      <c r="L24" s="25">
        <v>104619799861.40601</v>
      </c>
      <c r="M24" s="25">
        <v>15851484827.4858</v>
      </c>
      <c r="N24" s="25">
        <v>89501.941393681205</v>
      </c>
      <c r="O24" s="25" t="s">
        <v>56</v>
      </c>
      <c r="P24" s="25">
        <v>56457788625.375702</v>
      </c>
      <c r="Q24" s="25">
        <v>38688155694.244598</v>
      </c>
      <c r="R24" s="25">
        <v>3048451859.309</v>
      </c>
      <c r="S24" s="25">
        <v>4990645244.9849796</v>
      </c>
      <c r="T24" s="27">
        <v>8039097104.2939796</v>
      </c>
      <c r="U24" s="25">
        <v>24684323791.2756</v>
      </c>
      <c r="V24" s="25">
        <v>-1909039042.8452401</v>
      </c>
      <c r="W24" s="25">
        <v>402462792005.25299</v>
      </c>
      <c r="X24" s="25">
        <v>402462792005.25299</v>
      </c>
      <c r="Y24" s="26">
        <v>510913341922.44598</v>
      </c>
      <c r="Z24" s="25">
        <v>135507359894.28999</v>
      </c>
      <c r="AA24" s="25">
        <v>0.435684992767357</v>
      </c>
      <c r="AB24" s="25">
        <v>2682926.8283631802</v>
      </c>
      <c r="AC24" s="26">
        <f t="shared" si="0"/>
        <v>71043588447.21463</v>
      </c>
      <c r="AD24" s="25">
        <f t="shared" si="1"/>
        <v>0.13905213001464087</v>
      </c>
    </row>
    <row r="25" spans="1:30">
      <c r="A25" s="25">
        <v>2024</v>
      </c>
      <c r="B25" s="25" t="s">
        <v>90</v>
      </c>
      <c r="C25" s="25">
        <v>5</v>
      </c>
      <c r="D25" s="25" t="s">
        <v>92</v>
      </c>
      <c r="E25" s="25">
        <v>858071607633.11902</v>
      </c>
      <c r="F25" s="25">
        <v>812702000296.11499</v>
      </c>
      <c r="G25" s="25">
        <v>263970325327.66501</v>
      </c>
      <c r="H25" s="25">
        <v>218600717990.66101</v>
      </c>
      <c r="I25" s="25">
        <v>218600717990.66101</v>
      </c>
      <c r="J25" s="25">
        <v>639470889642.45801</v>
      </c>
      <c r="K25" s="25">
        <v>96889528733.705704</v>
      </c>
      <c r="L25" s="25">
        <v>112924265631.88699</v>
      </c>
      <c r="M25" s="25">
        <v>17109737216.9526</v>
      </c>
      <c r="N25" s="25">
        <v>90863.927158021295</v>
      </c>
      <c r="O25" s="25" t="s">
        <v>56</v>
      </c>
      <c r="P25" s="25">
        <v>43801057524.488998</v>
      </c>
      <c r="Q25" s="25">
        <v>22430814377.730701</v>
      </c>
      <c r="R25" s="25">
        <v>2213301432.9945798</v>
      </c>
      <c r="S25" s="25">
        <v>6190763386.0507202</v>
      </c>
      <c r="T25" s="27">
        <v>8404064819.0452995</v>
      </c>
      <c r="U25" s="25">
        <v>27515759179.244099</v>
      </c>
      <c r="V25" s="25">
        <v>-2002949331.6091499</v>
      </c>
      <c r="W25" s="25">
        <v>436965957591.82397</v>
      </c>
      <c r="X25" s="25">
        <v>436965957591.82397</v>
      </c>
      <c r="Y25" s="26">
        <v>550965223542.48206</v>
      </c>
      <c r="Z25" s="25">
        <v>151046059695.77802</v>
      </c>
      <c r="AA25" s="25">
        <v>0.42779151592784098</v>
      </c>
      <c r="AB25" s="25">
        <v>2905116.8443181501</v>
      </c>
      <c r="AC25" s="26">
        <f t="shared" si="0"/>
        <v>80163642511.139069</v>
      </c>
      <c r="AD25" s="25">
        <f t="shared" si="1"/>
        <v>0.14549673751769573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5C29-15BD-45C7-A7F0-4DF891FCDFFC}">
  <dimension ref="A1:AD27"/>
  <sheetViews>
    <sheetView workbookViewId="0">
      <pane ySplit="1" topLeftCell="A12" activePane="bottomLeft" state="frozen"/>
      <selection pane="bottomLeft" activeCell="M28" sqref="M28"/>
    </sheetView>
  </sheetViews>
  <sheetFormatPr baseColWidth="10" defaultRowHeight="15"/>
  <cols>
    <col min="1" max="1" width="11.42578125" style="25"/>
    <col min="2" max="2" width="3.85546875" style="25" customWidth="1"/>
    <col min="3" max="3" width="11.42578125" style="25"/>
    <col min="4" max="4" width="7.85546875" style="25" customWidth="1"/>
    <col min="5" max="5" width="11.42578125" style="25"/>
    <col min="6" max="6" width="10" style="25" customWidth="1"/>
    <col min="7" max="10" width="11.42578125" style="25"/>
    <col min="11" max="11" width="13.42578125" style="69" customWidth="1"/>
    <col min="12" max="19" width="11.42578125" style="25"/>
    <col min="20" max="20" width="17.85546875" style="25" bestFit="1" customWidth="1"/>
    <col min="21" max="24" width="11.42578125" style="25"/>
    <col min="25" max="25" width="24.28515625" style="25" customWidth="1"/>
    <col min="26" max="26" width="11.42578125" style="25"/>
    <col min="27" max="27" width="18.28515625" style="25" customWidth="1"/>
    <col min="28" max="28" width="11.42578125" style="25"/>
    <col min="29" max="29" width="17.85546875" style="25" bestFit="1" customWidth="1"/>
    <col min="30" max="16384" width="11.42578125" style="25"/>
  </cols>
  <sheetData>
    <row r="1" spans="1:30" s="9" customFormat="1" ht="60">
      <c r="A1" s="9" t="s">
        <v>65</v>
      </c>
      <c r="B1" s="9" t="s">
        <v>66</v>
      </c>
      <c r="C1" s="9" t="s">
        <v>67</v>
      </c>
      <c r="D1" s="9" t="s">
        <v>68</v>
      </c>
      <c r="E1" s="9" t="s">
        <v>69</v>
      </c>
      <c r="F1" s="9" t="s">
        <v>70</v>
      </c>
      <c r="G1" s="9" t="s">
        <v>71</v>
      </c>
      <c r="H1" s="9" t="s">
        <v>72</v>
      </c>
      <c r="I1" s="9" t="s">
        <v>73</v>
      </c>
      <c r="J1" s="9" t="s">
        <v>74</v>
      </c>
      <c r="K1" s="68" t="s">
        <v>75</v>
      </c>
      <c r="L1" s="9" t="s">
        <v>76</v>
      </c>
      <c r="M1" s="9" t="s">
        <v>77</v>
      </c>
      <c r="N1" s="9" t="s">
        <v>78</v>
      </c>
      <c r="O1" s="9" t="s">
        <v>79</v>
      </c>
      <c r="P1" s="9" t="s">
        <v>31</v>
      </c>
      <c r="Q1" s="9" t="s">
        <v>80</v>
      </c>
      <c r="R1" s="9" t="s">
        <v>81</v>
      </c>
      <c r="S1" s="9" t="s">
        <v>82</v>
      </c>
      <c r="T1" s="9" t="s">
        <v>83</v>
      </c>
      <c r="U1" s="9" t="s">
        <v>84</v>
      </c>
      <c r="V1" s="9" t="s">
        <v>85</v>
      </c>
      <c r="W1" s="9" t="s">
        <v>29</v>
      </c>
      <c r="X1" s="9" t="s">
        <v>86</v>
      </c>
      <c r="Y1" s="9" t="s">
        <v>28</v>
      </c>
      <c r="Z1" s="9" t="s">
        <v>87</v>
      </c>
      <c r="AA1" s="9" t="s">
        <v>88</v>
      </c>
      <c r="AB1" s="9" t="s">
        <v>89</v>
      </c>
      <c r="AC1" s="9" t="s">
        <v>30</v>
      </c>
    </row>
    <row r="2" spans="1:30">
      <c r="A2" s="25">
        <v>2001</v>
      </c>
      <c r="B2" s="25" t="s">
        <v>90</v>
      </c>
      <c r="C2" s="25">
        <v>1</v>
      </c>
      <c r="D2" s="25" t="s">
        <v>91</v>
      </c>
      <c r="E2" s="25">
        <v>89240215000</v>
      </c>
      <c r="F2" s="25" t="s">
        <v>56</v>
      </c>
      <c r="G2" s="25">
        <v>32030854000</v>
      </c>
      <c r="H2" s="25" t="s">
        <v>56</v>
      </c>
      <c r="I2" s="25">
        <v>26506272680.6166</v>
      </c>
      <c r="J2" s="25">
        <v>62733942319.383301</v>
      </c>
      <c r="K2" s="69">
        <v>9505142775.6641407</v>
      </c>
      <c r="L2" s="25">
        <v>11462459000</v>
      </c>
      <c r="M2" s="25">
        <v>1736736212.1212101</v>
      </c>
      <c r="N2" s="75">
        <v>113817</v>
      </c>
      <c r="O2" s="25">
        <v>12367</v>
      </c>
      <c r="P2" s="25">
        <v>3539644000</v>
      </c>
      <c r="Q2" s="25">
        <v>2057120000</v>
      </c>
      <c r="R2" s="25">
        <v>1075519000</v>
      </c>
      <c r="S2" s="25" t="s">
        <v>56</v>
      </c>
      <c r="T2" s="25" t="s">
        <v>56</v>
      </c>
      <c r="U2" s="25">
        <v>3127411000</v>
      </c>
      <c r="V2" s="25">
        <v>6829485000</v>
      </c>
      <c r="W2" s="25">
        <v>28622363000</v>
      </c>
      <c r="X2" s="25">
        <v>28622363000</v>
      </c>
      <c r="Y2" s="26">
        <v>39864241987.7854</v>
      </c>
      <c r="Z2" s="25">
        <v>20568395000</v>
      </c>
      <c r="AA2" s="25">
        <v>0.35785680269405201</v>
      </c>
      <c r="AB2" s="25">
        <v>281424.16334993899</v>
      </c>
      <c r="AC2" s="26">
        <f>I2-L2-U2-V2</f>
        <v>5086917680.6166</v>
      </c>
      <c r="AD2" s="25">
        <f>AC2/Y2</f>
        <v>0.12760603054173855</v>
      </c>
    </row>
    <row r="3" spans="1:30">
      <c r="A3" s="25">
        <v>2002</v>
      </c>
      <c r="B3" s="25" t="s">
        <v>90</v>
      </c>
      <c r="C3" s="25">
        <v>2</v>
      </c>
      <c r="D3" s="25" t="s">
        <v>91</v>
      </c>
      <c r="E3" s="25">
        <v>104934883446</v>
      </c>
      <c r="F3" s="25" t="s">
        <v>56</v>
      </c>
      <c r="G3" s="25">
        <v>39381506784</v>
      </c>
      <c r="H3" s="25" t="s">
        <v>56</v>
      </c>
      <c r="I3" s="25">
        <v>32589107907.9646</v>
      </c>
      <c r="J3" s="25">
        <v>72345775538.0354</v>
      </c>
      <c r="K3" s="69">
        <v>10961481142.1266</v>
      </c>
      <c r="L3" s="25">
        <v>9421078355</v>
      </c>
      <c r="M3" s="25">
        <v>1427436114.39394</v>
      </c>
      <c r="N3" s="75">
        <v>76575</v>
      </c>
      <c r="O3" s="25">
        <v>2884</v>
      </c>
      <c r="P3" s="25" t="s">
        <v>56</v>
      </c>
      <c r="Q3" s="25" t="s">
        <v>56</v>
      </c>
      <c r="R3" s="25" t="s">
        <v>56</v>
      </c>
      <c r="S3" s="25" t="s">
        <v>56</v>
      </c>
      <c r="T3" s="25" t="s">
        <v>56</v>
      </c>
      <c r="U3" s="25">
        <v>3758469943</v>
      </c>
      <c r="V3" s="25">
        <v>5924169665</v>
      </c>
      <c r="W3" s="25" t="s">
        <v>56</v>
      </c>
      <c r="X3" s="25">
        <v>38087990148.780998</v>
      </c>
      <c r="Y3" s="26">
        <v>50476907405.301498</v>
      </c>
      <c r="Z3" s="25">
        <v>29960428429</v>
      </c>
      <c r="AA3" s="25">
        <v>0.23922594954715201</v>
      </c>
      <c r="AB3" s="25">
        <v>514286.73567091097</v>
      </c>
      <c r="AC3" s="26">
        <f t="shared" ref="AC3:AC25" si="0">I3-L3-U3-V3</f>
        <v>13485389944.9646</v>
      </c>
      <c r="AD3" s="25">
        <f t="shared" ref="AD3:AD25" si="1">AC3/Y3</f>
        <v>0.26715959115094784</v>
      </c>
    </row>
    <row r="4" spans="1:30">
      <c r="A4" s="25">
        <v>2003</v>
      </c>
      <c r="B4" s="25" t="s">
        <v>90</v>
      </c>
      <c r="C4" s="25">
        <v>2</v>
      </c>
      <c r="D4" s="25" t="s">
        <v>91</v>
      </c>
      <c r="E4" s="25">
        <v>139349946300</v>
      </c>
      <c r="F4" s="25" t="s">
        <v>56</v>
      </c>
      <c r="G4" s="25">
        <v>41497361974</v>
      </c>
      <c r="H4" s="25" t="s">
        <v>56</v>
      </c>
      <c r="I4" s="25">
        <v>34340027025.476601</v>
      </c>
      <c r="J4" s="25">
        <v>105009919274.52299</v>
      </c>
      <c r="K4" s="69">
        <v>15910593829.4732</v>
      </c>
      <c r="L4" s="25">
        <v>10878789626</v>
      </c>
      <c r="M4" s="25">
        <v>1648301458.4848499</v>
      </c>
      <c r="N4" s="75">
        <v>83356</v>
      </c>
      <c r="O4" s="25">
        <v>2884</v>
      </c>
      <c r="P4" s="25">
        <v>6899547696</v>
      </c>
      <c r="Q4" s="25">
        <v>5558448986</v>
      </c>
      <c r="R4" s="25">
        <v>5256351292</v>
      </c>
      <c r="S4" s="25" t="s">
        <v>56</v>
      </c>
      <c r="T4" s="25" t="s">
        <v>56</v>
      </c>
      <c r="U4" s="25">
        <v>4714590576</v>
      </c>
      <c r="V4" s="25">
        <v>6090823735</v>
      </c>
      <c r="W4" s="25">
        <v>48103564060</v>
      </c>
      <c r="X4" s="25">
        <v>48103564060</v>
      </c>
      <c r="Y4" s="26">
        <v>65662459347.958099</v>
      </c>
      <c r="Z4" s="25">
        <v>30618572348</v>
      </c>
      <c r="AA4" s="25">
        <v>0.26215617351329601</v>
      </c>
      <c r="AB4" s="25">
        <v>497832.93313018902</v>
      </c>
      <c r="AC4" s="26">
        <f t="shared" si="0"/>
        <v>12655823088.476601</v>
      </c>
      <c r="AD4" s="25">
        <f t="shared" si="1"/>
        <v>0.19274061943691359</v>
      </c>
    </row>
    <row r="5" spans="1:30" s="64" customFormat="1">
      <c r="A5" s="64">
        <v>2004</v>
      </c>
      <c r="B5" s="64" t="s">
        <v>90</v>
      </c>
      <c r="C5" s="64">
        <v>2</v>
      </c>
      <c r="D5" s="64" t="s">
        <v>91</v>
      </c>
      <c r="E5" s="64">
        <v>179010449525</v>
      </c>
      <c r="F5" s="64" t="s">
        <v>56</v>
      </c>
      <c r="G5" s="64">
        <v>52621053735</v>
      </c>
      <c r="H5" s="64" t="s">
        <v>56</v>
      </c>
      <c r="I5" s="64">
        <v>43545139291.050201</v>
      </c>
      <c r="J5" s="64">
        <v>135465310233.95</v>
      </c>
      <c r="K5" s="69">
        <v>20525047005.143902</v>
      </c>
      <c r="L5" s="64">
        <v>12139435357</v>
      </c>
      <c r="M5" s="64">
        <v>1839308387.4242401</v>
      </c>
      <c r="N5" s="76">
        <v>88653</v>
      </c>
      <c r="O5" s="64">
        <v>3252</v>
      </c>
      <c r="P5" s="64">
        <v>6396127195</v>
      </c>
      <c r="Q5" s="64">
        <v>3154522472</v>
      </c>
      <c r="R5" s="64">
        <v>1599697016</v>
      </c>
      <c r="S5" s="64">
        <v>1743085329</v>
      </c>
      <c r="T5" s="65">
        <v>3342782345</v>
      </c>
      <c r="U5" s="64">
        <v>5136920717</v>
      </c>
      <c r="V5" s="64">
        <v>7039185004</v>
      </c>
      <c r="W5" s="64">
        <v>50525577181</v>
      </c>
      <c r="X5" s="64">
        <v>50525577181</v>
      </c>
      <c r="Y5" s="66">
        <v>72889932573.568207</v>
      </c>
      <c r="Z5" s="64">
        <v>40481618378</v>
      </c>
      <c r="AA5" s="64">
        <v>0.23069540602767599</v>
      </c>
      <c r="AB5" s="64">
        <v>593562.01972860505</v>
      </c>
      <c r="AC5" s="66">
        <f t="shared" si="0"/>
        <v>19229598213.050201</v>
      </c>
      <c r="AD5" s="64">
        <f t="shared" si="1"/>
        <v>0.26381692963759656</v>
      </c>
    </row>
    <row r="6" spans="1:30">
      <c r="A6" s="25">
        <v>2005</v>
      </c>
      <c r="B6" s="25" t="s">
        <v>90</v>
      </c>
      <c r="C6" s="25">
        <v>2</v>
      </c>
      <c r="D6" s="25" t="s">
        <v>91</v>
      </c>
      <c r="E6" s="25">
        <v>184862461743</v>
      </c>
      <c r="F6" s="25" t="s">
        <v>56</v>
      </c>
      <c r="G6" s="25">
        <v>53991760706</v>
      </c>
      <c r="H6" s="25" t="s">
        <v>56</v>
      </c>
      <c r="I6" s="25">
        <v>44679431019.224098</v>
      </c>
      <c r="J6" s="25">
        <v>140183030723.776</v>
      </c>
      <c r="K6" s="69">
        <v>21239853139.966</v>
      </c>
      <c r="L6" s="25">
        <v>14615233399</v>
      </c>
      <c r="M6" s="25">
        <v>2214429302.8787899</v>
      </c>
      <c r="N6" s="75">
        <v>102414</v>
      </c>
      <c r="O6" s="25">
        <v>3445</v>
      </c>
      <c r="P6" s="25">
        <v>6464007473</v>
      </c>
      <c r="Q6" s="25">
        <v>2747259075</v>
      </c>
      <c r="R6" s="25">
        <v>2116008436</v>
      </c>
      <c r="S6" s="25">
        <v>2111494326</v>
      </c>
      <c r="T6" s="27">
        <v>4227502762</v>
      </c>
      <c r="U6" s="25">
        <v>5058292667</v>
      </c>
      <c r="V6" s="25">
        <v>7651885206</v>
      </c>
      <c r="W6" s="25">
        <v>52418214093</v>
      </c>
      <c r="X6" s="25">
        <v>52418214093</v>
      </c>
      <c r="Y6" s="26">
        <v>75872496535.844803</v>
      </c>
      <c r="Z6" s="25">
        <v>39376527307</v>
      </c>
      <c r="AA6" s="25">
        <v>0.27069377267735301</v>
      </c>
      <c r="AB6" s="25">
        <v>527191.21122112195</v>
      </c>
      <c r="AC6" s="26">
        <f t="shared" si="0"/>
        <v>17354019747.224098</v>
      </c>
      <c r="AD6" s="25">
        <f t="shared" si="1"/>
        <v>0.22872609363823235</v>
      </c>
    </row>
    <row r="7" spans="1:30">
      <c r="A7" s="25">
        <v>2006</v>
      </c>
      <c r="B7" s="25" t="s">
        <v>90</v>
      </c>
      <c r="C7" s="25">
        <v>3</v>
      </c>
      <c r="D7" s="25" t="s">
        <v>91</v>
      </c>
      <c r="E7" s="25">
        <v>185039597745.125</v>
      </c>
      <c r="F7" s="25" t="s">
        <v>56</v>
      </c>
      <c r="G7" s="25">
        <v>54017527699.072403</v>
      </c>
      <c r="H7" s="25" t="s">
        <v>56</v>
      </c>
      <c r="I7" s="25">
        <v>44700753802.0802</v>
      </c>
      <c r="J7" s="25">
        <v>140338843943.04501</v>
      </c>
      <c r="K7" s="69">
        <v>21263461203.4916</v>
      </c>
      <c r="L7" s="25">
        <v>13982311018.7924</v>
      </c>
      <c r="M7" s="25">
        <v>2118531972.5443101</v>
      </c>
      <c r="N7" s="75">
        <v>63928.852765380201</v>
      </c>
      <c r="O7" s="25" t="s">
        <v>56</v>
      </c>
      <c r="P7" s="25">
        <v>6516136919.5927401</v>
      </c>
      <c r="Q7" s="25">
        <v>4227827579.7876601</v>
      </c>
      <c r="R7" s="25">
        <v>2182756205.9103298</v>
      </c>
      <c r="S7" s="25">
        <v>1425871108.60551</v>
      </c>
      <c r="T7" s="27">
        <v>3608627314.5158401</v>
      </c>
      <c r="U7" s="25">
        <v>4256913615.71668</v>
      </c>
      <c r="V7" s="25">
        <v>8466464545.5518198</v>
      </c>
      <c r="W7" s="25">
        <v>57185676835.0951</v>
      </c>
      <c r="X7" s="25">
        <v>57185676835.0951</v>
      </c>
      <c r="Y7" s="26">
        <v>80567670011.130997</v>
      </c>
      <c r="Z7" s="25">
        <v>40035216680.279999</v>
      </c>
      <c r="AA7" s="25">
        <v>0.25884766694038402</v>
      </c>
      <c r="AB7" s="25">
        <v>844963.195215118</v>
      </c>
      <c r="AC7" s="26">
        <f t="shared" si="0"/>
        <v>17995064622.019302</v>
      </c>
      <c r="AD7" s="25">
        <f t="shared" si="1"/>
        <v>0.2233534197964662</v>
      </c>
    </row>
    <row r="8" spans="1:30">
      <c r="A8" s="25">
        <v>2007</v>
      </c>
      <c r="B8" s="25" t="s">
        <v>90</v>
      </c>
      <c r="C8" s="25">
        <v>3</v>
      </c>
      <c r="D8" s="25" t="s">
        <v>91</v>
      </c>
      <c r="E8" s="25">
        <v>235394001073.246</v>
      </c>
      <c r="F8" s="25" t="s">
        <v>56</v>
      </c>
      <c r="G8" s="25">
        <v>70661648001.255997</v>
      </c>
      <c r="H8" s="25" t="s">
        <v>56</v>
      </c>
      <c r="I8" s="25">
        <v>58474148394.015404</v>
      </c>
      <c r="J8" s="25">
        <v>176919852679.23001</v>
      </c>
      <c r="K8" s="69">
        <v>26806038284.731899</v>
      </c>
      <c r="L8" s="25">
        <v>19975832217.423302</v>
      </c>
      <c r="M8" s="25">
        <v>3026641245.0641398</v>
      </c>
      <c r="N8" s="75">
        <v>100576.012248596</v>
      </c>
      <c r="O8" s="25" t="s">
        <v>56</v>
      </c>
      <c r="P8" s="25">
        <v>17359289524.518902</v>
      </c>
      <c r="Q8" s="25">
        <v>5954778083.05058</v>
      </c>
      <c r="R8" s="25">
        <v>2050142695.5597501</v>
      </c>
      <c r="S8" s="25">
        <v>2560331482.5603499</v>
      </c>
      <c r="T8" s="27">
        <v>4610474178.1201</v>
      </c>
      <c r="U8" s="25">
        <v>5934830945.5998602</v>
      </c>
      <c r="V8" s="25">
        <v>8452985175.97896</v>
      </c>
      <c r="W8" s="25">
        <v>88288212567.623398</v>
      </c>
      <c r="X8" s="25">
        <v>88288212567.623398</v>
      </c>
      <c r="Y8" s="26">
        <v>118120892097.41901</v>
      </c>
      <c r="Z8" s="25">
        <v>50685815783.832703</v>
      </c>
      <c r="AA8" s="25">
        <v>0.28269694781344801</v>
      </c>
      <c r="AB8" s="25">
        <v>702569.59310138097</v>
      </c>
      <c r="AC8" s="26">
        <f t="shared" si="0"/>
        <v>24110500055.013283</v>
      </c>
      <c r="AD8" s="25">
        <f t="shared" si="1"/>
        <v>0.20411715173238273</v>
      </c>
    </row>
    <row r="9" spans="1:30">
      <c r="A9" s="25">
        <v>2008</v>
      </c>
      <c r="B9" s="25" t="s">
        <v>90</v>
      </c>
      <c r="C9" s="25">
        <v>4</v>
      </c>
      <c r="D9" s="25" t="s">
        <v>92</v>
      </c>
      <c r="E9" s="25">
        <v>284995693319.88397</v>
      </c>
      <c r="F9" s="25" t="s">
        <v>56</v>
      </c>
      <c r="G9" s="25">
        <v>80292211343.235596</v>
      </c>
      <c r="H9" s="25" t="s">
        <v>56</v>
      </c>
      <c r="I9" s="25">
        <v>66443662351.103897</v>
      </c>
      <c r="J9" s="25">
        <v>218552030968.78</v>
      </c>
      <c r="K9" s="69">
        <v>33113944086.178799</v>
      </c>
      <c r="L9" s="25">
        <v>24291156273.874199</v>
      </c>
      <c r="M9" s="25">
        <v>3680478223.31427</v>
      </c>
      <c r="N9" s="75">
        <v>103902.68580704</v>
      </c>
      <c r="O9" s="25" t="s">
        <v>56</v>
      </c>
      <c r="P9" s="25">
        <v>17442926160.214401</v>
      </c>
      <c r="Q9" s="25">
        <v>10194336167.014299</v>
      </c>
      <c r="R9" s="25">
        <v>3655133361.7691598</v>
      </c>
      <c r="S9" s="25">
        <v>3746090502.26123</v>
      </c>
      <c r="T9" s="27">
        <v>7401223864.0304003</v>
      </c>
      <c r="U9" s="25">
        <v>8098413006.6877804</v>
      </c>
      <c r="V9" s="25">
        <v>7355810016.8563604</v>
      </c>
      <c r="W9" s="25">
        <v>107971212345.29601</v>
      </c>
      <c r="X9" s="25">
        <v>107971212345.29601</v>
      </c>
      <c r="Y9" s="26">
        <v>144765634654.789</v>
      </c>
      <c r="Z9" s="25">
        <v>56001055069.361504</v>
      </c>
      <c r="AA9" s="25">
        <v>0.30253440361772599</v>
      </c>
      <c r="AB9" s="25">
        <v>772763.578916025</v>
      </c>
      <c r="AC9" s="26">
        <f t="shared" si="0"/>
        <v>26698283053.685555</v>
      </c>
      <c r="AD9" s="25">
        <f t="shared" si="1"/>
        <v>0.18442417716988432</v>
      </c>
    </row>
    <row r="10" spans="1:30">
      <c r="A10" s="25">
        <v>2009</v>
      </c>
      <c r="B10" s="25" t="s">
        <v>90</v>
      </c>
      <c r="C10" s="25">
        <v>4</v>
      </c>
      <c r="D10" s="25" t="s">
        <v>92</v>
      </c>
      <c r="E10" s="25">
        <v>262347159926.776</v>
      </c>
      <c r="F10" s="25" t="s">
        <v>56</v>
      </c>
      <c r="G10" s="25">
        <v>78234883877.820404</v>
      </c>
      <c r="H10" s="25" t="s">
        <v>56</v>
      </c>
      <c r="I10" s="25">
        <v>64741176279.6548</v>
      </c>
      <c r="J10" s="25">
        <v>197605983647.12201</v>
      </c>
      <c r="K10" s="69">
        <v>29940300552.5942</v>
      </c>
      <c r="L10" s="25">
        <v>29743370612.9925</v>
      </c>
      <c r="M10" s="25">
        <v>4506571304.9988604</v>
      </c>
      <c r="N10" s="75">
        <v>104036.64779083501</v>
      </c>
      <c r="O10" s="25" t="s">
        <v>56</v>
      </c>
      <c r="P10" s="25">
        <v>7961085386.4242697</v>
      </c>
      <c r="Q10" s="25">
        <v>5801409600.9794102</v>
      </c>
      <c r="R10" s="25">
        <v>2415847160.2104001</v>
      </c>
      <c r="S10" s="25">
        <v>1477856506.79828</v>
      </c>
      <c r="T10" s="27">
        <v>3893703667.0086799</v>
      </c>
      <c r="U10" s="25">
        <v>7803216717.6423397</v>
      </c>
      <c r="V10" s="25">
        <v>9175908840.9832592</v>
      </c>
      <c r="W10" s="25">
        <v>93192117548.195999</v>
      </c>
      <c r="X10" s="25">
        <v>93192117548.195999</v>
      </c>
      <c r="Y10" s="26">
        <v>127638989405.789</v>
      </c>
      <c r="Z10" s="25">
        <v>48491513264.827904</v>
      </c>
      <c r="AA10" s="25">
        <v>0.38018041490855597</v>
      </c>
      <c r="AB10" s="25">
        <v>751993.50939402403</v>
      </c>
      <c r="AC10" s="26">
        <f t="shared" si="0"/>
        <v>18018680108.036697</v>
      </c>
      <c r="AD10" s="25">
        <f t="shared" si="1"/>
        <v>0.14116909098012231</v>
      </c>
    </row>
    <row r="11" spans="1:30">
      <c r="A11" s="25">
        <v>2010</v>
      </c>
      <c r="B11" s="25" t="s">
        <v>90</v>
      </c>
      <c r="C11" s="25">
        <v>4</v>
      </c>
      <c r="D11" s="25" t="s">
        <v>92</v>
      </c>
      <c r="E11" s="25">
        <v>298614685114.745</v>
      </c>
      <c r="F11" s="25" t="s">
        <v>56</v>
      </c>
      <c r="G11" s="25">
        <v>95564090931.252304</v>
      </c>
      <c r="H11" s="25" t="s">
        <v>56</v>
      </c>
      <c r="I11" s="25">
        <v>79081496006.913193</v>
      </c>
      <c r="J11" s="25">
        <v>219533189107.83099</v>
      </c>
      <c r="K11" s="69">
        <v>33262604410.2775</v>
      </c>
      <c r="L11" s="25">
        <v>34131850283.349602</v>
      </c>
      <c r="M11" s="25">
        <v>5171492467.1741896</v>
      </c>
      <c r="N11" s="75">
        <v>112274.193929867</v>
      </c>
      <c r="O11" s="25" t="s">
        <v>56</v>
      </c>
      <c r="P11" s="25">
        <v>10581328732.3151</v>
      </c>
      <c r="Q11" s="25">
        <v>6527266606.3431396</v>
      </c>
      <c r="R11" s="25">
        <v>2632960238.7007899</v>
      </c>
      <c r="S11" s="25">
        <v>1822989811.2412601</v>
      </c>
      <c r="T11" s="27">
        <v>4455950049.94205</v>
      </c>
      <c r="U11" s="25">
        <v>8154845648.1199398</v>
      </c>
      <c r="V11" s="25">
        <v>12317165605.5467</v>
      </c>
      <c r="W11" s="25">
        <v>99737810059.451508</v>
      </c>
      <c r="X11" s="25">
        <v>99737810059.451508</v>
      </c>
      <c r="Y11" s="26">
        <v>138171906936.90302</v>
      </c>
      <c r="Z11" s="25">
        <v>61432240647.902702</v>
      </c>
      <c r="AA11" s="25">
        <v>0.35716187901482399</v>
      </c>
      <c r="AB11" s="25">
        <v>851167.01876254403</v>
      </c>
      <c r="AC11" s="26">
        <f t="shared" si="0"/>
        <v>24477634469.89695</v>
      </c>
      <c r="AD11" s="25">
        <f t="shared" si="1"/>
        <v>0.17715348229994973</v>
      </c>
    </row>
    <row r="12" spans="1:30">
      <c r="A12" s="25">
        <v>2011</v>
      </c>
      <c r="B12" s="25" t="s">
        <v>90</v>
      </c>
      <c r="C12" s="25">
        <v>4</v>
      </c>
      <c r="D12" s="25" t="s">
        <v>92</v>
      </c>
      <c r="E12" s="25">
        <v>322720110758.961</v>
      </c>
      <c r="F12" s="25" t="s">
        <v>56</v>
      </c>
      <c r="G12" s="25">
        <v>97706590220.234604</v>
      </c>
      <c r="H12" s="25" t="s">
        <v>56</v>
      </c>
      <c r="I12" s="25">
        <v>80854463732.712601</v>
      </c>
      <c r="J12" s="25">
        <v>241865647026.24899</v>
      </c>
      <c r="K12" s="69">
        <v>36646310155.492203</v>
      </c>
      <c r="L12" s="25">
        <v>38240756792.585899</v>
      </c>
      <c r="M12" s="25">
        <v>5794054059.4827099</v>
      </c>
      <c r="N12" s="75">
        <v>109399.623065035</v>
      </c>
      <c r="O12" s="25">
        <v>2202</v>
      </c>
      <c r="P12" s="25" t="s">
        <v>56</v>
      </c>
      <c r="Q12" s="25" t="s">
        <v>56</v>
      </c>
      <c r="R12" s="25" t="s">
        <v>56</v>
      </c>
      <c r="S12" s="25" t="s">
        <v>56</v>
      </c>
      <c r="T12" s="27" t="s">
        <v>56</v>
      </c>
      <c r="U12" s="25">
        <v>8184811603.9800196</v>
      </c>
      <c r="V12" s="25">
        <v>18825379389.486599</v>
      </c>
      <c r="W12" s="25" t="s">
        <v>56</v>
      </c>
      <c r="X12" s="25">
        <v>122150149877.437</v>
      </c>
      <c r="Y12" s="26">
        <v>164590514092.41199</v>
      </c>
      <c r="Z12" s="25">
        <v>59465833427.648804</v>
      </c>
      <c r="AA12" s="25">
        <v>0.39138359763031</v>
      </c>
      <c r="AB12" s="25">
        <v>893116.333336454</v>
      </c>
      <c r="AC12" s="26">
        <f t="shared" si="0"/>
        <v>15603515946.660084</v>
      </c>
      <c r="AD12" s="25">
        <f t="shared" si="1"/>
        <v>9.480203663437882E-2</v>
      </c>
    </row>
    <row r="13" spans="1:30">
      <c r="A13" s="25">
        <v>2012</v>
      </c>
      <c r="B13" s="25" t="s">
        <v>90</v>
      </c>
      <c r="C13" s="25">
        <v>4</v>
      </c>
      <c r="D13" s="25" t="s">
        <v>92</v>
      </c>
      <c r="E13" s="25">
        <v>366495477250.28802</v>
      </c>
      <c r="F13" s="25" t="s">
        <v>56</v>
      </c>
      <c r="G13" s="25">
        <v>99292174533.573807</v>
      </c>
      <c r="H13" s="25" t="s">
        <v>56</v>
      </c>
      <c r="I13" s="25">
        <v>82166571432.603302</v>
      </c>
      <c r="J13" s="25">
        <v>284328905817.68402</v>
      </c>
      <c r="K13" s="69">
        <v>43080137245.103699</v>
      </c>
      <c r="L13" s="25">
        <v>43787874689.425102</v>
      </c>
      <c r="M13" s="25">
        <v>6634526468.0947199</v>
      </c>
      <c r="N13" s="75">
        <v>110138.749533575</v>
      </c>
      <c r="O13" s="25" t="s">
        <v>56</v>
      </c>
      <c r="P13" s="25">
        <v>17144628448.139</v>
      </c>
      <c r="Q13" s="25">
        <v>11867620456.3477</v>
      </c>
      <c r="R13" s="25">
        <v>5974186587.4051304</v>
      </c>
      <c r="S13" s="25">
        <v>3152613515.84694</v>
      </c>
      <c r="T13" s="27">
        <v>9126800103.2520695</v>
      </c>
      <c r="U13" s="25">
        <v>9200641100.6563606</v>
      </c>
      <c r="V13" s="25">
        <v>16525006971.0191</v>
      </c>
      <c r="W13" s="25">
        <v>118070224347.511</v>
      </c>
      <c r="X13" s="25">
        <v>118070224347.511</v>
      </c>
      <c r="Y13" s="26">
        <v>167784888060.70901</v>
      </c>
      <c r="Z13" s="25">
        <v>55504299844.148697</v>
      </c>
      <c r="AA13" s="25">
        <v>0.44100025903470402</v>
      </c>
      <c r="AB13" s="25">
        <v>901518.99267119495</v>
      </c>
      <c r="AC13" s="26">
        <f t="shared" si="0"/>
        <v>12653048671.502739</v>
      </c>
      <c r="AD13" s="25">
        <f>AC13/Y13</f>
        <v>7.5412325971362396E-2</v>
      </c>
    </row>
    <row r="14" spans="1:30">
      <c r="A14" s="25">
        <v>2013</v>
      </c>
      <c r="B14" s="25" t="s">
        <v>90</v>
      </c>
      <c r="C14" s="25">
        <v>4</v>
      </c>
      <c r="D14" s="25" t="s">
        <v>92</v>
      </c>
      <c r="E14" s="25">
        <v>393495580200.29303</v>
      </c>
      <c r="F14" s="25" t="s">
        <v>56</v>
      </c>
      <c r="G14" s="25">
        <v>111896035273.73399</v>
      </c>
      <c r="H14" s="25" t="s">
        <v>56</v>
      </c>
      <c r="I14" s="25">
        <v>92596557770.376694</v>
      </c>
      <c r="J14" s="25">
        <v>300899022429.91602</v>
      </c>
      <c r="K14" s="69">
        <v>45590760974.229698</v>
      </c>
      <c r="L14" s="25">
        <v>50186679222.508797</v>
      </c>
      <c r="M14" s="25">
        <v>7604042306.4407301</v>
      </c>
      <c r="N14" s="75">
        <v>109797.749814658</v>
      </c>
      <c r="O14" s="25" t="s">
        <v>56</v>
      </c>
      <c r="P14" s="25">
        <v>28790672811.2985</v>
      </c>
      <c r="Q14" s="25">
        <v>18295653366.858398</v>
      </c>
      <c r="R14" s="25">
        <v>2479792576.5747099</v>
      </c>
      <c r="S14" s="25">
        <v>16298811702.858601</v>
      </c>
      <c r="T14" s="27">
        <v>18778604279.4333</v>
      </c>
      <c r="U14" s="25">
        <v>9634456614.2834396</v>
      </c>
      <c r="V14" s="25">
        <v>20496674468.1147</v>
      </c>
      <c r="W14" s="25">
        <v>130303268121.312</v>
      </c>
      <c r="X14" s="25">
        <v>130303268121.312</v>
      </c>
      <c r="Y14" s="26">
        <v>183498071401.983</v>
      </c>
      <c r="Z14" s="25">
        <v>61709356051.225502</v>
      </c>
      <c r="AA14" s="25">
        <v>0.4485116840801</v>
      </c>
      <c r="AB14" s="25">
        <v>1019110.45957334</v>
      </c>
      <c r="AC14" s="26">
        <f t="shared" si="0"/>
        <v>12278747465.469757</v>
      </c>
      <c r="AD14" s="25">
        <f t="shared" si="1"/>
        <v>6.691485840508439E-2</v>
      </c>
    </row>
    <row r="15" spans="1:30">
      <c r="A15" s="25">
        <v>2014</v>
      </c>
      <c r="B15" s="25" t="s">
        <v>90</v>
      </c>
      <c r="C15" s="25">
        <v>4</v>
      </c>
      <c r="D15" s="25" t="s">
        <v>92</v>
      </c>
      <c r="E15" s="25">
        <v>453640919223.41602</v>
      </c>
      <c r="F15" s="25" t="s">
        <v>56</v>
      </c>
      <c r="G15" s="25">
        <v>130780131947.159</v>
      </c>
      <c r="H15" s="25" t="s">
        <v>56</v>
      </c>
      <c r="I15" s="25">
        <v>108223584628.696</v>
      </c>
      <c r="J15" s="25">
        <v>345417334594.71899</v>
      </c>
      <c r="K15" s="69">
        <v>52335959787.078697</v>
      </c>
      <c r="L15" s="25">
        <v>56837646365.692398</v>
      </c>
      <c r="M15" s="25">
        <v>8611764600.8624802</v>
      </c>
      <c r="N15" s="75">
        <v>107700.426949954</v>
      </c>
      <c r="O15" s="25" t="s">
        <v>56</v>
      </c>
      <c r="P15" s="25">
        <v>78176629453.823105</v>
      </c>
      <c r="Q15" s="25">
        <v>52611954747.577003</v>
      </c>
      <c r="R15" s="25">
        <v>2217119087.20402</v>
      </c>
      <c r="S15" s="25">
        <v>48143911013.675201</v>
      </c>
      <c r="T15" s="27">
        <v>50361030100.879204</v>
      </c>
      <c r="U15" s="25">
        <v>12235321829.4487</v>
      </c>
      <c r="V15" s="25">
        <v>22082788548.337002</v>
      </c>
      <c r="W15" s="25">
        <v>198429417562.73401</v>
      </c>
      <c r="X15" s="25">
        <v>198429417562.73401</v>
      </c>
      <c r="Y15" s="26">
        <v>259377141950.67499</v>
      </c>
      <c r="Z15" s="25">
        <v>73942485581.466507</v>
      </c>
      <c r="AA15" s="25">
        <v>0.43460459566333298</v>
      </c>
      <c r="AB15" s="25">
        <v>1214295.39000741</v>
      </c>
      <c r="AC15" s="26">
        <f t="shared" si="0"/>
        <v>17067827885.217899</v>
      </c>
      <c r="AD15" s="25">
        <f t="shared" si="1"/>
        <v>6.5803130363984191E-2</v>
      </c>
    </row>
    <row r="16" spans="1:30">
      <c r="A16" s="25">
        <v>2015</v>
      </c>
      <c r="B16" s="25" t="s">
        <v>90</v>
      </c>
      <c r="C16" s="25">
        <v>4</v>
      </c>
      <c r="D16" s="25" t="s">
        <v>92</v>
      </c>
      <c r="E16" s="25">
        <v>478094966223.237</v>
      </c>
      <c r="F16" s="25" t="s">
        <v>56</v>
      </c>
      <c r="G16" s="25">
        <v>151939673902.59201</v>
      </c>
      <c r="H16" s="25" t="s">
        <v>56</v>
      </c>
      <c r="I16" s="25">
        <v>125733595097.592</v>
      </c>
      <c r="J16" s="25">
        <v>352361371125.64502</v>
      </c>
      <c r="K16" s="69">
        <v>53388086534.188698</v>
      </c>
      <c r="L16" s="25">
        <v>61103872632.969101</v>
      </c>
      <c r="M16" s="25">
        <v>9258162520.1468391</v>
      </c>
      <c r="N16" s="75">
        <v>103791.208900956</v>
      </c>
      <c r="O16" s="25" t="s">
        <v>56</v>
      </c>
      <c r="P16" s="25">
        <v>26806672376.5168</v>
      </c>
      <c r="Q16" s="25">
        <v>16410900596.9536</v>
      </c>
      <c r="R16" s="25">
        <v>1393260740.63695</v>
      </c>
      <c r="S16" s="25">
        <v>6282740266.2847996</v>
      </c>
      <c r="T16" s="27">
        <v>7676001006.9217501</v>
      </c>
      <c r="U16" s="25">
        <v>14988600854.6759</v>
      </c>
      <c r="V16" s="25">
        <v>24800676496.6772</v>
      </c>
      <c r="W16" s="25">
        <v>207813793849.16599</v>
      </c>
      <c r="X16" s="25">
        <v>207813793849.16599</v>
      </c>
      <c r="Y16" s="26">
        <v>270460042903.50201</v>
      </c>
      <c r="Z16" s="25">
        <v>90835801269.622894</v>
      </c>
      <c r="AA16" s="25">
        <v>0.402158771725037</v>
      </c>
      <c r="AB16" s="25">
        <v>1463897.3330350299</v>
      </c>
      <c r="AC16" s="26">
        <f t="shared" si="0"/>
        <v>24840445113.269791</v>
      </c>
      <c r="AD16" s="25">
        <f t="shared" si="1"/>
        <v>9.1845157039084926E-2</v>
      </c>
    </row>
    <row r="17" spans="1:30">
      <c r="A17" s="25">
        <v>2016</v>
      </c>
      <c r="B17" s="25" t="s">
        <v>90</v>
      </c>
      <c r="C17" s="25">
        <v>4</v>
      </c>
      <c r="D17" s="25" t="s">
        <v>92</v>
      </c>
      <c r="E17" s="25">
        <v>488282856955.12799</v>
      </c>
      <c r="F17" s="25" t="s">
        <v>56</v>
      </c>
      <c r="G17" s="25">
        <v>155382839152.64899</v>
      </c>
      <c r="H17" s="25" t="s">
        <v>56</v>
      </c>
      <c r="I17" s="25">
        <v>128582893995.537</v>
      </c>
      <c r="J17" s="25">
        <v>359699962959.59198</v>
      </c>
      <c r="K17" s="69">
        <v>54499994387.816902</v>
      </c>
      <c r="L17" s="25">
        <v>65854041864.740097</v>
      </c>
      <c r="M17" s="25">
        <v>9977885131.0212307</v>
      </c>
      <c r="N17" s="75">
        <v>100240.446716766</v>
      </c>
      <c r="O17" s="25" t="s">
        <v>56</v>
      </c>
      <c r="P17" s="25">
        <v>17409371770.145</v>
      </c>
      <c r="Q17" s="25">
        <v>7957401871.3004799</v>
      </c>
      <c r="R17" s="25">
        <v>1694713789.3844199</v>
      </c>
      <c r="S17" s="25">
        <v>4309905878.0705795</v>
      </c>
      <c r="T17" s="27">
        <v>6004619667.4550104</v>
      </c>
      <c r="U17" s="25">
        <v>16145911799.0432</v>
      </c>
      <c r="V17" s="25">
        <v>26902000893.9114</v>
      </c>
      <c r="W17" s="25">
        <v>218824498043.51999</v>
      </c>
      <c r="X17" s="25">
        <v>218824498043.51999</v>
      </c>
      <c r="Y17" s="26">
        <v>283302377562.35797</v>
      </c>
      <c r="Z17" s="25">
        <v>89528797287.908905</v>
      </c>
      <c r="AA17" s="25">
        <v>0.423817985460059</v>
      </c>
      <c r="AB17" s="25">
        <v>1550101.2240267801</v>
      </c>
      <c r="AC17" s="26">
        <f t="shared" si="0"/>
        <v>19680939437.842308</v>
      </c>
      <c r="AD17" s="25">
        <f t="shared" si="1"/>
        <v>6.9469729153650739E-2</v>
      </c>
    </row>
    <row r="18" spans="1:30">
      <c r="A18" s="25">
        <v>2017</v>
      </c>
      <c r="B18" s="25" t="s">
        <v>90</v>
      </c>
      <c r="C18" s="25">
        <v>5</v>
      </c>
      <c r="D18" s="25" t="s">
        <v>92</v>
      </c>
      <c r="E18" s="25">
        <v>484141525416.43597</v>
      </c>
      <c r="F18" s="25">
        <v>455782090534.62</v>
      </c>
      <c r="G18" s="25">
        <v>164424571873.86099</v>
      </c>
      <c r="H18" s="25">
        <v>136065136992.04601</v>
      </c>
      <c r="I18" s="25">
        <v>136065136992.04601</v>
      </c>
      <c r="J18" s="25">
        <v>348076388424.39001</v>
      </c>
      <c r="K18" s="69">
        <v>52738846730.968102</v>
      </c>
      <c r="L18" s="25">
        <v>70584977309.771698</v>
      </c>
      <c r="M18" s="25">
        <v>10694693531.7836</v>
      </c>
      <c r="N18" s="75">
        <v>97466.997226108302</v>
      </c>
      <c r="O18" s="25" t="s">
        <v>56</v>
      </c>
      <c r="P18" s="25">
        <v>17036239960.98</v>
      </c>
      <c r="Q18" s="25">
        <v>8481037478.9200001</v>
      </c>
      <c r="R18" s="25">
        <v>1726303402.3</v>
      </c>
      <c r="S18" s="25">
        <v>2897152608.0599999</v>
      </c>
      <c r="T18" s="27">
        <v>4623456010.3599997</v>
      </c>
      <c r="U18" s="25">
        <v>15918676560.870001</v>
      </c>
      <c r="V18" s="25">
        <v>1963308432.45</v>
      </c>
      <c r="W18" s="25">
        <v>209773097223.23999</v>
      </c>
      <c r="X18" s="25">
        <v>209773097223.23999</v>
      </c>
      <c r="Y18" s="26">
        <v>273206637485.992</v>
      </c>
      <c r="Z18" s="25">
        <v>93839594564.0896</v>
      </c>
      <c r="AA18" s="25">
        <v>0.42928484778978898</v>
      </c>
      <c r="AB18" s="25">
        <v>1686976.8901613101</v>
      </c>
      <c r="AC18" s="26">
        <f t="shared" si="0"/>
        <v>47598174688.954308</v>
      </c>
      <c r="AD18" s="25">
        <f t="shared" si="1"/>
        <v>0.174220418387144</v>
      </c>
    </row>
    <row r="19" spans="1:30">
      <c r="A19" s="25">
        <v>2018</v>
      </c>
      <c r="B19" s="25" t="s">
        <v>90</v>
      </c>
      <c r="C19" s="25">
        <v>5</v>
      </c>
      <c r="D19" s="25" t="s">
        <v>92</v>
      </c>
      <c r="E19" s="25">
        <v>570036849535.36304</v>
      </c>
      <c r="F19" s="25">
        <v>539642243987.48297</v>
      </c>
      <c r="G19" s="25">
        <v>197885329971.67599</v>
      </c>
      <c r="H19" s="25">
        <v>167490724423.79599</v>
      </c>
      <c r="I19" s="25">
        <v>167490724423.79599</v>
      </c>
      <c r="J19" s="25">
        <v>402546125111.56702</v>
      </c>
      <c r="K19" s="69">
        <v>60991837138.116203</v>
      </c>
      <c r="L19" s="25">
        <v>76120684622.310806</v>
      </c>
      <c r="M19" s="25">
        <v>11533437063.9865</v>
      </c>
      <c r="N19" s="75">
        <v>94566.085657075993</v>
      </c>
      <c r="O19" s="25" t="s">
        <v>56</v>
      </c>
      <c r="P19" s="25">
        <v>21403883661.212399</v>
      </c>
      <c r="Q19" s="25">
        <v>9398761236.7636108</v>
      </c>
      <c r="R19" s="25">
        <v>2344301120.1145501</v>
      </c>
      <c r="S19" s="25">
        <v>3875594513.7322798</v>
      </c>
      <c r="T19" s="27">
        <v>6219895633.8468304</v>
      </c>
      <c r="U19" s="25">
        <v>16454135974.9035</v>
      </c>
      <c r="V19" s="25">
        <v>1215222874.5782199</v>
      </c>
      <c r="W19" s="25">
        <v>230944653073.897</v>
      </c>
      <c r="X19" s="25">
        <v>230944653073.897</v>
      </c>
      <c r="Y19" s="26">
        <v>303469927276</v>
      </c>
      <c r="Z19" s="25">
        <v>121764645349.366</v>
      </c>
      <c r="AA19" s="25">
        <v>0.38467068091002998</v>
      </c>
      <c r="AB19" s="25">
        <v>2092561.28766148</v>
      </c>
      <c r="AC19" s="26">
        <f t="shared" si="0"/>
        <v>73700680952.003464</v>
      </c>
      <c r="AD19" s="25">
        <f t="shared" si="1"/>
        <v>0.24285991568770546</v>
      </c>
    </row>
    <row r="20" spans="1:30">
      <c r="A20" s="25">
        <v>2019</v>
      </c>
      <c r="B20" s="25" t="s">
        <v>90</v>
      </c>
      <c r="C20" s="25">
        <v>5</v>
      </c>
      <c r="D20" s="25" t="s">
        <v>92</v>
      </c>
      <c r="E20" s="25">
        <v>601651424497</v>
      </c>
      <c r="F20" s="25">
        <v>569209962569</v>
      </c>
      <c r="G20" s="25">
        <v>190772526038</v>
      </c>
      <c r="H20" s="25">
        <v>158331064110</v>
      </c>
      <c r="I20" s="25">
        <v>158331064110</v>
      </c>
      <c r="J20" s="25">
        <v>443320360387</v>
      </c>
      <c r="K20" s="69">
        <v>67169751573.787903</v>
      </c>
      <c r="L20" s="25">
        <v>80999471228</v>
      </c>
      <c r="M20" s="25">
        <v>12272647155.757601</v>
      </c>
      <c r="N20" s="75">
        <v>90481</v>
      </c>
      <c r="O20" s="25" t="s">
        <v>56</v>
      </c>
      <c r="P20" s="25">
        <v>30759048024</v>
      </c>
      <c r="Q20" s="25">
        <v>10582877554</v>
      </c>
      <c r="R20" s="25">
        <v>10715087960</v>
      </c>
      <c r="S20" s="25">
        <v>3917218825</v>
      </c>
      <c r="T20" s="27">
        <v>14632306785</v>
      </c>
      <c r="U20" s="25">
        <v>18470370583.307598</v>
      </c>
      <c r="V20" s="25">
        <v>1701376372.9667399</v>
      </c>
      <c r="W20" s="25">
        <v>259048160897</v>
      </c>
      <c r="X20" s="25">
        <v>259048160897</v>
      </c>
      <c r="Y20" s="26">
        <v>338490559626.54498</v>
      </c>
      <c r="Z20" s="25">
        <v>109773054810</v>
      </c>
      <c r="AA20" s="25">
        <v>0.42458666827038699</v>
      </c>
      <c r="AB20" s="25">
        <v>2108426.3661763198</v>
      </c>
      <c r="AC20" s="26">
        <f t="shared" si="0"/>
        <v>57159845925.725655</v>
      </c>
      <c r="AD20" s="25">
        <f t="shared" si="1"/>
        <v>0.16886688358100693</v>
      </c>
    </row>
    <row r="21" spans="1:30">
      <c r="A21" s="25">
        <v>2020</v>
      </c>
      <c r="B21" s="25" t="s">
        <v>90</v>
      </c>
      <c r="C21" s="25">
        <v>5</v>
      </c>
      <c r="D21" s="25" t="s">
        <v>92</v>
      </c>
      <c r="E21" s="25">
        <v>600817528391.49805</v>
      </c>
      <c r="F21" s="25">
        <v>569255108499.03101</v>
      </c>
      <c r="G21" s="25">
        <v>182963110731.009</v>
      </c>
      <c r="H21" s="25">
        <v>151400690838.54199</v>
      </c>
      <c r="I21" s="25">
        <v>151400690838.54199</v>
      </c>
      <c r="J21" s="25">
        <v>449416837552.95599</v>
      </c>
      <c r="K21" s="69">
        <v>68093460235.296402</v>
      </c>
      <c r="L21" s="25">
        <v>78278216489.303406</v>
      </c>
      <c r="M21" s="25">
        <v>11860335831.712601</v>
      </c>
      <c r="N21" s="75">
        <v>84764.464740720796</v>
      </c>
      <c r="O21" s="25">
        <v>1759</v>
      </c>
      <c r="P21" s="25">
        <v>40941559983.906898</v>
      </c>
      <c r="Q21" s="25">
        <v>9808505040.4488697</v>
      </c>
      <c r="R21" s="25">
        <v>3275448937.7523799</v>
      </c>
      <c r="S21" s="25">
        <v>2709351603.15066</v>
      </c>
      <c r="T21" s="27">
        <v>5984800540.9030504</v>
      </c>
      <c r="U21" s="25">
        <v>19749525803.3465</v>
      </c>
      <c r="V21" s="25">
        <v>-1827346818.60041</v>
      </c>
      <c r="W21" s="25">
        <v>296322600807.052</v>
      </c>
      <c r="X21" s="25">
        <v>296322600807.052</v>
      </c>
      <c r="Y21" s="26">
        <v>376276396874.06097</v>
      </c>
      <c r="Z21" s="25">
        <v>104684894241.705</v>
      </c>
      <c r="AA21" s="25">
        <v>0.42783606037605898</v>
      </c>
      <c r="AB21" s="25">
        <v>2158488.3629084402</v>
      </c>
      <c r="AC21" s="26">
        <f t="shared" si="0"/>
        <v>55200295364.4925</v>
      </c>
      <c r="AD21" s="25">
        <f t="shared" si="1"/>
        <v>0.14670145622492484</v>
      </c>
    </row>
    <row r="22" spans="1:30">
      <c r="A22" s="25">
        <v>2021</v>
      </c>
      <c r="B22" s="25" t="s">
        <v>90</v>
      </c>
      <c r="C22" s="25">
        <v>5</v>
      </c>
      <c r="D22" s="25" t="s">
        <v>92</v>
      </c>
      <c r="E22" s="25">
        <v>740451400483.521</v>
      </c>
      <c r="F22" s="25">
        <v>729519030143.12903</v>
      </c>
      <c r="G22" s="25">
        <v>224974680121.47299</v>
      </c>
      <c r="H22" s="25">
        <v>214042309781.07999</v>
      </c>
      <c r="I22" s="25">
        <v>214042309781.07999</v>
      </c>
      <c r="J22" s="25">
        <v>526409090702.44098</v>
      </c>
      <c r="K22" s="69">
        <v>79758953136.733398</v>
      </c>
      <c r="L22" s="25">
        <v>84122098877.865601</v>
      </c>
      <c r="M22" s="25">
        <v>12745772557.252399</v>
      </c>
      <c r="N22" s="75">
        <v>86333.094378265305</v>
      </c>
      <c r="O22" s="25" t="s">
        <v>56</v>
      </c>
      <c r="P22" s="25">
        <v>83942983585.564697</v>
      </c>
      <c r="Q22" s="25">
        <v>18626904296.7775</v>
      </c>
      <c r="R22" s="25">
        <v>3312365312.6912799</v>
      </c>
      <c r="S22" s="25">
        <v>6003788394.3875504</v>
      </c>
      <c r="T22" s="27">
        <v>9316153707.0788193</v>
      </c>
      <c r="U22" s="25">
        <v>21739333748.875999</v>
      </c>
      <c r="V22" s="25">
        <v>-1158610716.3440599</v>
      </c>
      <c r="W22" s="25">
        <v>377193985828.289</v>
      </c>
      <c r="X22" s="25">
        <v>377193985828.289</v>
      </c>
      <c r="Y22" s="26">
        <v>469698711522.27502</v>
      </c>
      <c r="Z22" s="25">
        <v>140852581243.60699</v>
      </c>
      <c r="AA22" s="25">
        <v>0.37391807305802</v>
      </c>
      <c r="AB22" s="25">
        <v>2605891.5383683001</v>
      </c>
      <c r="AC22" s="26">
        <f t="shared" si="0"/>
        <v>109339487870.68243</v>
      </c>
      <c r="AD22" s="25">
        <f t="shared" si="1"/>
        <v>0.23278643349120004</v>
      </c>
    </row>
    <row r="23" spans="1:30">
      <c r="A23" s="25">
        <v>2022</v>
      </c>
      <c r="B23" s="25" t="s">
        <v>90</v>
      </c>
      <c r="C23" s="25">
        <v>5</v>
      </c>
      <c r="D23" s="25" t="s">
        <v>92</v>
      </c>
      <c r="E23" s="25">
        <v>887448109461.11902</v>
      </c>
      <c r="F23" s="25">
        <v>847221297274.51501</v>
      </c>
      <c r="G23" s="25">
        <v>265536050207.76501</v>
      </c>
      <c r="H23" s="25">
        <v>225309238021.16101</v>
      </c>
      <c r="I23" s="25">
        <v>225309238021.16101</v>
      </c>
      <c r="J23" s="25">
        <v>662138871439.95801</v>
      </c>
      <c r="K23" s="69">
        <v>100324071430.297</v>
      </c>
      <c r="L23" s="25">
        <v>95609914033.877808</v>
      </c>
      <c r="M23" s="25">
        <v>14486350611.1936</v>
      </c>
      <c r="N23" s="75">
        <v>89467.506088785594</v>
      </c>
      <c r="O23" s="25" t="s">
        <v>56</v>
      </c>
      <c r="P23" s="25">
        <v>69687013752.249298</v>
      </c>
      <c r="Q23" s="25">
        <v>17242949725.568802</v>
      </c>
      <c r="R23" s="25">
        <v>4140576932.6812201</v>
      </c>
      <c r="S23" s="25">
        <v>5180380048.5410299</v>
      </c>
      <c r="T23" s="27">
        <v>9320956981.22225</v>
      </c>
      <c r="U23" s="25">
        <v>21523441673.284</v>
      </c>
      <c r="V23" s="25">
        <v>-2700847763.2316799</v>
      </c>
      <c r="W23" s="25">
        <v>392603477898.92603</v>
      </c>
      <c r="X23" s="25">
        <v>392603477898.92603</v>
      </c>
      <c r="Y23" s="26">
        <v>507413899940.41602</v>
      </c>
      <c r="Z23" s="25">
        <v>169926136173.88699</v>
      </c>
      <c r="AA23" s="25">
        <v>0.36006378026286501</v>
      </c>
      <c r="AB23" s="25">
        <v>2967960.79175665</v>
      </c>
      <c r="AC23" s="26">
        <f t="shared" si="0"/>
        <v>110876730077.23088</v>
      </c>
      <c r="AD23" s="25">
        <f t="shared" si="1"/>
        <v>0.21851338737517986</v>
      </c>
    </row>
    <row r="24" spans="1:30">
      <c r="A24" s="25">
        <v>2023</v>
      </c>
      <c r="B24" s="25" t="s">
        <v>90</v>
      </c>
      <c r="C24" s="25">
        <v>5</v>
      </c>
      <c r="D24" s="25" t="s">
        <v>92</v>
      </c>
      <c r="E24" s="25">
        <v>809592502649.11304</v>
      </c>
      <c r="F24" s="25">
        <v>767904015950.46802</v>
      </c>
      <c r="G24" s="25">
        <v>240127159755.69601</v>
      </c>
      <c r="H24" s="25">
        <v>198438673057.05099</v>
      </c>
      <c r="I24" s="25">
        <v>198438673057.05099</v>
      </c>
      <c r="J24" s="25">
        <v>611153829592.06201</v>
      </c>
      <c r="K24" s="69">
        <v>92599065089.706406</v>
      </c>
      <c r="L24" s="25">
        <v>104619799861.40601</v>
      </c>
      <c r="M24" s="25">
        <v>15851484827.4858</v>
      </c>
      <c r="N24" s="75">
        <v>89501.941393681205</v>
      </c>
      <c r="O24" s="25" t="s">
        <v>56</v>
      </c>
      <c r="P24" s="25">
        <v>56457788625.375702</v>
      </c>
      <c r="Q24" s="25">
        <v>38688155694.244598</v>
      </c>
      <c r="R24" s="25">
        <v>3048451859.309</v>
      </c>
      <c r="S24" s="25">
        <v>4990645244.9849796</v>
      </c>
      <c r="T24" s="27">
        <v>8039097104.2939796</v>
      </c>
      <c r="U24" s="25">
        <v>24684323791.2756</v>
      </c>
      <c r="V24" s="25">
        <v>-1909039042.8452401</v>
      </c>
      <c r="W24" s="25">
        <v>402462792005.25299</v>
      </c>
      <c r="X24" s="25">
        <v>402462792005.25299</v>
      </c>
      <c r="Y24" s="26">
        <v>510913341922.44598</v>
      </c>
      <c r="Z24" s="25">
        <v>135507359894.28999</v>
      </c>
      <c r="AA24" s="25">
        <v>0.435684992767357</v>
      </c>
      <c r="AB24" s="25">
        <v>2682926.8283631802</v>
      </c>
      <c r="AC24" s="26">
        <f t="shared" si="0"/>
        <v>71043588447.21463</v>
      </c>
      <c r="AD24" s="25">
        <f t="shared" si="1"/>
        <v>0.13905213001464087</v>
      </c>
    </row>
    <row r="25" spans="1:30">
      <c r="A25" s="25">
        <v>2024</v>
      </c>
      <c r="B25" s="25" t="s">
        <v>90</v>
      </c>
      <c r="C25" s="25">
        <v>5</v>
      </c>
      <c r="D25" s="25" t="s">
        <v>92</v>
      </c>
      <c r="E25" s="25">
        <v>858071607633.11902</v>
      </c>
      <c r="F25" s="25">
        <v>812702000296.11499</v>
      </c>
      <c r="G25" s="25">
        <v>263970325327.66501</v>
      </c>
      <c r="H25" s="25">
        <v>218600717990.66101</v>
      </c>
      <c r="I25" s="25">
        <v>218600717990.66101</v>
      </c>
      <c r="J25" s="25">
        <v>639470889642.45801</v>
      </c>
      <c r="K25" s="69">
        <v>96889528733.705704</v>
      </c>
      <c r="L25" s="25">
        <v>112924265631.88699</v>
      </c>
      <c r="M25" s="25">
        <v>17109737216.9526</v>
      </c>
      <c r="N25" s="75">
        <v>90863.927158021295</v>
      </c>
      <c r="O25" s="25" t="s">
        <v>56</v>
      </c>
      <c r="P25" s="25">
        <v>43801057524.488998</v>
      </c>
      <c r="Q25" s="25">
        <v>22430814377.730701</v>
      </c>
      <c r="R25" s="25">
        <v>2213301432.9945798</v>
      </c>
      <c r="S25" s="25">
        <v>6190763386.0507202</v>
      </c>
      <c r="T25" s="27">
        <v>8404064819.0452995</v>
      </c>
      <c r="U25" s="25">
        <v>27515759179.244099</v>
      </c>
      <c r="V25" s="25">
        <v>-2002949331.6091499</v>
      </c>
      <c r="W25" s="25">
        <v>436965957591.82397</v>
      </c>
      <c r="X25" s="25">
        <v>436965957591.82397</v>
      </c>
      <c r="Y25" s="26">
        <v>550965223542.48206</v>
      </c>
      <c r="Z25" s="25">
        <v>151046059695.77802</v>
      </c>
      <c r="AA25" s="25">
        <v>0.42779151592784098</v>
      </c>
      <c r="AB25" s="25">
        <v>2905116.8443181501</v>
      </c>
      <c r="AC25" s="26">
        <f t="shared" si="0"/>
        <v>80163642511.139069</v>
      </c>
      <c r="AD25" s="25">
        <f t="shared" si="1"/>
        <v>0.14549673751769573</v>
      </c>
    </row>
    <row r="26" spans="1:30" ht="15.75" thickBot="1"/>
    <row r="27" spans="1:30" ht="16.5" thickBot="1">
      <c r="N27" s="78">
        <v>161656.78466220191</v>
      </c>
      <c r="O27" s="77">
        <f>N23/N27</f>
        <v>0.55344108368687983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46B5-4697-4DD9-B802-632DE4EE939F}">
  <dimension ref="B1:K2"/>
  <sheetViews>
    <sheetView showGridLines="0" topLeftCell="A4" workbookViewId="0">
      <selection activeCell="H22" sqref="H22"/>
    </sheetView>
  </sheetViews>
  <sheetFormatPr baseColWidth="10" defaultRowHeight="15"/>
  <sheetData>
    <row r="1" spans="2:11" ht="61.5" customHeight="1">
      <c r="B1" t="s">
        <v>126</v>
      </c>
    </row>
    <row r="2" spans="2:11" ht="409.5" customHeight="1">
      <c r="B2" s="94" t="s">
        <v>125</v>
      </c>
      <c r="C2" s="94"/>
      <c r="D2" s="94"/>
      <c r="E2" s="94"/>
      <c r="F2" s="94"/>
      <c r="G2" s="94"/>
      <c r="H2" s="94"/>
      <c r="I2" s="94"/>
      <c r="J2" s="94"/>
      <c r="K2" s="94"/>
    </row>
  </sheetData>
  <mergeCells count="1">
    <mergeCell ref="B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Modelo</vt:lpstr>
      <vt:lpstr>Efecto TCC - TCP</vt:lpstr>
      <vt:lpstr>Impo_Expo - Mercado Interno</vt:lpstr>
      <vt:lpstr>Transable_Expo - MI</vt:lpstr>
      <vt:lpstr>TCC - TCP</vt:lpstr>
      <vt:lpstr>Masa salarial</vt:lpstr>
      <vt:lpstr>Importado sobre CI</vt:lpstr>
      <vt:lpstr>Intereses</vt:lpstr>
      <vt:lpstr>Exportaciones</vt:lpstr>
      <vt:lpstr>Importación Maquinaria</vt:lpstr>
      <vt:lpstr>rama-C EAAE</vt:lpstr>
      <vt:lpstr>rama-C EAAE (2)</vt:lpstr>
      <vt:lpstr>Diferencia MIP - COU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Emiliano Mussi</dc:creator>
  <cp:lastModifiedBy>Emiliano Mussi</cp:lastModifiedBy>
  <dcterms:created xsi:type="dcterms:W3CDTF">2026-08-18T14:50:02Z</dcterms:created>
  <dcterms:modified xsi:type="dcterms:W3CDTF">2026-08-28T17:57:57Z</dcterms:modified>
</cp:coreProperties>
</file>