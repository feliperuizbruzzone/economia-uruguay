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\Downloads\"/>
    </mc:Choice>
  </mc:AlternateContent>
  <xr:revisionPtr revIDLastSave="0" documentId="13_ncr:1_{D02456B0-D419-4EA2-B2E1-BE9D7731059F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metodología" sheetId="1" r:id="rId1"/>
    <sheet name="escenario-inicial" sheetId="2" r:id="rId2"/>
    <sheet name="tipo-cambio" sheetId="3" r:id="rId3"/>
    <sheet name="devaluación-1" sheetId="4" r:id="rId4"/>
    <sheet name="Gráficos" sheetId="5" r:id="rId5"/>
  </sheets>
  <definedNames>
    <definedName name="_xlnm._FilterDatabase" localSheetId="3" hidden="1">'devaluación-1'!$A$1:$BO$16</definedName>
  </definedNames>
  <calcPr calcId="181029"/>
</workbook>
</file>

<file path=xl/calcChain.xml><?xml version="1.0" encoding="utf-8"?>
<calcChain xmlns="http://schemas.openxmlformats.org/spreadsheetml/2006/main">
  <c r="G54" i="5" l="1"/>
  <c r="G52" i="5"/>
  <c r="H52" i="5"/>
  <c r="H53" i="5"/>
  <c r="H54" i="5"/>
  <c r="H55" i="5"/>
  <c r="H56" i="5"/>
  <c r="G53" i="5"/>
  <c r="G55" i="5"/>
  <c r="G56" i="5"/>
  <c r="G32" i="5"/>
  <c r="G33" i="5"/>
  <c r="G31" i="5"/>
  <c r="F32" i="5"/>
  <c r="F33" i="5"/>
  <c r="F31" i="5"/>
  <c r="R18" i="4"/>
  <c r="AE19" i="4"/>
  <c r="AE18" i="4"/>
  <c r="R19" i="4"/>
</calcChain>
</file>

<file path=xl/sharedStrings.xml><?xml version="1.0" encoding="utf-8"?>
<sst xmlns="http://schemas.openxmlformats.org/spreadsheetml/2006/main" count="377" uniqueCount="147">
  <si>
    <t>seccion</t>
  </si>
  <si>
    <t>item</t>
  </si>
  <si>
    <t>detalle</t>
  </si>
  <si>
    <t>estructura</t>
  </si>
  <si>
    <t>alcance del libro</t>
  </si>
  <si>
    <t>El libro presenta resultados corrientes para industria manufacturera agregada y para los grupos de subramas industriales definidos desde la clasificación Mussi: exportadora y mercado interno. El grupo combustible se conserva en el panel CSV para trazabilidad contable, pero se excluye del XLSX de resultados.</t>
  </si>
  <si>
    <t>fuentes</t>
  </si>
  <si>
    <t>base EAAE</t>
  </si>
  <si>
    <t>Los agregados 2020-2024 se construyen desde resultados originales EAAE por división publicada de la industria manufacturera. Las variables de capital y FBKF/adquisiciones se extraen directamente de los cuadros fuente EAAE correspondientes.</t>
  </si>
  <si>
    <t>intereses industriales</t>
  </si>
  <si>
    <t>La serie de intereses disponible es anual y corresponde a la industria manufacturera agregada. No existe en la fuente disponible una apertura directa por subrama ni por los grupos exportadora y mercado interno.</t>
  </si>
  <si>
    <t>decision</t>
  </si>
  <si>
    <t>criterio de asignación de intereses</t>
  </si>
  <si>
    <t>Para los grupos de subramas, los intereses industriales se asignan proporcionalmente por participación en el valor bruto de producción a precios productor de cada grupo dentro del total industrial del mismo año.</t>
  </si>
  <si>
    <t>formula</t>
  </si>
  <si>
    <t>intereses por grupo</t>
  </si>
  <si>
    <t>intereses_grupo = intereses_industria_total * (vbp_pp_grupo / vbp_pp_industria_total)</t>
  </si>
  <si>
    <t>justificacion</t>
  </si>
  <si>
    <t>criterio económico</t>
  </si>
  <si>
    <t>El vbp_pp se usa como proxy de escala económica del grupo dentro de la manufactura. La asignación es aditiva: la suma de intereses asignados a exportadora, mercado interno y combustible reproduce el total industrial.</t>
  </si>
  <si>
    <t>interpretacion</t>
  </si>
  <si>
    <t>advertencia</t>
  </si>
  <si>
    <t>La asignación proporcional es una imputación contable, no evidencia directa de endeudamiento, pasivos o pago efectivo de intereses por grupo. Para mejorarla sería necesaria una fuente con intereses o deuda por subrama industrial.</t>
  </si>
  <si>
    <t>devaluacion</t>
  </si>
  <si>
    <t>uso en devaluación-1</t>
  </si>
  <si>
    <t>En la hoja devaluación-1, los intereses asignados se actualizan con el coeficiente definido en coeficientes-devaluación y con el factor de devaluación calculado como tipo_cambio_paridad_pesos_usd / tipo_cambio_comercial_pesos_usd - 1.</t>
  </si>
  <si>
    <t>hojas integradas en metodologia</t>
  </si>
  <si>
    <t>Las hojas coeficientes-devaluacion y rotaciones se integran en esta hoja para concentrar los supuestos del modelo en un unico lugar.</t>
  </si>
  <si>
    <t>coeficientes-devaluacion</t>
  </si>
  <si>
    <t>Consumo intermedio</t>
  </si>
  <si>
    <t>Incidencia: 0.189 | Efecto: Negativo | Formula: Variable en pesos +Variable en pesos* incidencia*((tcp/tcc)-1) | Comentario: Importado / consumo intermedio | Fuente: Se toma COU porque incluye impuestos y márgenes de comercio y transporte, promedio 2015/2016</t>
  </si>
  <si>
    <t>Masa salarial</t>
  </si>
  <si>
    <t>Incidencia: 0.093 | Efecto: Negativo | Formula: Variable en pesos +Variable en pesos* incidencia*((tcp/tcc)-1) | Comentario: Importado / masa salarial manufacturera | Fuente: Se toma COU porque incluye impuestos y márgenes de comercio y transporte, promedio 2015/2016</t>
  </si>
  <si>
    <t>Intereses</t>
  </si>
  <si>
    <t>Incidencia: 0.0847 | Efecto: Negativo | Formula: Variable en pesos +Variable en pesos* incidencia*((tcp/tcc)-1) | Comentario: Intereses pagados / VBP | Fuente: CIU 2006/2024</t>
  </si>
  <si>
    <t>VBP</t>
  </si>
  <si>
    <t>Incidencia: 0.333 | Efecto: Positivo | Formula: Variable en pesos +Variable en pesos* incidencia*((tcp/tcc)-1) | Comentario: Exportaciones / VBP | Fuente: Exportaciones CCNN, con factor de microdatos, respecto de VBP EAAE, promedio 2001/2024</t>
  </si>
  <si>
    <t>Consumo de capital fijo</t>
  </si>
  <si>
    <t>Incidencia: 0.017 | Efecto: Negativo | Formula: Variable en pesos +Variable en pesos* incidencia*((tcp/tcc)-1) | Comentario: Efecto aumento consumo capital fijo maquinaria importada / consumo de capital fijo | Fuente: Efecto de inversión importada, prorrateada por depreciación lineal estimación a 20 años a partir de EAAE</t>
  </si>
  <si>
    <t>Stock capital imputado</t>
  </si>
  <si>
    <t>Incidencia: 0.037 | Efecto: Negativo | Formula: Variable en pesos +Variable en pesos* incidencia*((tcp/tcc)-1) | Comentario: Aumento stock respecto del stock de maquinaria | Fuente: Efecto de inversión importada en stock de capital a partir de EAAE</t>
  </si>
  <si>
    <t>rotaciones</t>
  </si>
  <si>
    <t>2020 - rotaciones</t>
  </si>
  <si>
    <t>Nivel: industria_total | Descripcion: Industria manufacturera EAAE | Rotacion: 4.22152785714833 | Fuente: panel_integrado_eaae_bcu_rotacion_mussi</t>
  </si>
  <si>
    <t>Nivel: grupo_subramas_industriales | Descripcion: Subramas industriales exportadoras | Rotacion: 5.05 | Fuente: definicion_equipo_sector_exportador</t>
  </si>
  <si>
    <t>Nivel: grupo_subramas_industriales | Descripcion: Subramas industriales de mercado interno | Rotacion: 2.76 | Fuente: definicion_equipo_sector_mercado_interno</t>
  </si>
  <si>
    <t>2021 - rotaciones</t>
  </si>
  <si>
    <t>Nivel: industria_total | Descripcion: Industria manufacturera EAAE | Rotacion: 4.17251476642132 | Fuente: panel_integrado_eaae_bcu_rotacion_mussi</t>
  </si>
  <si>
    <t>2022 - rotaciones</t>
  </si>
  <si>
    <t>Nivel: industria_total | Descripcion: Industria manufacturera EAAE | Rotacion: 4.19799624257007 | Fuente: panel_integrado_eaae_bcu_rotacion_mussi</t>
  </si>
  <si>
    <t>2023 - rotaciones</t>
  </si>
  <si>
    <t>Nivel: industria_total | Descripcion: Industria manufacturera EAAE | Rotacion: 4.21177081630093 | Fuente: panel_integrado_eaae_bcu_rotacion_mussi</t>
  </si>
  <si>
    <t>2024 - rotaciones</t>
  </si>
  <si>
    <t>Nivel: industria_total | Descripcion: Industria manufacturera EAAE | Rotacion: 4.18758755005716 | Fuente: panel_integrado_eaae_bcu_rotacion_mussi</t>
  </si>
  <si>
    <t>anno</t>
  </si>
  <si>
    <t>nivel_panel</t>
  </si>
  <si>
    <t>grupo_clasificacion</t>
  </si>
  <si>
    <t>descripcion_nivel</t>
  </si>
  <si>
    <t>rotacion_calibrada_sobre_6_6</t>
  </si>
  <si>
    <t>n_subramas_fuente</t>
  </si>
  <si>
    <t>componentes_divisiones</t>
  </si>
  <si>
    <t>vbp_pp</t>
  </si>
  <si>
    <t>consumo_intermedio_estimado</t>
  </si>
  <si>
    <t>vab_pp</t>
  </si>
  <si>
    <t>vab_pb_estimado</t>
  </si>
  <si>
    <t>consumo_capital_fijo</t>
  </si>
  <si>
    <t>remuneraciones</t>
  </si>
  <si>
    <t>costo_laboral</t>
  </si>
  <si>
    <t>stock_capital</t>
  </si>
  <si>
    <t>stock_capital_imputado</t>
  </si>
  <si>
    <t>capital_variable_adelantado</t>
  </si>
  <si>
    <t>capital_circulante_constante_adelantado</t>
  </si>
  <si>
    <t>capital_circulante_adelantado</t>
  </si>
  <si>
    <t>capital_total_adelantado</t>
  </si>
  <si>
    <t>ganancia_pb</t>
  </si>
  <si>
    <t>ganancia_pp</t>
  </si>
  <si>
    <t>tasa_ganancia_pb</t>
  </si>
  <si>
    <t>tasa_ganancia_pp</t>
  </si>
  <si>
    <t>intereses_industria_eaae_ajuste_90_mill_usd</t>
  </si>
  <si>
    <t>intereses_industria_pesos</t>
  </si>
  <si>
    <t>metodo_intereses</t>
  </si>
  <si>
    <t>ganancia_pb_desp_intereses</t>
  </si>
  <si>
    <t>ganancia_pp_desp_intereses</t>
  </si>
  <si>
    <t>tasa_ganancia_pb_desp_intereses</t>
  </si>
  <si>
    <t>tasa_ganancia_pp_desp_intereses</t>
  </si>
  <si>
    <t>industria_total</t>
  </si>
  <si>
    <t>industria-total</t>
  </si>
  <si>
    <t>Industria manufacturera EAAE</t>
  </si>
  <si>
    <t>10|11 y 12|13|14|15|16|17|18|19|20|21|22|23|24|25|26 y 27|28|29 y 30|31|32|33</t>
  </si>
  <si>
    <t>intereses_industria_total_convertidos_a_pesos_con_tcc</t>
  </si>
  <si>
    <t>grupo_subramas_industriales</t>
  </si>
  <si>
    <t>exportadora</t>
  </si>
  <si>
    <t>Subramas industriales exportadoras</t>
  </si>
  <si>
    <t>10|11 y 12|13|15|16|17|22</t>
  </si>
  <si>
    <t>asignacion_intereses_industria_por_participacion_vbp_pp</t>
  </si>
  <si>
    <t>mercado-interno</t>
  </si>
  <si>
    <t>mercado_interno</t>
  </si>
  <si>
    <t>Subramas industriales de mercado interno</t>
  </si>
  <si>
    <t>14|18|20|21|23|24|25|26 y 27|28|29 y 30|31|32|33</t>
  </si>
  <si>
    <t>anio</t>
  </si>
  <si>
    <t>tipo_cambio_comercial_pesos_usd</t>
  </si>
  <si>
    <t>tipo_cambio_paridad_pesos_usd</t>
  </si>
  <si>
    <t>factor_devaluacion</t>
  </si>
  <si>
    <t>incidencia_vbp_pp</t>
  </si>
  <si>
    <t>incidencia_consumo_intermedio_estimado</t>
  </si>
  <si>
    <t>incidencia_remuneraciones</t>
  </si>
  <si>
    <t>incidencia_consumo_capital_fijo</t>
  </si>
  <si>
    <t>incidencia_stock_capital_imputado</t>
  </si>
  <si>
    <t>incidencia_intereses_industria_pesos</t>
  </si>
  <si>
    <t>vbp_pp_devaluacion</t>
  </si>
  <si>
    <t>delta_vbp_pp</t>
  </si>
  <si>
    <t>consumo_intermedio_estimado_devaluacion</t>
  </si>
  <si>
    <t>delta_consumo_intermedio_estimado</t>
  </si>
  <si>
    <t>vab_pp_devaluacion</t>
  </si>
  <si>
    <t>vab_pb_estimado_devaluacion</t>
  </si>
  <si>
    <t>remuneraciones_devaluacion</t>
  </si>
  <si>
    <t>delta_remuneraciones</t>
  </si>
  <si>
    <t>consumo_capital_fijo_devaluacion</t>
  </si>
  <si>
    <t>delta_consumo_capital_fijo</t>
  </si>
  <si>
    <t>stock_capital_imputado_devaluacion</t>
  </si>
  <si>
    <t>delta_stock_capital_imputado</t>
  </si>
  <si>
    <t>capital_variable_adelantado_devaluacion</t>
  </si>
  <si>
    <t>capital_circulante_constante_adelantado_devaluacion</t>
  </si>
  <si>
    <t>capital_total_adelantado_devaluacion</t>
  </si>
  <si>
    <t>ganancia_pb_devaluacion</t>
  </si>
  <si>
    <t>variacion_ganancia_pb_pct</t>
  </si>
  <si>
    <t>ganancia_pp_devaluacion</t>
  </si>
  <si>
    <t>variacion_ganancia_pp_pct</t>
  </si>
  <si>
    <t>tasa_ganancia_pb_devaluacion</t>
  </si>
  <si>
    <t>variacion_tasa_ganancia_pb_pp</t>
  </si>
  <si>
    <t>tasa_ganancia_pp_devaluacion</t>
  </si>
  <si>
    <t>variacion_tasa_ganancia_pp_pp</t>
  </si>
  <si>
    <t>intereses_industria_pesos_devaluacion</t>
  </si>
  <si>
    <t>delta_intereses_industria_pesos</t>
  </si>
  <si>
    <t>ganancia_pb_desp_intereses_devaluacion</t>
  </si>
  <si>
    <t>variacion_ganancia_pb_desp_intereses_pct</t>
  </si>
  <si>
    <t>ganancia_pp_desp_intereses_devaluacion</t>
  </si>
  <si>
    <t>variacion_ganancia_pp_desp_intereses_pct</t>
  </si>
  <si>
    <t>tasa_ganancia_pb_desp_intereses_devaluacion</t>
  </si>
  <si>
    <t>variacion_tasa_ganancia_pb_desp_intereses_pp</t>
  </si>
  <si>
    <t>tasa_ganancia_pp_desp_intereses_devaluacion</t>
  </si>
  <si>
    <t>variacion_tasa_ganancia_pp_desp_intereses_pp</t>
  </si>
  <si>
    <t>Uno igual con las subramas</t>
  </si>
  <si>
    <t>delta por variable según expo /mercado interno sobre delta de la industria</t>
  </si>
  <si>
    <t>mercado interno</t>
  </si>
  <si>
    <t>ganancia pb</t>
  </si>
  <si>
    <t>Todos los delta de cada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</si>
</sst>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>
    <font>
      <sz val="11"/>
      <name val="Calibri"/>
    </font>
    <font>
      <sz val="11"/>
      <name val="Calibri"/>
    </font>
    <font>
      <b/>
      <i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3" fillId="0" borderId="0" xfId="0" applyFont="1"/>
    <xf numFmtId="9" fontId="0" fillId="0" borderId="0" xfId="2" applyFont="1"/>
    <xf numFmtId="9" fontId="0" fillId="0" borderId="0" xfId="2" applyFont="1" applyAlignment="1">
      <alignment horizontal="center" vertical="center"/>
    </xf>
    <xf numFmtId="0" fontId="2" fillId="0" borderId="0" xfId="0" applyFont="1"/>
    <xf numFmtId="165" fontId="0" fillId="2" borderId="0" xfId="1" applyNumberFormat="1" applyFont="1" applyFill="1"/>
    <xf numFmtId="165" fontId="0" fillId="0" borderId="0" xfId="1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industria_total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'devaluación-1'!$AU$1</c:f>
              <c:strCache>
                <c:ptCount val="1"/>
                <c:pt idx="0">
                  <c:v>tasa_ganancia_pb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'devaluación-1'!$AU$2:$AU$14</c:f>
              <c:numCache>
                <c:formatCode>General</c:formatCode>
                <c:ptCount val="8"/>
                <c:pt idx="0">
                  <c:v>0.109069989861396</c:v>
                </c:pt>
                <c:pt idx="1">
                  <c:v>0.202619297291389</c:v>
                </c:pt>
                <c:pt idx="2">
                  <c:v>0.175774418317409</c:v>
                </c:pt>
                <c:pt idx="3">
                  <c:v>0.110759971163159</c:v>
                </c:pt>
                <c:pt idx="4">
                  <c:v>0.14391725928405399</c:v>
                </c:pt>
                <c:pt idx="5">
                  <c:v>0.22400936850501901</c:v>
                </c:pt>
                <c:pt idx="6">
                  <c:v>0.221802934609446</c:v>
                </c:pt>
                <c:pt idx="7">
                  <c:v>0.205559509058304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77-44FD-8B40-BF51C7EBE99C}"/>
            </c:ext>
          </c:extLst>
        </c:ser>
        <c:ser>
          <c:idx val="1"/>
          <c:order val="1"/>
          <c:tx>
            <c:strRef>
              <c:f>'devaluación-1'!$AV$1</c:f>
              <c:strCache>
                <c:ptCount val="1"/>
                <c:pt idx="0">
                  <c:v>tasa_ganancia_pb_devaluacion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'devaluación-1'!$AV$2:$AV$14</c:f>
              <c:numCache>
                <c:formatCode>General</c:formatCode>
                <c:ptCount val="8"/>
                <c:pt idx="0">
                  <c:v>0.19252663028325301</c:v>
                </c:pt>
                <c:pt idx="1">
                  <c:v>0.28315172473595401</c:v>
                </c:pt>
                <c:pt idx="2">
                  <c:v>0.27226469841880402</c:v>
                </c:pt>
                <c:pt idx="3">
                  <c:v>0.22747528123795299</c:v>
                </c:pt>
                <c:pt idx="4">
                  <c:v>0.26040977149801398</c:v>
                </c:pt>
                <c:pt idx="5">
                  <c:v>0.31885830471895799</c:v>
                </c:pt>
                <c:pt idx="6">
                  <c:v>0.31684368332964802</c:v>
                </c:pt>
                <c:pt idx="7">
                  <c:v>0.3195919477102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77-44FD-8B40-BF51C7EBE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335952"/>
        <c:axId val="1372336784"/>
      </c:lineChart>
      <c:catAx>
        <c:axId val="1372335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72336784"/>
        <c:crosses val="autoZero"/>
        <c:auto val="1"/>
        <c:lblAlgn val="ctr"/>
        <c:lblOffset val="100"/>
        <c:noMultiLvlLbl val="0"/>
      </c:catAx>
      <c:valAx>
        <c:axId val="137233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7233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'devaluación-1'!$AB$1</c:f>
              <c:strCache>
                <c:ptCount val="1"/>
                <c:pt idx="0">
                  <c:v>delta_remuneraciones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'devaluación-1'!$C$14:$C$16</c:f>
              <c:strCache>
                <c:ptCount val="2"/>
                <c:pt idx="0">
                  <c:v>mercado-interno</c:v>
                </c:pt>
                <c:pt idx="1">
                  <c:v>mercado-interno</c:v>
                </c:pt>
              </c:strCache>
            </c:strRef>
          </c:cat>
          <c:val>
            <c:numRef>
              <c:f>'devaluación-1'!$AB$14:$AB$16</c:f>
              <c:numCache>
                <c:formatCode>General</c:formatCode>
                <c:ptCount val="2"/>
                <c:pt idx="0">
                  <c:v>1732177000.0279601</c:v>
                </c:pt>
                <c:pt idx="1">
                  <c:v>1792294446.49208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5-4894-A72F-B2871E00536F}"/>
            </c:ext>
          </c:extLst>
        </c:ser>
        <c:ser>
          <c:idx val="1"/>
          <c:order val="1"/>
          <c:tx>
            <c:strRef>
              <c:f>'devaluación-1'!$AC$1</c:f>
              <c:strCache>
                <c:ptCount val="1"/>
                <c:pt idx="0">
                  <c:v>consumo_capital_fijo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'devaluación-1'!$C$14:$C$16</c:f>
              <c:strCache>
                <c:ptCount val="2"/>
                <c:pt idx="0">
                  <c:v>mercado-interno</c:v>
                </c:pt>
                <c:pt idx="1">
                  <c:v>mercado-interno</c:v>
                </c:pt>
              </c:strCache>
            </c:strRef>
          </c:cat>
          <c:val>
            <c:numRef>
              <c:f>'devaluación-1'!$AC$14:$AC$16</c:f>
              <c:numCache>
                <c:formatCode>General</c:formatCode>
                <c:ptCount val="2"/>
                <c:pt idx="0">
                  <c:v>4962859757.3490696</c:v>
                </c:pt>
                <c:pt idx="1">
                  <c:v>5041099599.2525101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15-4894-A72F-B2871E00536F}"/>
            </c:ext>
          </c:extLst>
        </c:ser>
        <c:ser>
          <c:idx val="2"/>
          <c:order val="2"/>
          <c:tx>
            <c:strRef>
              <c:f>'devaluación-1'!$AD$1</c:f>
              <c:strCache>
                <c:ptCount val="1"/>
                <c:pt idx="0">
                  <c:v>consumo_capital_fijo_devaluacion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'devaluación-1'!$C$14:$C$16</c:f>
              <c:strCache>
                <c:ptCount val="2"/>
                <c:pt idx="0">
                  <c:v>mercado-interno</c:v>
                </c:pt>
                <c:pt idx="1">
                  <c:v>mercado-interno</c:v>
                </c:pt>
              </c:strCache>
            </c:strRef>
          </c:cat>
          <c:val>
            <c:numRef>
              <c:f>'devaluación-1'!$AD$14:$AD$16</c:f>
              <c:numCache>
                <c:formatCode>General</c:formatCode>
                <c:ptCount val="2"/>
                <c:pt idx="0">
                  <c:v>5009326186.2634697</c:v>
                </c:pt>
                <c:pt idx="1">
                  <c:v>5087134747.6401596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15-4894-A72F-B2871E00536F}"/>
            </c:ext>
          </c:extLst>
        </c:ser>
        <c:ser>
          <c:idx val="3"/>
          <c:order val="3"/>
          <c:tx>
            <c:strRef>
              <c:f>'devaluación-1'!$AE$1</c:f>
              <c:strCache>
                <c:ptCount val="1"/>
                <c:pt idx="0">
                  <c:v>delta_consumo_capital_fijo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'devaluación-1'!$C$14:$C$16</c:f>
              <c:strCache>
                <c:ptCount val="2"/>
                <c:pt idx="0">
                  <c:v>mercado-interno</c:v>
                </c:pt>
                <c:pt idx="1">
                  <c:v>mercado-interno</c:v>
                </c:pt>
              </c:strCache>
            </c:strRef>
          </c:cat>
          <c:val>
            <c:numRef>
              <c:f>'devaluación-1'!$AE$14:$AE$16</c:f>
              <c:numCache>
                <c:formatCode>General</c:formatCode>
                <c:ptCount val="2"/>
                <c:pt idx="0">
                  <c:v>46466428.914398298</c:v>
                </c:pt>
                <c:pt idx="1">
                  <c:v>46035148.387654901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15-4894-A72F-B2871E00536F}"/>
            </c:ext>
          </c:extLst>
        </c:ser>
        <c:ser>
          <c:idx val="4"/>
          <c:order val="4"/>
          <c:tx>
            <c:strRef>
              <c:f>'devaluación-1'!$AF$1</c:f>
              <c:strCache>
                <c:ptCount val="1"/>
                <c:pt idx="0">
                  <c:v>stock_capital_imputado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'devaluación-1'!$C$14:$C$16</c:f>
              <c:strCache>
                <c:ptCount val="2"/>
                <c:pt idx="0">
                  <c:v>mercado-interno</c:v>
                </c:pt>
                <c:pt idx="1">
                  <c:v>mercado-interno</c:v>
                </c:pt>
              </c:strCache>
            </c:strRef>
          </c:cat>
          <c:val>
            <c:numRef>
              <c:f>'devaluación-1'!$AF$14:$AF$16</c:f>
              <c:numCache>
                <c:formatCode>General</c:formatCode>
                <c:ptCount val="2"/>
                <c:pt idx="0">
                  <c:v>57052451800.008797</c:v>
                </c:pt>
                <c:pt idx="1">
                  <c:v>59962302437.4198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15-4894-A72F-B2871E00536F}"/>
            </c:ext>
          </c:extLst>
        </c:ser>
        <c:ser>
          <c:idx val="5"/>
          <c:order val="5"/>
          <c:tx>
            <c:strRef>
              <c:f>'devaluación-1'!$AG$1</c:f>
              <c:strCache>
                <c:ptCount val="1"/>
                <c:pt idx="0">
                  <c:v>stock_capital_imputado_devaluacion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'devaluación-1'!$C$14:$C$16</c:f>
              <c:strCache>
                <c:ptCount val="2"/>
                <c:pt idx="0">
                  <c:v>mercado-interno</c:v>
                </c:pt>
                <c:pt idx="1">
                  <c:v>mercado-interno</c:v>
                </c:pt>
              </c:strCache>
            </c:strRef>
          </c:cat>
          <c:val>
            <c:numRef>
              <c:f>'devaluación-1'!$AG$14:$AG$16</c:f>
              <c:numCache>
                <c:formatCode>General</c:formatCode>
                <c:ptCount val="2"/>
                <c:pt idx="0">
                  <c:v>58215062751.1689</c:v>
                </c:pt>
                <c:pt idx="1">
                  <c:v>61154080460.458702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15-4894-A72F-B2871E00536F}"/>
            </c:ext>
          </c:extLst>
        </c:ser>
        <c:ser>
          <c:idx val="6"/>
          <c:order val="6"/>
          <c:tx>
            <c:strRef>
              <c:f>'devaluación-1'!$AH$1</c:f>
              <c:strCache>
                <c:ptCount val="1"/>
                <c:pt idx="0">
                  <c:v>delta_stock_capital_imputado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'devaluación-1'!$C$14:$C$16</c:f>
              <c:strCache>
                <c:ptCount val="2"/>
                <c:pt idx="0">
                  <c:v>mercado-interno</c:v>
                </c:pt>
                <c:pt idx="1">
                  <c:v>mercado-interno</c:v>
                </c:pt>
              </c:strCache>
            </c:strRef>
          </c:cat>
          <c:val>
            <c:numRef>
              <c:f>'devaluación-1'!$AH$14:$AH$16</c:f>
              <c:numCache>
                <c:formatCode>General</c:formatCode>
                <c:ptCount val="2"/>
                <c:pt idx="0">
                  <c:v>1162610951.16009</c:v>
                </c:pt>
                <c:pt idx="1">
                  <c:v>1191778023.0388701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15-4894-A72F-B2871E00536F}"/>
            </c:ext>
          </c:extLst>
        </c:ser>
        <c:ser>
          <c:idx val="7"/>
          <c:order val="7"/>
          <c:tx>
            <c:strRef>
              <c:f>'devaluación-1'!$R$1</c:f>
              <c:strCache>
                <c:ptCount val="1"/>
                <c:pt idx="0">
                  <c:v>delta_vbp_pp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'devaluación-1'!$R$14:$R$16</c:f>
              <c:numCache>
                <c:formatCode>General</c:formatCode>
                <c:ptCount val="2"/>
                <c:pt idx="0">
                  <c:v>31936701588.333599</c:v>
                </c:pt>
                <c:pt idx="1">
                  <c:v>32769395041.831799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415-4894-A72F-B2871E005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3355312"/>
        <c:axId val="1373356976"/>
      </c:barChart>
      <c:catAx>
        <c:axId val="137335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73356976"/>
        <c:crosses val="autoZero"/>
        <c:auto val="1"/>
        <c:lblAlgn val="ctr"/>
        <c:lblOffset val="100"/>
        <c:noMultiLvlLbl val="0"/>
      </c:catAx>
      <c:valAx>
        <c:axId val="137335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7335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24639586093225"/>
          <c:y val="0.14560291452444615"/>
          <c:w val="0.25551715868308705"/>
          <c:h val="0.513555585974953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('devaluación-1'!$R$18,'devaluación-1'!$AE$18)</c:f>
              <c:numCache>
                <c:formatCode>0%</c:formatCode>
                <c:ptCount val="2"/>
                <c:pt idx="0">
                  <c:v>0.20806879253364777</c:v>
                </c:pt>
                <c:pt idx="1">
                  <c:v>0.18492410599618267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D-4988-97C6-BD681A944BC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('devaluación-1'!$R$19,'devaluación-1'!$AE$19)</c:f>
              <c:numCache>
                <c:formatCode>0%</c:formatCode>
                <c:ptCount val="2"/>
                <c:pt idx="0">
                  <c:v>0.21349382119356844</c:v>
                </c:pt>
                <c:pt idx="1">
                  <c:v>0.99071844906485251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FD-4988-97C6-BD681A944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5133168"/>
        <c:axId val="1415130672"/>
      </c:barChart>
      <c:catAx>
        <c:axId val="1415133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15130672"/>
        <c:crosses val="autoZero"/>
        <c:auto val="1"/>
        <c:lblAlgn val="ctr"/>
        <c:lblOffset val="100"/>
        <c:noMultiLvlLbl val="0"/>
      </c:catAx>
      <c:valAx>
        <c:axId val="141513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1513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industria_total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8.1575011871031028E-2"/>
          <c:y val="0.17171296296296296"/>
          <c:w val="0.82100948117071848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Gráficos!$B$3</c:f>
              <c:strCache>
                <c:ptCount val="1"/>
                <c:pt idx="0">
                  <c:v>tasa_ganancia_pb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Gráficos!$A$4:$A$8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Gráficos!$B$4:$B$8</c:f>
              <c:numCache>
                <c:formatCode>General</c:formatCode>
                <c:ptCount val="5"/>
                <c:pt idx="0">
                  <c:v>0.12667923879344301</c:v>
                </c:pt>
                <c:pt idx="1">
                  <c:v>0.206642884107445</c:v>
                </c:pt>
                <c:pt idx="2">
                  <c:v>0.18875371727573101</c:v>
                </c:pt>
                <c:pt idx="3">
                  <c:v>0.120778278767882</c:v>
                </c:pt>
                <c:pt idx="4">
                  <c:v>0.12675282746041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A3-46AD-B986-653E38C69CF0}"/>
            </c:ext>
          </c:extLst>
        </c:ser>
        <c:ser>
          <c:idx val="1"/>
          <c:order val="1"/>
          <c:tx>
            <c:strRef>
              <c:f>Gráficos!$C$3</c:f>
              <c:strCache>
                <c:ptCount val="1"/>
                <c:pt idx="0">
                  <c:v>tasa_ganancia_pb_devaluacion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Gráficos!$A$4:$A$8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Gráficos!$C$4:$C$8</c:f>
              <c:numCache>
                <c:formatCode>General</c:formatCode>
                <c:ptCount val="5"/>
                <c:pt idx="0">
                  <c:v>0.21526933708086601</c:v>
                </c:pt>
                <c:pt idx="1">
                  <c:v>0.29268248507684402</c:v>
                </c:pt>
                <c:pt idx="2">
                  <c:v>0.29364327843611299</c:v>
                </c:pt>
                <c:pt idx="3">
                  <c:v>0.24859594283519501</c:v>
                </c:pt>
                <c:pt idx="4">
                  <c:v>0.25045565645868201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A3-46AD-B986-653E38C69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335952"/>
        <c:axId val="1372336784"/>
      </c:lineChart>
      <c:catAx>
        <c:axId val="137233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72336784"/>
        <c:crosses val="autoZero"/>
        <c:auto val="1"/>
        <c:lblAlgn val="ctr"/>
        <c:lblOffset val="100"/>
        <c:noMultiLvlLbl val="0"/>
      </c:catAx>
      <c:valAx>
        <c:axId val="137233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7233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71438038436048"/>
          <c:y val="9.8586687080781568E-2"/>
          <c:w val="0.34128561961563952"/>
          <c:h val="0.25694663167104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Gráficos!$F$30</c:f>
              <c:strCache>
                <c:ptCount val="1"/>
                <c:pt idx="0">
                  <c:v>exportadora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Gráficos!$A$31:$A$33</c:f>
              <c:strCache>
                <c:ptCount val="3"/>
                <c:pt idx="0">
                  <c:v>delta_vbp_pp</c:v>
                </c:pt>
                <c:pt idx="1">
                  <c:v>delta_remuneraciones</c:v>
                </c:pt>
                <c:pt idx="2">
                  <c:v>delta_stock_capital_imputado</c:v>
                </c:pt>
              </c:strCache>
            </c:strRef>
          </c:cat>
          <c:val>
            <c:numRef>
              <c:f>Gráficos!$F$31:$F$33</c:f>
              <c:numCache>
                <c:formatCode>0%</c:formatCode>
                <c:ptCount val="3"/>
                <c:pt idx="0">
                  <c:v>0.68589145387739114</c:v>
                </c:pt>
                <c:pt idx="1">
                  <c:v>0.63166127430409325</c:v>
                </c:pt>
                <c:pt idx="2">
                  <c:v>0.82577084236951914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7-4B1F-B6D7-58A6086B9919}"/>
            </c:ext>
          </c:extLst>
        </c:ser>
        <c:ser>
          <c:idx val="1"/>
          <c:order val="1"/>
          <c:tx>
            <c:strRef>
              <c:f>Gráficos!$G$30</c:f>
              <c:strCache>
                <c:ptCount val="1"/>
                <c:pt idx="0">
                  <c:v>mercado-interno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Gráficos!$A$31:$A$33</c:f>
              <c:strCache>
                <c:ptCount val="3"/>
                <c:pt idx="0">
                  <c:v>delta_vbp_pp</c:v>
                </c:pt>
                <c:pt idx="1">
                  <c:v>delta_remuneraciones</c:v>
                </c:pt>
                <c:pt idx="2">
                  <c:v>delta_stock_capital_imputado</c:v>
                </c:pt>
              </c:strCache>
            </c:strRef>
          </c:cat>
          <c:val>
            <c:numRef>
              <c:f>Gráficos!$G$31:$G$33</c:f>
              <c:numCache>
                <c:formatCode>0%</c:formatCode>
                <c:ptCount val="3"/>
                <c:pt idx="0">
                  <c:v>0.21349382119356844</c:v>
                </c:pt>
                <c:pt idx="1">
                  <c:v>0.31770480829113235</c:v>
                </c:pt>
                <c:pt idx="2">
                  <c:v>0.13722419652066203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67-4B1F-B6D7-58A6086B9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71895472"/>
        <c:axId val="1471897968"/>
      </c:barChart>
      <c:catAx>
        <c:axId val="147189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71897968"/>
        <c:crosses val="autoZero"/>
        <c:auto val="1"/>
        <c:lblAlgn val="ctr"/>
        <c:lblOffset val="100"/>
        <c:noMultiLvlLbl val="0"/>
      </c:catAx>
      <c:valAx>
        <c:axId val="147189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7189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201043892283861E-2"/>
          <c:y val="3.8338645287365421E-2"/>
          <c:w val="0.86031824769531895"/>
          <c:h val="0.75687596727093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Gráficos!$C$30</c:f>
              <c:strCache>
                <c:ptCount val="1"/>
                <c:pt idx="0">
                  <c:v>exportadora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Gráficos!$A$31:$A$33</c:f>
              <c:strCache>
                <c:ptCount val="3"/>
                <c:pt idx="0">
                  <c:v>delta_vbp_pp</c:v>
                </c:pt>
                <c:pt idx="1">
                  <c:v>delta_remuneraciones</c:v>
                </c:pt>
                <c:pt idx="2">
                  <c:v>delta_stock_capital_imputado</c:v>
                </c:pt>
              </c:strCache>
            </c:strRef>
          </c:cat>
          <c:val>
            <c:numRef>
              <c:f>Gráficos!$C$31:$C$33</c:f>
              <c:numCache>
                <c:formatCode>General</c:formatCode>
                <c:ptCount val="3"/>
                <c:pt idx="0">
                  <c:v>105278213122.36501</c:v>
                </c:pt>
                <c:pt idx="1">
                  <c:v>3563443059.2624302</c:v>
                </c:pt>
                <c:pt idx="2">
                  <c:v>7171734773.8604202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9-458D-A14F-413B87F50C18}"/>
            </c:ext>
          </c:extLst>
        </c:ser>
        <c:ser>
          <c:idx val="1"/>
          <c:order val="1"/>
          <c:tx>
            <c:strRef>
              <c:f>Gráficos!$D$30</c:f>
              <c:strCache>
                <c:ptCount val="1"/>
                <c:pt idx="0">
                  <c:v>mercado-interno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Gráficos!$A$31:$A$33</c:f>
              <c:strCache>
                <c:ptCount val="3"/>
                <c:pt idx="0">
                  <c:v>delta_vbp_pp</c:v>
                </c:pt>
                <c:pt idx="1">
                  <c:v>delta_remuneraciones</c:v>
                </c:pt>
                <c:pt idx="2">
                  <c:v>delta_stock_capital_imputado</c:v>
                </c:pt>
              </c:strCache>
            </c:strRef>
          </c:cat>
          <c:val>
            <c:numRef>
              <c:f>Gráficos!$D$31:$D$33</c:f>
              <c:numCache>
                <c:formatCode>General</c:formatCode>
                <c:ptCount val="3"/>
                <c:pt idx="0">
                  <c:v>32769395041.831799</c:v>
                </c:pt>
                <c:pt idx="1">
                  <c:v>1792294446.49208</c:v>
                </c:pt>
                <c:pt idx="2">
                  <c:v>1191778023.0388701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F9-458D-A14F-413B87F50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3997296"/>
        <c:axId val="1265625968"/>
      </c:barChart>
      <c:catAx>
        <c:axId val="127399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65625968"/>
        <c:crosses val="autoZero"/>
        <c:auto val="1"/>
        <c:lblAlgn val="ctr"/>
        <c:lblOffset val="100"/>
        <c:noMultiLvlLbl val="0"/>
      </c:catAx>
      <c:valAx>
        <c:axId val="126562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399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201043892283861E-2"/>
          <c:y val="3.8338645287365421E-2"/>
          <c:w val="0.86031824769531895"/>
          <c:h val="0.75687596727093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Gráficos!$C$51</c:f>
              <c:strCache>
                <c:ptCount val="1"/>
                <c:pt idx="0">
                  <c:v>delta_consumo_capital_fijo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Gráficos!$B$52:$B$56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Gráficos!$C$52:$C$56</c:f>
              <c:numCache>
                <c:formatCode>_-* #,##0_-;\-* #,##0_-;_-* "-"??_-;_-@_-</c:formatCode>
                <c:ptCount val="5"/>
                <c:pt idx="0">
                  <c:v>90834542.807083502</c:v>
                </c:pt>
                <c:pt idx="1">
                  <c:v>92533873.558579296</c:v>
                </c:pt>
                <c:pt idx="2">
                  <c:v>109816952.042575</c:v>
                </c:pt>
                <c:pt idx="3">
                  <c:v>172101019.981722</c:v>
                </c:pt>
                <c:pt idx="4">
                  <c:v>194446857.13937801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A-4ADF-BFFD-216833F7DA74}"/>
            </c:ext>
          </c:extLst>
        </c:ser>
        <c:ser>
          <c:idx val="1"/>
          <c:order val="1"/>
          <c:tx>
            <c:strRef>
              <c:f>Gráficos!$D$51</c:f>
              <c:strCache>
                <c:ptCount val="1"/>
                <c:pt idx="0">
                  <c:v>delta_stock_capital_imputado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Gráficos!$B$52:$B$56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Gráficos!$D$52:$D$56</c:f>
              <c:numCache>
                <c:formatCode>_-* #,##0_-;\-* #,##0_-;_-* "-"??_-;_-@_-</c:formatCode>
                <c:ptCount val="5"/>
                <c:pt idx="0">
                  <c:v>230274964915.077</c:v>
                </c:pt>
                <c:pt idx="1">
                  <c:v>307945074990.15802</c:v>
                </c:pt>
                <c:pt idx="2">
                  <c:v>320979900189.99701</c:v>
                </c:pt>
                <c:pt idx="3">
                  <c:v>329092562137.245</c:v>
                </c:pt>
                <c:pt idx="4">
                  <c:v>360833746887.40399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DA-4ADF-BFFD-216833F7D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3997296"/>
        <c:axId val="1265625968"/>
      </c:barChart>
      <c:catAx>
        <c:axId val="127399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65625968"/>
        <c:crosses val="autoZero"/>
        <c:auto val="1"/>
        <c:lblAlgn val="ctr"/>
        <c:lblOffset val="100"/>
        <c:noMultiLvlLbl val="0"/>
      </c:catAx>
      <c:valAx>
        <c:axId val="126562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7399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619125</xdr:colOff>
      <xdr:row>16</xdr:row>
      <xdr:rowOff>123831</xdr:rowOff>
    </xdr:from>
    <xdr:to>
      <xdr:col>47</xdr:col>
      <xdr:colOff>619125</xdr:colOff>
      <xdr:row>31</xdr:row>
      <xdr:rowOff>9531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750F5B-4D7F-49CB-B241-934961389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466724</xdr:colOff>
      <xdr:row>20</xdr:row>
      <xdr:rowOff>138111</xdr:rowOff>
    </xdr:from>
    <xdr:to>
      <xdr:col>34</xdr:col>
      <xdr:colOff>419100</xdr:colOff>
      <xdr:row>38</xdr:row>
      <xdr:rowOff>47624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2D75852-4CE7-4570-ADED-245D7B8F2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495300</xdr:colOff>
      <xdr:row>21</xdr:row>
      <xdr:rowOff>42862</xdr:rowOff>
    </xdr:from>
    <xdr:to>
      <xdr:col>23</xdr:col>
      <xdr:colOff>495300</xdr:colOff>
      <xdr:row>35</xdr:row>
      <xdr:rowOff>119062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87469D2-3C40-4E91-856D-EBDA708FC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1</xdr:row>
      <xdr:rowOff>171450</xdr:rowOff>
    </xdr:from>
    <xdr:to>
      <xdr:col>9</xdr:col>
      <xdr:colOff>390525</xdr:colOff>
      <xdr:row>16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FE4D7A-5980-4012-817D-801AEB104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695325</xdr:colOff>
      <xdr:row>15</xdr:row>
      <xdr:rowOff>19050</xdr:rowOff>
    </xdr:from>
    <xdr:to>
      <xdr:col>14</xdr:col>
      <xdr:colOff>323850</xdr:colOff>
      <xdr:row>29</xdr:row>
      <xdr:rowOff>85724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E871003-D275-4140-9A8F-B20980320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457200</xdr:colOff>
      <xdr:row>29</xdr:row>
      <xdr:rowOff>133349</xdr:rowOff>
    </xdr:from>
    <xdr:to>
      <xdr:col>14</xdr:col>
      <xdr:colOff>142875</xdr:colOff>
      <xdr:row>40</xdr:row>
      <xdr:rowOff>66675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6DAE409-9749-4074-BD7F-AAEFE5F57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49</xdr:row>
      <xdr:rowOff>0</xdr:rowOff>
    </xdr:from>
    <xdr:to>
      <xdr:col>15</xdr:col>
      <xdr:colOff>447675</xdr:colOff>
      <xdr:row>63</xdr:row>
      <xdr:rowOff>123826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2AE5DBA-2D4B-496C-999D-337F52560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pane ySplit="1" topLeftCell="A2" activePane="bottomLeft" state="frozen"/>
      <selection pane="bottomLeft" activeCell="F16" sqref="F16"/>
    </sheetView>
  </sheetViews>
  <sheetFormatPr baseColWidth="10"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3</v>
      </c>
      <c r="B10" t="s">
        <v>26</v>
      </c>
      <c r="C10" t="s">
        <v>27</v>
      </c>
    </row>
    <row r="11" spans="1:3">
      <c r="A11" t="s">
        <v>28</v>
      </c>
      <c r="B11" t="s">
        <v>29</v>
      </c>
      <c r="C11" t="s">
        <v>30</v>
      </c>
    </row>
    <row r="12" spans="1:3">
      <c r="A12" t="s">
        <v>28</v>
      </c>
      <c r="B12" t="s">
        <v>31</v>
      </c>
      <c r="C12" t="s">
        <v>32</v>
      </c>
    </row>
    <row r="13" spans="1:3">
      <c r="A13" t="s">
        <v>28</v>
      </c>
      <c r="B13" t="s">
        <v>33</v>
      </c>
      <c r="C13" t="s">
        <v>34</v>
      </c>
    </row>
    <row r="14" spans="1:3">
      <c r="A14" t="s">
        <v>28</v>
      </c>
      <c r="B14" t="s">
        <v>35</v>
      </c>
      <c r="C14" t="s">
        <v>36</v>
      </c>
    </row>
    <row r="15" spans="1:3">
      <c r="A15" t="s">
        <v>28</v>
      </c>
      <c r="B15" t="s">
        <v>37</v>
      </c>
      <c r="C15" t="s">
        <v>38</v>
      </c>
    </row>
    <row r="16" spans="1:3">
      <c r="A16" t="s">
        <v>28</v>
      </c>
      <c r="B16" t="s">
        <v>39</v>
      </c>
      <c r="C16" t="s">
        <v>40</v>
      </c>
    </row>
    <row r="17" spans="1:3">
      <c r="A17" t="s">
        <v>41</v>
      </c>
      <c r="B17" t="s">
        <v>42</v>
      </c>
      <c r="C17" t="s">
        <v>43</v>
      </c>
    </row>
    <row r="18" spans="1:3">
      <c r="A18" t="s">
        <v>41</v>
      </c>
      <c r="B18" t="s">
        <v>42</v>
      </c>
      <c r="C18" t="s">
        <v>44</v>
      </c>
    </row>
    <row r="19" spans="1:3">
      <c r="A19" t="s">
        <v>41</v>
      </c>
      <c r="B19" t="s">
        <v>42</v>
      </c>
      <c r="C19" t="s">
        <v>45</v>
      </c>
    </row>
    <row r="20" spans="1:3">
      <c r="A20" t="s">
        <v>41</v>
      </c>
      <c r="B20" t="s">
        <v>46</v>
      </c>
      <c r="C20" t="s">
        <v>47</v>
      </c>
    </row>
    <row r="21" spans="1:3">
      <c r="A21" t="s">
        <v>41</v>
      </c>
      <c r="B21" t="s">
        <v>46</v>
      </c>
      <c r="C21" t="s">
        <v>44</v>
      </c>
    </row>
    <row r="22" spans="1:3">
      <c r="A22" t="s">
        <v>41</v>
      </c>
      <c r="B22" t="s">
        <v>46</v>
      </c>
      <c r="C22" t="s">
        <v>45</v>
      </c>
    </row>
    <row r="23" spans="1:3">
      <c r="A23" t="s">
        <v>41</v>
      </c>
      <c r="B23" t="s">
        <v>48</v>
      </c>
      <c r="C23" t="s">
        <v>49</v>
      </c>
    </row>
    <row r="24" spans="1:3">
      <c r="A24" t="s">
        <v>41</v>
      </c>
      <c r="B24" t="s">
        <v>48</v>
      </c>
      <c r="C24" t="s">
        <v>44</v>
      </c>
    </row>
    <row r="25" spans="1:3">
      <c r="A25" t="s">
        <v>41</v>
      </c>
      <c r="B25" t="s">
        <v>48</v>
      </c>
      <c r="C25" t="s">
        <v>45</v>
      </c>
    </row>
    <row r="26" spans="1:3">
      <c r="A26" t="s">
        <v>41</v>
      </c>
      <c r="B26" t="s">
        <v>50</v>
      </c>
      <c r="C26" t="s">
        <v>51</v>
      </c>
    </row>
    <row r="27" spans="1:3">
      <c r="A27" t="s">
        <v>41</v>
      </c>
      <c r="B27" t="s">
        <v>50</v>
      </c>
      <c r="C27" t="s">
        <v>44</v>
      </c>
    </row>
    <row r="28" spans="1:3">
      <c r="A28" t="s">
        <v>41</v>
      </c>
      <c r="B28" t="s">
        <v>50</v>
      </c>
      <c r="C28" t="s">
        <v>45</v>
      </c>
    </row>
    <row r="29" spans="1:3">
      <c r="A29" t="s">
        <v>41</v>
      </c>
      <c r="B29" t="s">
        <v>52</v>
      </c>
      <c r="C29" t="s">
        <v>53</v>
      </c>
    </row>
    <row r="30" spans="1:3">
      <c r="A30" t="s">
        <v>41</v>
      </c>
      <c r="B30" t="s">
        <v>52</v>
      </c>
      <c r="C30" t="s">
        <v>44</v>
      </c>
    </row>
    <row r="31" spans="1:3">
      <c r="A31" t="s">
        <v>41</v>
      </c>
      <c r="B31" t="s">
        <v>52</v>
      </c>
      <c r="C3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32">
      <c r="A1" t="s">
        <v>54</v>
      </c>
      <c r="B1" t="s">
        <v>55</v>
      </c>
      <c r="C1" t="s">
        <v>0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</row>
    <row r="2" spans="1:32">
      <c r="A2">
        <v>2020</v>
      </c>
      <c r="B2" t="s">
        <v>85</v>
      </c>
      <c r="C2" t="s">
        <v>86</v>
      </c>
      <c r="D2" t="s">
        <v>85</v>
      </c>
      <c r="E2" t="s">
        <v>87</v>
      </c>
      <c r="F2">
        <v>4.2215278571483301</v>
      </c>
      <c r="G2">
        <v>21</v>
      </c>
      <c r="H2" t="s">
        <v>88</v>
      </c>
      <c r="I2">
        <v>600817528391.49805</v>
      </c>
      <c r="J2">
        <v>449416837552.95599</v>
      </c>
      <c r="K2">
        <v>182963110731.009</v>
      </c>
      <c r="L2">
        <v>151400690838.54199</v>
      </c>
      <c r="M2">
        <v>19749525803.3465</v>
      </c>
      <c r="N2">
        <v>78278216489.303406</v>
      </c>
      <c r="O2">
        <v>78278216489.303406</v>
      </c>
      <c r="P2">
        <v>296322600807.052</v>
      </c>
      <c r="Q2">
        <v>296322600807.052</v>
      </c>
      <c r="R2">
        <v>18542627015.182301</v>
      </c>
      <c r="S2">
        <v>106458337540.508</v>
      </c>
      <c r="T2">
        <v>117524425027.70399</v>
      </c>
      <c r="U2">
        <v>421323565362.74298</v>
      </c>
      <c r="V2">
        <v>53372948545.891701</v>
      </c>
      <c r="W2">
        <v>84935368438.358704</v>
      </c>
      <c r="X2">
        <v>0.12667923879344301</v>
      </c>
      <c r="Y2">
        <v>0.201591782233288</v>
      </c>
      <c r="Z2">
        <v>95.808915496640907</v>
      </c>
      <c r="AA2">
        <v>4023974450.8589201</v>
      </c>
      <c r="AB2" t="s">
        <v>89</v>
      </c>
      <c r="AC2">
        <v>49348974095.032799</v>
      </c>
      <c r="AD2">
        <v>80911393987.499802</v>
      </c>
      <c r="AE2">
        <v>0.117128445100253</v>
      </c>
      <c r="AF2">
        <v>0.19204098854009799</v>
      </c>
    </row>
    <row r="3" spans="1:32">
      <c r="A3">
        <v>2020</v>
      </c>
      <c r="B3" t="s">
        <v>90</v>
      </c>
      <c r="C3" t="s">
        <v>91</v>
      </c>
      <c r="D3" t="s">
        <v>91</v>
      </c>
      <c r="E3" t="s">
        <v>92</v>
      </c>
      <c r="F3">
        <v>5.05</v>
      </c>
      <c r="G3">
        <v>7</v>
      </c>
      <c r="H3" t="s">
        <v>93</v>
      </c>
      <c r="I3">
        <v>405327577088.60797</v>
      </c>
      <c r="J3">
        <v>309729585888.76099</v>
      </c>
      <c r="K3">
        <v>106285779803.605</v>
      </c>
      <c r="L3">
        <v>95597991199.846893</v>
      </c>
      <c r="M3">
        <v>14380324243.299601</v>
      </c>
      <c r="N3">
        <v>48367393925.7938</v>
      </c>
      <c r="O3">
        <v>48367393925.7938</v>
      </c>
      <c r="P3">
        <v>230274964915.077</v>
      </c>
      <c r="Q3">
        <v>230274964915.077</v>
      </c>
      <c r="R3">
        <v>9577701767.4839191</v>
      </c>
      <c r="S3">
        <v>61332591265.101196</v>
      </c>
      <c r="T3">
        <v>68793899249.662796</v>
      </c>
      <c r="U3">
        <v>301185257947.66199</v>
      </c>
      <c r="V3">
        <v>32850273030.753502</v>
      </c>
      <c r="W3">
        <v>43538061634.511597</v>
      </c>
      <c r="X3">
        <v>0.109069989861396</v>
      </c>
      <c r="Y3">
        <v>0.14455575259954201</v>
      </c>
      <c r="Z3">
        <v>95.808915496640907</v>
      </c>
      <c r="AA3">
        <v>2714680809.6622601</v>
      </c>
      <c r="AB3" t="s">
        <v>94</v>
      </c>
      <c r="AC3">
        <v>30135592221.091301</v>
      </c>
      <c r="AD3">
        <v>40823380824.849297</v>
      </c>
      <c r="AE3">
        <v>0.100056664215378</v>
      </c>
      <c r="AF3">
        <v>0.135542426953524</v>
      </c>
    </row>
    <row r="4" spans="1:32">
      <c r="A4">
        <v>2020</v>
      </c>
      <c r="B4" t="s">
        <v>90</v>
      </c>
      <c r="C4" t="s">
        <v>95</v>
      </c>
      <c r="D4" t="s">
        <v>96</v>
      </c>
      <c r="E4" t="s">
        <v>97</v>
      </c>
      <c r="F4">
        <v>2.76</v>
      </c>
      <c r="G4">
        <v>13</v>
      </c>
      <c r="H4" t="s">
        <v>98</v>
      </c>
      <c r="I4">
        <v>121805436700.985</v>
      </c>
      <c r="J4">
        <v>72944249078.2901</v>
      </c>
      <c r="K4">
        <v>48933101504.403603</v>
      </c>
      <c r="L4">
        <v>48861187622.694603</v>
      </c>
      <c r="M4">
        <v>4108522433.0468202</v>
      </c>
      <c r="N4">
        <v>25560225416.509602</v>
      </c>
      <c r="O4">
        <v>25560225416.509602</v>
      </c>
      <c r="P4">
        <v>49986924384.975197</v>
      </c>
      <c r="Q4">
        <v>49986924384.975197</v>
      </c>
      <c r="R4">
        <v>9260951237.8658104</v>
      </c>
      <c r="S4">
        <v>26429075753.0037</v>
      </c>
      <c r="T4">
        <v>35663971236.627098</v>
      </c>
      <c r="U4">
        <v>85676951375.844604</v>
      </c>
      <c r="V4">
        <v>19192439773.1381</v>
      </c>
      <c r="W4">
        <v>19264353654.847099</v>
      </c>
      <c r="X4">
        <v>0.22400936850501901</v>
      </c>
      <c r="Y4">
        <v>0.224848729389763</v>
      </c>
      <c r="Z4">
        <v>95.808915496640907</v>
      </c>
      <c r="AA4">
        <v>815791720.61221099</v>
      </c>
      <c r="AB4" t="s">
        <v>94</v>
      </c>
      <c r="AC4">
        <v>18376648052.525902</v>
      </c>
      <c r="AD4">
        <v>18448561934.234901</v>
      </c>
      <c r="AE4">
        <v>0.21448765108263401</v>
      </c>
      <c r="AF4">
        <v>0.215327011967378</v>
      </c>
    </row>
    <row r="5" spans="1:32">
      <c r="A5">
        <v>2021</v>
      </c>
      <c r="B5" t="s">
        <v>85</v>
      </c>
      <c r="C5" t="s">
        <v>86</v>
      </c>
      <c r="D5" t="s">
        <v>85</v>
      </c>
      <c r="E5" t="s">
        <v>87</v>
      </c>
      <c r="F5">
        <v>4.1725147664213198</v>
      </c>
      <c r="G5">
        <v>21</v>
      </c>
      <c r="H5" t="s">
        <v>88</v>
      </c>
      <c r="I5">
        <v>740451400483.521</v>
      </c>
      <c r="J5">
        <v>526409090702.44098</v>
      </c>
      <c r="K5">
        <v>224974680121.47299</v>
      </c>
      <c r="L5">
        <v>214042309781.07999</v>
      </c>
      <c r="M5">
        <v>21739333748.8759</v>
      </c>
      <c r="N5">
        <v>84122098877.865601</v>
      </c>
      <c r="O5">
        <v>84122098877.865601</v>
      </c>
      <c r="P5">
        <v>377193985828.289</v>
      </c>
      <c r="Q5">
        <v>377193985828.289</v>
      </c>
      <c r="R5">
        <v>20161006871.646198</v>
      </c>
      <c r="S5">
        <v>126161109108.29201</v>
      </c>
      <c r="T5">
        <v>143702024511.75</v>
      </c>
      <c r="U5">
        <v>523516101808.22803</v>
      </c>
      <c r="V5">
        <v>108180877154.339</v>
      </c>
      <c r="W5">
        <v>119113247494.731</v>
      </c>
      <c r="X5">
        <v>0.206642884107445</v>
      </c>
      <c r="Y5">
        <v>0.227525470722512</v>
      </c>
      <c r="Z5">
        <v>78.275930481648899</v>
      </c>
      <c r="AA5">
        <v>3409699531.7806301</v>
      </c>
      <c r="AB5" t="s">
        <v>89</v>
      </c>
      <c r="AC5">
        <v>104771177622.558</v>
      </c>
      <c r="AD5">
        <v>115703547962.951</v>
      </c>
      <c r="AE5">
        <v>0.20012980930419899</v>
      </c>
      <c r="AF5">
        <v>0.221012395919266</v>
      </c>
    </row>
    <row r="6" spans="1:32">
      <c r="A6">
        <v>2021</v>
      </c>
      <c r="B6" t="s">
        <v>90</v>
      </c>
      <c r="C6" t="s">
        <v>91</v>
      </c>
      <c r="D6" t="s">
        <v>91</v>
      </c>
      <c r="E6" t="s">
        <v>92</v>
      </c>
      <c r="F6">
        <v>5.05</v>
      </c>
      <c r="G6">
        <v>7</v>
      </c>
      <c r="H6" t="s">
        <v>93</v>
      </c>
      <c r="I6">
        <v>511009593127.23199</v>
      </c>
      <c r="J6">
        <v>364244022004.659</v>
      </c>
      <c r="K6">
        <v>157596691301.319</v>
      </c>
      <c r="L6">
        <v>146765571122.57199</v>
      </c>
      <c r="M6">
        <v>15380205240.5674</v>
      </c>
      <c r="N6">
        <v>52277798970.765198</v>
      </c>
      <c r="O6">
        <v>52277798970.765198</v>
      </c>
      <c r="P6">
        <v>307945074990.15802</v>
      </c>
      <c r="Q6">
        <v>307945074990.15802</v>
      </c>
      <c r="R6">
        <v>10352039400.151501</v>
      </c>
      <c r="S6">
        <v>72127529109.833603</v>
      </c>
      <c r="T6">
        <v>80334792236.966003</v>
      </c>
      <c r="U6">
        <v>390424643500.14301</v>
      </c>
      <c r="V6">
        <v>79107566911.239899</v>
      </c>
      <c r="W6">
        <v>89938687089.986404</v>
      </c>
      <c r="X6">
        <v>0.202619297291389</v>
      </c>
      <c r="Y6">
        <v>0.23036119411851</v>
      </c>
      <c r="Z6">
        <v>78.275930481648899</v>
      </c>
      <c r="AA6">
        <v>2353144540.3216701</v>
      </c>
      <c r="AB6" t="s">
        <v>94</v>
      </c>
      <c r="AC6">
        <v>76754422370.918198</v>
      </c>
      <c r="AD6">
        <v>87585542549.664703</v>
      </c>
      <c r="AE6">
        <v>0.19659215587115</v>
      </c>
      <c r="AF6">
        <v>0.224334052698271</v>
      </c>
    </row>
    <row r="7" spans="1:32">
      <c r="A7">
        <v>2021</v>
      </c>
      <c r="B7" t="s">
        <v>90</v>
      </c>
      <c r="C7" t="s">
        <v>95</v>
      </c>
      <c r="D7" t="s">
        <v>96</v>
      </c>
      <c r="E7" t="s">
        <v>97</v>
      </c>
      <c r="F7">
        <v>2.76</v>
      </c>
      <c r="G7">
        <v>13</v>
      </c>
      <c r="H7" t="s">
        <v>98</v>
      </c>
      <c r="I7">
        <v>149816439686.20499</v>
      </c>
      <c r="J7">
        <v>95486507540.697006</v>
      </c>
      <c r="K7">
        <v>54431182307.154099</v>
      </c>
      <c r="L7">
        <v>54329932145.508003</v>
      </c>
      <c r="M7">
        <v>5093385817.3085203</v>
      </c>
      <c r="N7">
        <v>27595712009.100498</v>
      </c>
      <c r="O7">
        <v>27595712009.100498</v>
      </c>
      <c r="P7">
        <v>52972837802.131302</v>
      </c>
      <c r="Q7">
        <v>52972837802.131302</v>
      </c>
      <c r="R7">
        <v>9998446380.10886</v>
      </c>
      <c r="S7">
        <v>34596560703.1511</v>
      </c>
      <c r="T7">
        <v>44558322242.083801</v>
      </c>
      <c r="U7">
        <v>97567844885.391296</v>
      </c>
      <c r="V7">
        <v>21640834319.098999</v>
      </c>
      <c r="W7">
        <v>21742084480.745201</v>
      </c>
      <c r="X7">
        <v>0.221802934609446</v>
      </c>
      <c r="Y7">
        <v>0.22284067569889099</v>
      </c>
      <c r="Z7">
        <v>78.275930481648899</v>
      </c>
      <c r="AA7">
        <v>689888686.708565</v>
      </c>
      <c r="AB7" t="s">
        <v>94</v>
      </c>
      <c r="AC7">
        <v>20950945632.3904</v>
      </c>
      <c r="AD7">
        <v>21052195794.036598</v>
      </c>
      <c r="AE7">
        <v>0.21473207343055101</v>
      </c>
      <c r="AF7">
        <v>0.21576981451999599</v>
      </c>
    </row>
    <row r="8" spans="1:32">
      <c r="A8">
        <v>2022</v>
      </c>
      <c r="B8" t="s">
        <v>85</v>
      </c>
      <c r="C8" t="s">
        <v>86</v>
      </c>
      <c r="D8" t="s">
        <v>85</v>
      </c>
      <c r="E8" t="s">
        <v>87</v>
      </c>
      <c r="F8">
        <v>4.1979962425700696</v>
      </c>
      <c r="G8">
        <v>21</v>
      </c>
      <c r="H8" t="s">
        <v>88</v>
      </c>
      <c r="I8">
        <v>887448109461.11902</v>
      </c>
      <c r="J8">
        <v>662138871439.95801</v>
      </c>
      <c r="K8">
        <v>265536050207.76501</v>
      </c>
      <c r="L8">
        <v>225309238021.16101</v>
      </c>
      <c r="M8">
        <v>21523441673.284</v>
      </c>
      <c r="N8">
        <v>95609914033.877808</v>
      </c>
      <c r="O8">
        <v>95609914033.877808</v>
      </c>
      <c r="P8">
        <v>392603477898.92603</v>
      </c>
      <c r="Q8">
        <v>392603477898.92603</v>
      </c>
      <c r="R8">
        <v>22775130921.828602</v>
      </c>
      <c r="S8">
        <v>157727361622.07401</v>
      </c>
      <c r="T8">
        <v>170920108505.85101</v>
      </c>
      <c r="U8">
        <v>573105970442.82898</v>
      </c>
      <c r="V8">
        <v>108175882313.99899</v>
      </c>
      <c r="W8">
        <v>148402694500.603</v>
      </c>
      <c r="X8">
        <v>0.18875371727573101</v>
      </c>
      <c r="Y8">
        <v>0.25894459690576099</v>
      </c>
      <c r="Z8">
        <v>102.42947367494099</v>
      </c>
      <c r="AA8">
        <v>4230337262.7750702</v>
      </c>
      <c r="AB8" t="s">
        <v>89</v>
      </c>
      <c r="AC8">
        <v>103945545051.224</v>
      </c>
      <c r="AD8">
        <v>144172357237.828</v>
      </c>
      <c r="AE8">
        <v>0.18137229484960199</v>
      </c>
      <c r="AF8">
        <v>0.251563174479632</v>
      </c>
    </row>
    <row r="9" spans="1:32">
      <c r="A9">
        <v>2022</v>
      </c>
      <c r="B9" t="s">
        <v>90</v>
      </c>
      <c r="C9" t="s">
        <v>91</v>
      </c>
      <c r="D9" t="s">
        <v>91</v>
      </c>
      <c r="E9" t="s">
        <v>92</v>
      </c>
      <c r="F9">
        <v>5.05</v>
      </c>
      <c r="G9">
        <v>7</v>
      </c>
      <c r="H9" t="s">
        <v>93</v>
      </c>
      <c r="I9">
        <v>591689119674.76294</v>
      </c>
      <c r="J9">
        <v>442978550416.05103</v>
      </c>
      <c r="K9">
        <v>161286588346.866</v>
      </c>
      <c r="L9">
        <v>148710569258.71201</v>
      </c>
      <c r="M9">
        <v>15848133133.7855</v>
      </c>
      <c r="N9">
        <v>58971111597.250198</v>
      </c>
      <c r="O9">
        <v>58971111597.250198</v>
      </c>
      <c r="P9">
        <v>320979900189.99701</v>
      </c>
      <c r="Q9">
        <v>320979900189.99701</v>
      </c>
      <c r="R9">
        <v>11677447841.0396</v>
      </c>
      <c r="S9">
        <v>87718524834.861496</v>
      </c>
      <c r="T9">
        <v>96905671866.365707</v>
      </c>
      <c r="U9">
        <v>420375872865.89801</v>
      </c>
      <c r="V9">
        <v>73891324527.6763</v>
      </c>
      <c r="W9">
        <v>86467343615.830399</v>
      </c>
      <c r="X9">
        <v>0.175774418317409</v>
      </c>
      <c r="Y9">
        <v>0.20569054790500299</v>
      </c>
      <c r="Z9">
        <v>102.42947367494099</v>
      </c>
      <c r="AA9">
        <v>2820496775.2521801</v>
      </c>
      <c r="AB9" t="s">
        <v>94</v>
      </c>
      <c r="AC9">
        <v>71070827752.424103</v>
      </c>
      <c r="AD9">
        <v>83646846840.578201</v>
      </c>
      <c r="AE9">
        <v>0.16906495434169699</v>
      </c>
      <c r="AF9">
        <v>0.19898108392929101</v>
      </c>
    </row>
    <row r="10" spans="1:32">
      <c r="A10">
        <v>2022</v>
      </c>
      <c r="B10" t="s">
        <v>90</v>
      </c>
      <c r="C10" t="s">
        <v>95</v>
      </c>
      <c r="D10" t="s">
        <v>96</v>
      </c>
      <c r="E10" t="s">
        <v>97</v>
      </c>
      <c r="F10">
        <v>2.76</v>
      </c>
      <c r="G10">
        <v>13</v>
      </c>
      <c r="H10" t="s">
        <v>98</v>
      </c>
      <c r="I10">
        <v>196186949002.64801</v>
      </c>
      <c r="J10">
        <v>135378671332.908</v>
      </c>
      <c r="K10">
        <v>60981177017.190102</v>
      </c>
      <c r="L10">
        <v>60808277669.740196</v>
      </c>
      <c r="M10">
        <v>4329611175.4984503</v>
      </c>
      <c r="N10">
        <v>32469332685.627602</v>
      </c>
      <c r="O10">
        <v>32469332685.627602</v>
      </c>
      <c r="P10">
        <v>55985423821.929001</v>
      </c>
      <c r="Q10">
        <v>55985423821.929001</v>
      </c>
      <c r="R10">
        <v>11764250973.053499</v>
      </c>
      <c r="S10">
        <v>49050243236.560699</v>
      </c>
      <c r="T10">
        <v>60751849518.509201</v>
      </c>
      <c r="U10">
        <v>116799918031.543</v>
      </c>
      <c r="V10">
        <v>24009333808.614201</v>
      </c>
      <c r="W10">
        <v>24182233156.063999</v>
      </c>
      <c r="X10">
        <v>0.205559509058304</v>
      </c>
      <c r="Y10">
        <v>0.207039812729435</v>
      </c>
      <c r="Z10">
        <v>102.42947367494099</v>
      </c>
      <c r="AA10">
        <v>935194916.73717403</v>
      </c>
      <c r="AB10" t="s">
        <v>94</v>
      </c>
      <c r="AC10">
        <v>23074138891.876999</v>
      </c>
      <c r="AD10">
        <v>23247038239.326801</v>
      </c>
      <c r="AE10">
        <v>0.19755269764526401</v>
      </c>
      <c r="AF10">
        <v>0.19903300131639401</v>
      </c>
    </row>
    <row r="11" spans="1:32">
      <c r="A11">
        <v>2023</v>
      </c>
      <c r="B11" t="s">
        <v>85</v>
      </c>
      <c r="C11" t="s">
        <v>86</v>
      </c>
      <c r="D11" t="s">
        <v>85</v>
      </c>
      <c r="E11" t="s">
        <v>87</v>
      </c>
      <c r="F11">
        <v>4.2117708163009304</v>
      </c>
      <c r="G11">
        <v>21</v>
      </c>
      <c r="H11" t="s">
        <v>88</v>
      </c>
      <c r="I11">
        <v>809592502649.11304</v>
      </c>
      <c r="J11">
        <v>611153829592.06201</v>
      </c>
      <c r="K11">
        <v>240127159755.69601</v>
      </c>
      <c r="L11">
        <v>198438673057.05099</v>
      </c>
      <c r="M11">
        <v>24684323791.2756</v>
      </c>
      <c r="N11">
        <v>104619799861.40601</v>
      </c>
      <c r="O11">
        <v>104619799861.40601</v>
      </c>
      <c r="P11">
        <v>402462792005.25403</v>
      </c>
      <c r="Q11">
        <v>402462792005.25403</v>
      </c>
      <c r="R11">
        <v>24839860577.5256</v>
      </c>
      <c r="S11">
        <v>145106145668.396</v>
      </c>
      <c r="T11">
        <v>160047916222.29199</v>
      </c>
      <c r="U11">
        <v>572408798251.17505</v>
      </c>
      <c r="V11">
        <v>69134549404.368896</v>
      </c>
      <c r="W11">
        <v>110823036103.01401</v>
      </c>
      <c r="X11">
        <v>0.120778278767882</v>
      </c>
      <c r="Y11">
        <v>0.19360819826949</v>
      </c>
      <c r="Z11">
        <v>144.24548199727801</v>
      </c>
      <c r="AA11">
        <v>5581578925.8846798</v>
      </c>
      <c r="AB11" t="s">
        <v>89</v>
      </c>
      <c r="AC11">
        <v>63552970478.484299</v>
      </c>
      <c r="AD11">
        <v>105241457177.129</v>
      </c>
      <c r="AE11">
        <v>0.111027242545278</v>
      </c>
      <c r="AF11">
        <v>0.18385716204688601</v>
      </c>
    </row>
    <row r="12" spans="1:32">
      <c r="A12">
        <v>2023</v>
      </c>
      <c r="B12" t="s">
        <v>90</v>
      </c>
      <c r="C12" t="s">
        <v>91</v>
      </c>
      <c r="D12" t="s">
        <v>91</v>
      </c>
      <c r="E12" t="s">
        <v>92</v>
      </c>
      <c r="F12">
        <v>5.05</v>
      </c>
      <c r="G12">
        <v>7</v>
      </c>
      <c r="H12" t="s">
        <v>93</v>
      </c>
      <c r="I12">
        <v>541138367852.43799</v>
      </c>
      <c r="J12">
        <v>410240073603.89099</v>
      </c>
      <c r="K12">
        <v>143775135108.617</v>
      </c>
      <c r="L12">
        <v>130898294248.547</v>
      </c>
      <c r="M12">
        <v>18381296910.926498</v>
      </c>
      <c r="N12">
        <v>65629622793.720703</v>
      </c>
      <c r="O12">
        <v>65629622793.720703</v>
      </c>
      <c r="P12">
        <v>329092562137.245</v>
      </c>
      <c r="Q12">
        <v>329092562137.245</v>
      </c>
      <c r="R12">
        <v>12995964909.647699</v>
      </c>
      <c r="S12">
        <v>81235658139.384399</v>
      </c>
      <c r="T12">
        <v>91681753571.790497</v>
      </c>
      <c r="U12">
        <v>423324185186.27698</v>
      </c>
      <c r="V12">
        <v>46887374543.899597</v>
      </c>
      <c r="W12">
        <v>59764215403.969704</v>
      </c>
      <c r="X12">
        <v>0.110759971163159</v>
      </c>
      <c r="Y12">
        <v>0.141178362813529</v>
      </c>
      <c r="Z12">
        <v>144.24548199727801</v>
      </c>
      <c r="AA12">
        <v>3730773815.3571801</v>
      </c>
      <c r="AB12" t="s">
        <v>94</v>
      </c>
      <c r="AC12">
        <v>43156600728.542503</v>
      </c>
      <c r="AD12">
        <v>56033441588.612602</v>
      </c>
      <c r="AE12">
        <v>0.10194692918277801</v>
      </c>
      <c r="AF12">
        <v>0.132365320833148</v>
      </c>
    </row>
    <row r="13" spans="1:32">
      <c r="A13">
        <v>2023</v>
      </c>
      <c r="B13" t="s">
        <v>90</v>
      </c>
      <c r="C13" t="s">
        <v>95</v>
      </c>
      <c r="D13" t="s">
        <v>96</v>
      </c>
      <c r="E13" t="s">
        <v>97</v>
      </c>
      <c r="F13">
        <v>2.76</v>
      </c>
      <c r="G13">
        <v>13</v>
      </c>
      <c r="H13" t="s">
        <v>98</v>
      </c>
      <c r="I13">
        <v>174135554900.186</v>
      </c>
      <c r="J13">
        <v>119538446271.68201</v>
      </c>
      <c r="K13">
        <v>54803663327.079102</v>
      </c>
      <c r="L13">
        <v>54597108628.504097</v>
      </c>
      <c r="M13">
        <v>4962859757.3490696</v>
      </c>
      <c r="N13">
        <v>33818235686.685699</v>
      </c>
      <c r="O13">
        <v>33818235686.685699</v>
      </c>
      <c r="P13">
        <v>57052451800.008797</v>
      </c>
      <c r="Q13">
        <v>57052451800.008797</v>
      </c>
      <c r="R13">
        <v>12252983944.451401</v>
      </c>
      <c r="S13">
        <v>43311031257.855904</v>
      </c>
      <c r="T13">
        <v>55489176543.403297</v>
      </c>
      <c r="U13">
        <v>112616467002.31599</v>
      </c>
      <c r="V13">
        <v>15816013184.469299</v>
      </c>
      <c r="W13">
        <v>16022567883.0443</v>
      </c>
      <c r="X13">
        <v>0.140441390193354</v>
      </c>
      <c r="Y13">
        <v>0.14227553313952601</v>
      </c>
      <c r="Z13">
        <v>144.24548199727801</v>
      </c>
      <c r="AA13">
        <v>1200543903.6277399</v>
      </c>
      <c r="AB13" t="s">
        <v>94</v>
      </c>
      <c r="AC13">
        <v>14615469280.8416</v>
      </c>
      <c r="AD13">
        <v>14822023979.416599</v>
      </c>
      <c r="AE13">
        <v>0.129780925204668</v>
      </c>
      <c r="AF13">
        <v>0.13161506815084001</v>
      </c>
    </row>
    <row r="14" spans="1:32">
      <c r="A14">
        <v>2024</v>
      </c>
      <c r="B14" t="s">
        <v>85</v>
      </c>
      <c r="C14" t="s">
        <v>86</v>
      </c>
      <c r="D14" t="s">
        <v>85</v>
      </c>
      <c r="E14" t="s">
        <v>87</v>
      </c>
      <c r="F14">
        <v>4.1875875500571604</v>
      </c>
      <c r="G14">
        <v>21</v>
      </c>
      <c r="H14" t="s">
        <v>88</v>
      </c>
      <c r="I14">
        <v>858071607633.11902</v>
      </c>
      <c r="J14">
        <v>639470889642.45801</v>
      </c>
      <c r="K14">
        <v>263970325327.66501</v>
      </c>
      <c r="L14">
        <v>218600717990.66101</v>
      </c>
      <c r="M14">
        <v>27515759179.244099</v>
      </c>
      <c r="N14">
        <v>112924265631.88699</v>
      </c>
      <c r="O14">
        <v>112924265631.88699</v>
      </c>
      <c r="P14">
        <v>436965957591.82397</v>
      </c>
      <c r="Q14">
        <v>436965957591.82397</v>
      </c>
      <c r="R14">
        <v>26966425007.722099</v>
      </c>
      <c r="S14">
        <v>152706273480.474</v>
      </c>
      <c r="T14">
        <v>168838391910.80099</v>
      </c>
      <c r="U14">
        <v>616638656080.02002</v>
      </c>
      <c r="V14">
        <v>78160693179.529999</v>
      </c>
      <c r="W14">
        <v>123530300516.534</v>
      </c>
      <c r="X14">
        <v>0.12675282746041</v>
      </c>
      <c r="Y14">
        <v>0.200328505679189</v>
      </c>
      <c r="Z14">
        <v>140.859455712867</v>
      </c>
      <c r="AA14">
        <v>5667480200.6072102</v>
      </c>
      <c r="AB14" t="s">
        <v>89</v>
      </c>
      <c r="AC14">
        <v>72493212978.922699</v>
      </c>
      <c r="AD14">
        <v>117862820315.92599</v>
      </c>
      <c r="AE14">
        <v>0.11756190155149</v>
      </c>
      <c r="AF14">
        <v>0.19113757977026899</v>
      </c>
    </row>
    <row r="15" spans="1:32">
      <c r="A15">
        <v>2024</v>
      </c>
      <c r="B15" t="s">
        <v>90</v>
      </c>
      <c r="C15" t="s">
        <v>91</v>
      </c>
      <c r="D15" t="s">
        <v>91</v>
      </c>
      <c r="E15" t="s">
        <v>92</v>
      </c>
      <c r="F15">
        <v>5.05</v>
      </c>
      <c r="G15">
        <v>7</v>
      </c>
      <c r="H15" t="s">
        <v>93</v>
      </c>
      <c r="I15">
        <v>588543982490.39099</v>
      </c>
      <c r="J15">
        <v>429711977539.33502</v>
      </c>
      <c r="K15">
        <v>172160203558.59799</v>
      </c>
      <c r="L15">
        <v>158832004951.056</v>
      </c>
      <c r="M15">
        <v>21292990419.9916</v>
      </c>
      <c r="N15">
        <v>71329885528.891602</v>
      </c>
      <c r="O15">
        <v>71329885528.891602</v>
      </c>
      <c r="P15">
        <v>360833746887.40399</v>
      </c>
      <c r="Q15">
        <v>360833746887.40399</v>
      </c>
      <c r="R15">
        <v>14124729807.7013</v>
      </c>
      <c r="S15">
        <v>85091480700.858398</v>
      </c>
      <c r="T15">
        <v>96576963259.541595</v>
      </c>
      <c r="U15">
        <v>460049957395.96399</v>
      </c>
      <c r="V15">
        <v>66209129002.172798</v>
      </c>
      <c r="W15">
        <v>79537327609.714294</v>
      </c>
      <c r="X15">
        <v>0.14391725928405399</v>
      </c>
      <c r="Y15">
        <v>0.172888457722987</v>
      </c>
      <c r="Z15">
        <v>140.859455712867</v>
      </c>
      <c r="AA15">
        <v>3887276234.6158099</v>
      </c>
      <c r="AB15" t="s">
        <v>94</v>
      </c>
      <c r="AC15">
        <v>62321852767.5569</v>
      </c>
      <c r="AD15">
        <v>75650051375.098495</v>
      </c>
      <c r="AE15">
        <v>0.13546757643521901</v>
      </c>
      <c r="AF15">
        <v>0.16443877487415301</v>
      </c>
    </row>
    <row r="16" spans="1:32">
      <c r="A16">
        <v>2024</v>
      </c>
      <c r="B16" t="s">
        <v>90</v>
      </c>
      <c r="C16" t="s">
        <v>95</v>
      </c>
      <c r="D16" t="s">
        <v>96</v>
      </c>
      <c r="E16" t="s">
        <v>97</v>
      </c>
      <c r="F16">
        <v>2.76</v>
      </c>
      <c r="G16">
        <v>13</v>
      </c>
      <c r="H16" t="s">
        <v>98</v>
      </c>
      <c r="I16">
        <v>183192986371.30301</v>
      </c>
      <c r="J16">
        <v>121936315196.698</v>
      </c>
      <c r="K16">
        <v>61441370953.067299</v>
      </c>
      <c r="L16">
        <v>61256671174.605202</v>
      </c>
      <c r="M16">
        <v>5041099599.2525101</v>
      </c>
      <c r="N16">
        <v>35876582163.995598</v>
      </c>
      <c r="O16">
        <v>35876582163.995598</v>
      </c>
      <c r="P16">
        <v>59962302437.4198</v>
      </c>
      <c r="Q16">
        <v>59962302437.4198</v>
      </c>
      <c r="R16">
        <v>12998761653.621599</v>
      </c>
      <c r="S16">
        <v>44179824346.629601</v>
      </c>
      <c r="T16">
        <v>57111665790.663399</v>
      </c>
      <c r="U16">
        <v>117140888437.67101</v>
      </c>
      <c r="V16">
        <v>20338989411.357201</v>
      </c>
      <c r="W16">
        <v>20523689189.819199</v>
      </c>
      <c r="X16">
        <v>0.17362843736821401</v>
      </c>
      <c r="Y16">
        <v>0.175205169292698</v>
      </c>
      <c r="Z16">
        <v>140.859455712867</v>
      </c>
      <c r="AA16">
        <v>1209972004.56652</v>
      </c>
      <c r="AB16" t="s">
        <v>94</v>
      </c>
      <c r="AC16">
        <v>19129017406.7906</v>
      </c>
      <c r="AD16">
        <v>19313717185.252701</v>
      </c>
      <c r="AE16">
        <v>0.16329923446815001</v>
      </c>
      <c r="AF16">
        <v>0.16487596639263399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3">
      <c r="A1" t="s">
        <v>99</v>
      </c>
      <c r="B1" t="s">
        <v>100</v>
      </c>
      <c r="C1" t="s">
        <v>101</v>
      </c>
    </row>
    <row r="2" spans="1:3">
      <c r="A2">
        <v>2020</v>
      </c>
      <c r="B2">
        <v>42</v>
      </c>
      <c r="C2">
        <v>57.605680999999997</v>
      </c>
    </row>
    <row r="3" spans="1:3">
      <c r="A3">
        <v>2021</v>
      </c>
      <c r="B3">
        <v>43.56</v>
      </c>
      <c r="C3">
        <v>58.976208</v>
      </c>
    </row>
    <row r="4" spans="1:3">
      <c r="A4">
        <v>2022</v>
      </c>
      <c r="B4">
        <v>41.3</v>
      </c>
      <c r="C4">
        <v>58.134197</v>
      </c>
    </row>
    <row r="5" spans="1:3">
      <c r="A5">
        <v>2023</v>
      </c>
      <c r="B5">
        <v>38.695</v>
      </c>
      <c r="C5">
        <v>60.006461000000002</v>
      </c>
    </row>
    <row r="6" spans="1:3">
      <c r="A6">
        <v>2024</v>
      </c>
      <c r="B6">
        <v>40.234999999999999</v>
      </c>
      <c r="C6">
        <v>61.848213999999999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O19"/>
  <sheetViews>
    <sheetView workbookViewId="0">
      <pane xSplit="3" ySplit="1" topLeftCell="AE2" activePane="bottomRight" state="frozen"/>
      <selection pane="topRight" activeCell="D1" sqref="D1"/>
      <selection pane="bottomLeft" activeCell="A2" sqref="A2"/>
      <selection pane="bottomRight" activeCell="AF3" sqref="AF3:AF9"/>
    </sheetView>
  </sheetViews>
  <sheetFormatPr baseColWidth="10" defaultRowHeight="15"/>
  <cols>
    <col min="28" max="28" width="11.42578125" style="3"/>
    <col min="29" max="30" width="11.42578125" customWidth="1"/>
    <col min="31" max="31" width="11.42578125" style="3"/>
    <col min="32" max="33" width="11.42578125" customWidth="1"/>
  </cols>
  <sheetData>
    <row r="1" spans="1:67" s="1" customFormat="1" ht="75">
      <c r="A1" s="1" t="s">
        <v>54</v>
      </c>
      <c r="B1" s="1" t="s">
        <v>55</v>
      </c>
      <c r="C1" s="1" t="s">
        <v>0</v>
      </c>
      <c r="D1" s="1" t="s">
        <v>56</v>
      </c>
      <c r="E1" s="1" t="s">
        <v>57</v>
      </c>
      <c r="F1" s="1" t="s">
        <v>100</v>
      </c>
      <c r="G1" s="1" t="s">
        <v>101</v>
      </c>
      <c r="H1" s="1" t="s">
        <v>102</v>
      </c>
      <c r="I1" s="1" t="s">
        <v>58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61</v>
      </c>
      <c r="Q1" s="1" t="s">
        <v>109</v>
      </c>
      <c r="R1" s="1" t="s">
        <v>110</v>
      </c>
      <c r="S1" s="1" t="s">
        <v>62</v>
      </c>
      <c r="T1" s="1" t="s">
        <v>111</v>
      </c>
      <c r="U1" s="1" t="s">
        <v>112</v>
      </c>
      <c r="V1" s="1" t="s">
        <v>63</v>
      </c>
      <c r="W1" s="1" t="s">
        <v>113</v>
      </c>
      <c r="X1" s="1" t="s">
        <v>64</v>
      </c>
      <c r="Y1" s="1" t="s">
        <v>114</v>
      </c>
      <c r="Z1" s="1" t="s">
        <v>66</v>
      </c>
      <c r="AA1" s="1" t="s">
        <v>115</v>
      </c>
      <c r="AB1" s="2" t="s">
        <v>116</v>
      </c>
      <c r="AC1" s="1" t="s">
        <v>65</v>
      </c>
      <c r="AD1" s="1" t="s">
        <v>117</v>
      </c>
      <c r="AE1" s="2" t="s">
        <v>118</v>
      </c>
      <c r="AF1" s="1" t="s">
        <v>69</v>
      </c>
      <c r="AG1" s="1" t="s">
        <v>119</v>
      </c>
      <c r="AH1" s="1" t="s">
        <v>120</v>
      </c>
      <c r="AI1" s="1" t="s">
        <v>70</v>
      </c>
      <c r="AJ1" s="1" t="s">
        <v>121</v>
      </c>
      <c r="AK1" s="1" t="s">
        <v>71</v>
      </c>
      <c r="AL1" s="1" t="s">
        <v>122</v>
      </c>
      <c r="AM1" s="1" t="s">
        <v>73</v>
      </c>
      <c r="AN1" s="1" t="s">
        <v>123</v>
      </c>
      <c r="AO1" s="1" t="s">
        <v>74</v>
      </c>
      <c r="AP1" s="1" t="s">
        <v>124</v>
      </c>
      <c r="AQ1" s="1" t="s">
        <v>125</v>
      </c>
      <c r="AR1" s="1" t="s">
        <v>75</v>
      </c>
      <c r="AS1" s="1" t="s">
        <v>126</v>
      </c>
      <c r="AT1" s="1" t="s">
        <v>127</v>
      </c>
      <c r="AU1" s="1" t="s">
        <v>76</v>
      </c>
      <c r="AV1" s="1" t="s">
        <v>128</v>
      </c>
      <c r="AW1" s="1" t="s">
        <v>129</v>
      </c>
      <c r="AX1" s="1" t="s">
        <v>77</v>
      </c>
      <c r="AY1" s="1" t="s">
        <v>130</v>
      </c>
      <c r="AZ1" s="1" t="s">
        <v>131</v>
      </c>
      <c r="BA1" s="1" t="s">
        <v>79</v>
      </c>
      <c r="BB1" s="1" t="s">
        <v>132</v>
      </c>
      <c r="BC1" s="1" t="s">
        <v>133</v>
      </c>
      <c r="BD1" s="1" t="s">
        <v>81</v>
      </c>
      <c r="BE1" s="1" t="s">
        <v>134</v>
      </c>
      <c r="BF1" s="1" t="s">
        <v>135</v>
      </c>
      <c r="BG1" s="1" t="s">
        <v>82</v>
      </c>
      <c r="BH1" s="1" t="s">
        <v>136</v>
      </c>
      <c r="BI1" s="1" t="s">
        <v>137</v>
      </c>
      <c r="BJ1" s="1" t="s">
        <v>83</v>
      </c>
      <c r="BK1" s="1" t="s">
        <v>138</v>
      </c>
      <c r="BL1" s="1" t="s">
        <v>139</v>
      </c>
      <c r="BM1" s="1" t="s">
        <v>84</v>
      </c>
      <c r="BN1" s="1" t="s">
        <v>140</v>
      </c>
      <c r="BO1" s="1" t="s">
        <v>141</v>
      </c>
    </row>
    <row r="2" spans="1:67" hidden="1">
      <c r="A2">
        <v>2020</v>
      </c>
      <c r="B2" t="s">
        <v>85</v>
      </c>
      <c r="C2" t="s">
        <v>86</v>
      </c>
      <c r="D2" t="s">
        <v>85</v>
      </c>
      <c r="E2" t="s">
        <v>87</v>
      </c>
      <c r="F2">
        <v>42</v>
      </c>
      <c r="G2">
        <v>57.605680999999997</v>
      </c>
      <c r="H2">
        <v>0.37156383333333298</v>
      </c>
      <c r="I2">
        <v>4.2215278571483301</v>
      </c>
      <c r="J2">
        <v>0.33300000000000002</v>
      </c>
      <c r="K2">
        <v>0.189</v>
      </c>
      <c r="L2">
        <v>9.2999999999999999E-2</v>
      </c>
      <c r="M2">
        <v>1.7000000000000001E-2</v>
      </c>
      <c r="N2">
        <v>3.6999999999999998E-2</v>
      </c>
      <c r="O2">
        <v>8.4699999999999998E-2</v>
      </c>
      <c r="P2">
        <v>600817528391.49805</v>
      </c>
      <c r="Q2">
        <v>675157135697.83801</v>
      </c>
      <c r="R2">
        <v>74339607306.340195</v>
      </c>
      <c r="S2">
        <v>449416837552.95599</v>
      </c>
      <c r="T2">
        <v>480977388665.91699</v>
      </c>
      <c r="U2">
        <v>31560551112.961102</v>
      </c>
      <c r="V2">
        <v>182963110731.009</v>
      </c>
      <c r="W2">
        <v>225742166924.388</v>
      </c>
      <c r="X2">
        <v>151400690838.54199</v>
      </c>
      <c r="Y2">
        <v>194179747031.92099</v>
      </c>
      <c r="Z2">
        <v>78278216489.303406</v>
      </c>
      <c r="AA2">
        <v>80983154428.532806</v>
      </c>
      <c r="AB2">
        <v>2704937939.2293801</v>
      </c>
      <c r="AC2">
        <v>19749525803.3465</v>
      </c>
      <c r="AD2">
        <v>19874275365.084599</v>
      </c>
      <c r="AE2">
        <v>124749561.73811901</v>
      </c>
      <c r="AF2">
        <v>296322600807.052</v>
      </c>
      <c r="AG2">
        <v>300396402981.04102</v>
      </c>
      <c r="AH2">
        <v>4073802173.9893398</v>
      </c>
      <c r="AI2">
        <v>18542627015.182301</v>
      </c>
      <c r="AJ2">
        <v>19183375585.548599</v>
      </c>
      <c r="AK2">
        <v>106458337540.508</v>
      </c>
      <c r="AL2">
        <v>113934434390.022</v>
      </c>
      <c r="AM2">
        <v>421323565362.74298</v>
      </c>
      <c r="AN2">
        <v>433514212956.612</v>
      </c>
      <c r="AO2">
        <v>53372948545.891701</v>
      </c>
      <c r="AP2">
        <v>93322317238.303299</v>
      </c>
      <c r="AQ2">
        <v>74.849469217654203</v>
      </c>
      <c r="AR2">
        <v>84935368438.358704</v>
      </c>
      <c r="AS2">
        <v>124884737130.77</v>
      </c>
      <c r="AT2">
        <v>47.035021366163399</v>
      </c>
      <c r="AU2">
        <v>0.12667923879344301</v>
      </c>
      <c r="AV2">
        <v>0.21526933708086601</v>
      </c>
      <c r="AW2">
        <v>8.8590098287423</v>
      </c>
      <c r="AX2">
        <v>0.201591782233288</v>
      </c>
      <c r="AY2">
        <v>0.28807530041297502</v>
      </c>
      <c r="AZ2">
        <v>8.6483518179686101</v>
      </c>
      <c r="BA2">
        <v>4023974450.8589201</v>
      </c>
      <c r="BB2">
        <v>4150614788.4839702</v>
      </c>
      <c r="BC2">
        <v>126640337.625047</v>
      </c>
      <c r="BD2">
        <v>49348974095.032799</v>
      </c>
      <c r="BE2">
        <v>89171702449.819305</v>
      </c>
      <c r="BF2">
        <v>80.6961625546638</v>
      </c>
      <c r="BG2">
        <v>80911393987.499802</v>
      </c>
      <c r="BH2">
        <v>120734122342.286</v>
      </c>
      <c r="BI2">
        <v>49.217701478408401</v>
      </c>
      <c r="BJ2">
        <v>0.117128445100253</v>
      </c>
      <c r="BK2">
        <v>0.20569499173201</v>
      </c>
      <c r="BL2">
        <v>8.8566546631757603</v>
      </c>
      <c r="BM2">
        <v>0.19204098854009799</v>
      </c>
      <c r="BN2">
        <v>0.27850095506411898</v>
      </c>
      <c r="BO2">
        <v>8.6459966524020704</v>
      </c>
    </row>
    <row r="3" spans="1:67">
      <c r="A3">
        <v>2020</v>
      </c>
      <c r="B3" t="s">
        <v>90</v>
      </c>
      <c r="C3" s="4" t="s">
        <v>91</v>
      </c>
      <c r="D3" t="s">
        <v>91</v>
      </c>
      <c r="E3" t="s">
        <v>92</v>
      </c>
      <c r="F3">
        <v>42</v>
      </c>
      <c r="G3">
        <v>57.605680999999997</v>
      </c>
      <c r="H3">
        <v>0.37156383333333298</v>
      </c>
      <c r="I3">
        <v>5.05</v>
      </c>
      <c r="J3">
        <v>0.33300000000000002</v>
      </c>
      <c r="K3">
        <v>0.189</v>
      </c>
      <c r="L3">
        <v>9.2999999999999999E-2</v>
      </c>
      <c r="M3">
        <v>1.7000000000000001E-2</v>
      </c>
      <c r="N3">
        <v>3.6999999999999998E-2</v>
      </c>
      <c r="O3">
        <v>8.4699999999999998E-2</v>
      </c>
      <c r="P3">
        <v>405327577088.60797</v>
      </c>
      <c r="Q3">
        <v>455479064832.09399</v>
      </c>
      <c r="R3">
        <v>50151487743.485497</v>
      </c>
      <c r="S3">
        <v>309729585888.76099</v>
      </c>
      <c r="T3">
        <v>331480520900.151</v>
      </c>
      <c r="U3">
        <v>21750935011.3895</v>
      </c>
      <c r="V3">
        <v>106285779803.605</v>
      </c>
      <c r="W3">
        <v>134686332535.701</v>
      </c>
      <c r="X3">
        <v>95597991199.846893</v>
      </c>
      <c r="Y3">
        <v>123998543931.94299</v>
      </c>
      <c r="Z3">
        <v>48367393925.7938</v>
      </c>
      <c r="AA3">
        <v>50038750335.266998</v>
      </c>
      <c r="AB3" s="3">
        <v>1671356409.4732499</v>
      </c>
      <c r="AC3">
        <v>14380324243.299601</v>
      </c>
      <c r="AD3">
        <v>14471158786.106701</v>
      </c>
      <c r="AE3" s="3">
        <v>90834542.807083502</v>
      </c>
      <c r="AF3">
        <v>230274964915.077</v>
      </c>
      <c r="AG3">
        <v>233440753316.405</v>
      </c>
      <c r="AH3">
        <v>3165788401.3281598</v>
      </c>
      <c r="AI3">
        <v>9577701767.4839191</v>
      </c>
      <c r="AJ3">
        <v>9908663432.7261391</v>
      </c>
      <c r="AK3">
        <v>61332591265.101196</v>
      </c>
      <c r="AL3">
        <v>65639707108.940804</v>
      </c>
      <c r="AM3">
        <v>301185257947.66199</v>
      </c>
      <c r="AN3">
        <v>308989123858.07202</v>
      </c>
      <c r="AO3">
        <v>32850273030.753502</v>
      </c>
      <c r="AP3">
        <v>59488634810.569199</v>
      </c>
      <c r="AQ3">
        <v>81.090229462865096</v>
      </c>
      <c r="AR3">
        <v>43538061634.511597</v>
      </c>
      <c r="AS3">
        <v>70176423414.327301</v>
      </c>
      <c r="AT3">
        <v>61.184078435637403</v>
      </c>
      <c r="AU3">
        <v>0.109069989861396</v>
      </c>
      <c r="AV3">
        <v>0.19252663028325301</v>
      </c>
      <c r="AW3">
        <v>8.3456640421856605</v>
      </c>
      <c r="AX3">
        <v>0.14455575259954201</v>
      </c>
      <c r="AY3">
        <v>0.227116160394569</v>
      </c>
      <c r="AZ3">
        <v>8.2560407795026904</v>
      </c>
      <c r="BA3">
        <v>2714680809.6622601</v>
      </c>
      <c r="BB3">
        <v>2800115769.1726198</v>
      </c>
      <c r="BC3">
        <v>85434959.510362104</v>
      </c>
      <c r="BD3">
        <v>30135592221.091301</v>
      </c>
      <c r="BE3">
        <v>56688519041.396599</v>
      </c>
      <c r="BF3">
        <v>88.111514867531</v>
      </c>
      <c r="BG3">
        <v>40823380824.849297</v>
      </c>
      <c r="BH3">
        <v>67376307645.154701</v>
      </c>
      <c r="BI3">
        <v>65.043429240290905</v>
      </c>
      <c r="BJ3">
        <v>0.100056664215378</v>
      </c>
      <c r="BK3">
        <v>0.18346444798308001</v>
      </c>
      <c r="BL3">
        <v>8.3407783767701602</v>
      </c>
      <c r="BM3">
        <v>0.135542426953524</v>
      </c>
      <c r="BN3">
        <v>0.218053978094396</v>
      </c>
      <c r="BO3">
        <v>8.2511551140871902</v>
      </c>
    </row>
    <row r="4" spans="1:67">
      <c r="A4">
        <v>2021</v>
      </c>
      <c r="B4" t="s">
        <v>90</v>
      </c>
      <c r="C4" t="s">
        <v>91</v>
      </c>
      <c r="D4" t="s">
        <v>91</v>
      </c>
      <c r="E4" t="s">
        <v>92</v>
      </c>
      <c r="F4">
        <v>43.56</v>
      </c>
      <c r="G4">
        <v>58.976208</v>
      </c>
      <c r="H4">
        <v>0.35390743801652902</v>
      </c>
      <c r="I4">
        <v>5.05</v>
      </c>
      <c r="J4">
        <v>0.33300000000000002</v>
      </c>
      <c r="K4">
        <v>0.189</v>
      </c>
      <c r="L4">
        <v>9.2999999999999999E-2</v>
      </c>
      <c r="M4">
        <v>1.7000000000000001E-2</v>
      </c>
      <c r="N4">
        <v>3.6999999999999998E-2</v>
      </c>
      <c r="O4">
        <v>8.4699999999999998E-2</v>
      </c>
      <c r="P4">
        <v>511009593127.23199</v>
      </c>
      <c r="Q4">
        <v>571232675063.77197</v>
      </c>
      <c r="R4">
        <v>60223081936.540604</v>
      </c>
      <c r="S4">
        <v>364244022004.659</v>
      </c>
      <c r="T4">
        <v>388607760377.71503</v>
      </c>
      <c r="U4">
        <v>24363738373.0555</v>
      </c>
      <c r="V4">
        <v>157596691301.319</v>
      </c>
      <c r="W4">
        <v>193456034864.80399</v>
      </c>
      <c r="X4">
        <v>146765571122.57199</v>
      </c>
      <c r="Y4">
        <v>182624914686.05801</v>
      </c>
      <c r="Z4">
        <v>52277798970.765198</v>
      </c>
      <c r="AA4">
        <v>53998438647.361603</v>
      </c>
      <c r="AB4" s="3">
        <v>1720639676.5964601</v>
      </c>
      <c r="AC4">
        <v>15380205240.5674</v>
      </c>
      <c r="AD4">
        <v>15472739114.125999</v>
      </c>
      <c r="AE4" s="3">
        <v>92533873.558579296</v>
      </c>
      <c r="AF4">
        <v>307945074990.15802</v>
      </c>
      <c r="AG4">
        <v>311977484934.12201</v>
      </c>
      <c r="AH4">
        <v>4032409943.9642601</v>
      </c>
      <c r="AI4">
        <v>10352039400.151501</v>
      </c>
      <c r="AJ4">
        <v>10692760128.190399</v>
      </c>
      <c r="AK4">
        <v>72127529109.833603</v>
      </c>
      <c r="AL4">
        <v>76952031757.963303</v>
      </c>
      <c r="AM4">
        <v>390424643500.14301</v>
      </c>
      <c r="AN4">
        <v>399622276820.276</v>
      </c>
      <c r="AO4">
        <v>79107566911.239899</v>
      </c>
      <c r="AP4">
        <v>113153736924.57001</v>
      </c>
      <c r="AQ4">
        <v>43.037817168022002</v>
      </c>
      <c r="AR4">
        <v>89938687089.986404</v>
      </c>
      <c r="AS4">
        <v>123984857103.31599</v>
      </c>
      <c r="AT4">
        <v>37.854866592911101</v>
      </c>
      <c r="AU4">
        <v>0.202619297291389</v>
      </c>
      <c r="AV4">
        <v>0.28315172473595401</v>
      </c>
      <c r="AW4">
        <v>8.0532427444565506</v>
      </c>
      <c r="AX4">
        <v>0.23036119411851</v>
      </c>
      <c r="AY4">
        <v>0.31025511913360299</v>
      </c>
      <c r="AZ4">
        <v>7.9893925015093599</v>
      </c>
      <c r="BA4">
        <v>2353144540.3216701</v>
      </c>
      <c r="BB4">
        <v>2423682306.9365702</v>
      </c>
      <c r="BC4">
        <v>70537766.614900693</v>
      </c>
      <c r="BD4">
        <v>76754422370.918198</v>
      </c>
      <c r="BE4">
        <v>110730054617.633</v>
      </c>
      <c r="BF4">
        <v>44.265374159845599</v>
      </c>
      <c r="BG4">
        <v>87585542549.664703</v>
      </c>
      <c r="BH4">
        <v>121561174796.38</v>
      </c>
      <c r="BI4">
        <v>38.791370422178503</v>
      </c>
      <c r="BJ4">
        <v>0.19659215587115</v>
      </c>
      <c r="BK4">
        <v>0.27708679180423301</v>
      </c>
      <c r="BL4">
        <v>8.0494635933083405</v>
      </c>
      <c r="BM4">
        <v>0.224334052698271</v>
      </c>
      <c r="BN4">
        <v>0.30419018620188298</v>
      </c>
      <c r="BO4">
        <v>7.9856133503611604</v>
      </c>
    </row>
    <row r="5" spans="1:67" hidden="1">
      <c r="A5">
        <v>2021</v>
      </c>
      <c r="B5" t="s">
        <v>85</v>
      </c>
      <c r="C5" t="s">
        <v>86</v>
      </c>
      <c r="D5" t="s">
        <v>85</v>
      </c>
      <c r="E5" t="s">
        <v>87</v>
      </c>
      <c r="F5">
        <v>43.56</v>
      </c>
      <c r="G5">
        <v>58.976208</v>
      </c>
      <c r="H5">
        <v>0.35390743801652902</v>
      </c>
      <c r="I5">
        <v>4.1725147664213198</v>
      </c>
      <c r="J5">
        <v>0.33300000000000002</v>
      </c>
      <c r="K5">
        <v>0.189</v>
      </c>
      <c r="L5">
        <v>9.2999999999999999E-2</v>
      </c>
      <c r="M5">
        <v>1.7000000000000001E-2</v>
      </c>
      <c r="N5">
        <v>3.6999999999999998E-2</v>
      </c>
      <c r="O5">
        <v>8.4699999999999998E-2</v>
      </c>
      <c r="P5">
        <v>740451400483.521</v>
      </c>
      <c r="Q5">
        <v>827714469437.77197</v>
      </c>
      <c r="R5">
        <v>87263068954.2509</v>
      </c>
      <c r="S5">
        <v>526409090702.44098</v>
      </c>
      <c r="T5">
        <v>561619808211.23303</v>
      </c>
      <c r="U5">
        <v>35210717508.792</v>
      </c>
      <c r="V5">
        <v>224974680121.47299</v>
      </c>
      <c r="W5">
        <v>277027031566.93201</v>
      </c>
      <c r="X5">
        <v>214042309781.07999</v>
      </c>
      <c r="Y5">
        <v>266094661226.539</v>
      </c>
      <c r="Z5">
        <v>84122098877.865601</v>
      </c>
      <c r="AA5">
        <v>86890842471.848404</v>
      </c>
      <c r="AB5">
        <v>2768743593.98278</v>
      </c>
      <c r="AC5">
        <v>21739333748.8759</v>
      </c>
      <c r="AD5">
        <v>21870126851.367199</v>
      </c>
      <c r="AE5">
        <v>130793102.491266</v>
      </c>
      <c r="AF5">
        <v>377193985828.289</v>
      </c>
      <c r="AG5">
        <v>382133180843.19897</v>
      </c>
      <c r="AH5">
        <v>4939195014.9101105</v>
      </c>
      <c r="AI5">
        <v>20161006871.646198</v>
      </c>
      <c r="AJ5">
        <v>20824573988.5956</v>
      </c>
      <c r="AK5">
        <v>126161109108.29201</v>
      </c>
      <c r="AL5">
        <v>134599837184.74001</v>
      </c>
      <c r="AM5">
        <v>523516101808.22803</v>
      </c>
      <c r="AN5">
        <v>537557592016.53497</v>
      </c>
      <c r="AO5">
        <v>108180877154.339</v>
      </c>
      <c r="AP5">
        <v>157333691903.32401</v>
      </c>
      <c r="AQ5">
        <v>45.435770204432501</v>
      </c>
      <c r="AR5">
        <v>119113247494.731</v>
      </c>
      <c r="AS5">
        <v>168266062243.716</v>
      </c>
      <c r="AT5">
        <v>41.265615523713201</v>
      </c>
      <c r="AU5">
        <v>0.206642884107445</v>
      </c>
      <c r="AV5">
        <v>0.29268248507684402</v>
      </c>
      <c r="AW5">
        <v>8.6039600969399306</v>
      </c>
      <c r="AX5">
        <v>0.227525470722512</v>
      </c>
      <c r="AY5">
        <v>0.31301959965350201</v>
      </c>
      <c r="AZ5">
        <v>8.5494128930990207</v>
      </c>
      <c r="BA5">
        <v>3409699531.7806301</v>
      </c>
      <c r="BB5">
        <v>3511908548.5573001</v>
      </c>
      <c r="BC5">
        <v>102209016.776675</v>
      </c>
      <c r="BD5">
        <v>104771177622.558</v>
      </c>
      <c r="BE5">
        <v>153821783354.76599</v>
      </c>
      <c r="BF5">
        <v>46.816888809739901</v>
      </c>
      <c r="BG5">
        <v>115703547962.951</v>
      </c>
      <c r="BH5">
        <v>164754153695.159</v>
      </c>
      <c r="BI5">
        <v>42.393346267924699</v>
      </c>
      <c r="BJ5">
        <v>0.20012980930419899</v>
      </c>
      <c r="BK5">
        <v>0.28614940173709802</v>
      </c>
      <c r="BL5">
        <v>8.6019592432898904</v>
      </c>
      <c r="BM5">
        <v>0.221012395919266</v>
      </c>
      <c r="BN5">
        <v>0.30648651631375601</v>
      </c>
      <c r="BO5">
        <v>8.5474120394489699</v>
      </c>
    </row>
    <row r="6" spans="1:67">
      <c r="A6">
        <v>2022</v>
      </c>
      <c r="B6" t="s">
        <v>90</v>
      </c>
      <c r="C6" t="s">
        <v>91</v>
      </c>
      <c r="D6" t="s">
        <v>91</v>
      </c>
      <c r="E6" t="s">
        <v>92</v>
      </c>
      <c r="F6">
        <v>41.3</v>
      </c>
      <c r="G6">
        <v>58.134197</v>
      </c>
      <c r="H6">
        <v>0.40760767554479399</v>
      </c>
      <c r="I6">
        <v>5.05</v>
      </c>
      <c r="J6">
        <v>0.33300000000000002</v>
      </c>
      <c r="K6">
        <v>0.189</v>
      </c>
      <c r="L6">
        <v>9.2999999999999999E-2</v>
      </c>
      <c r="M6">
        <v>1.7000000000000001E-2</v>
      </c>
      <c r="N6">
        <v>3.6999999999999998E-2</v>
      </c>
      <c r="O6">
        <v>8.4699999999999998E-2</v>
      </c>
      <c r="P6">
        <v>591689119674.76294</v>
      </c>
      <c r="Q6">
        <v>672001069571.11597</v>
      </c>
      <c r="R6">
        <v>80311949896.353302</v>
      </c>
      <c r="S6">
        <v>442978550416.05103</v>
      </c>
      <c r="T6">
        <v>477104665836.54401</v>
      </c>
      <c r="U6">
        <v>34126115420.493599</v>
      </c>
      <c r="V6">
        <v>161286588346.866</v>
      </c>
      <c r="W6">
        <v>207472422822.72601</v>
      </c>
      <c r="X6">
        <v>148710569258.71201</v>
      </c>
      <c r="Y6">
        <v>194896403734.57199</v>
      </c>
      <c r="Z6">
        <v>58971111597.250198</v>
      </c>
      <c r="AA6">
        <v>61206559825.437897</v>
      </c>
      <c r="AB6" s="3">
        <v>2235448228.1876502</v>
      </c>
      <c r="AC6">
        <v>15848133133.7855</v>
      </c>
      <c r="AD6">
        <v>15957950085.8281</v>
      </c>
      <c r="AE6" s="3">
        <v>109816952.042575</v>
      </c>
      <c r="AF6">
        <v>320979900189.99701</v>
      </c>
      <c r="AG6">
        <v>325820753417.47998</v>
      </c>
      <c r="AH6">
        <v>4840853227.4826603</v>
      </c>
      <c r="AI6">
        <v>11677447841.0396</v>
      </c>
      <c r="AJ6">
        <v>12120110856.522301</v>
      </c>
      <c r="AK6">
        <v>87718524834.861496</v>
      </c>
      <c r="AL6">
        <v>94476171452.781097</v>
      </c>
      <c r="AM6">
        <v>420375872865.89801</v>
      </c>
      <c r="AN6">
        <v>432417035726.78302</v>
      </c>
      <c r="AO6">
        <v>73891324527.6763</v>
      </c>
      <c r="AP6">
        <v>117731893823.306</v>
      </c>
      <c r="AQ6">
        <v>59.331145538213804</v>
      </c>
      <c r="AR6">
        <v>86467343615.830399</v>
      </c>
      <c r="AS6">
        <v>130307912911.46001</v>
      </c>
      <c r="AT6">
        <v>50.701880574024202</v>
      </c>
      <c r="AU6">
        <v>0.175774418317409</v>
      </c>
      <c r="AV6">
        <v>0.27226469841880402</v>
      </c>
      <c r="AW6">
        <v>9.6490280101394994</v>
      </c>
      <c r="AX6">
        <v>0.20569054790500299</v>
      </c>
      <c r="AY6">
        <v>0.30134777805977397</v>
      </c>
      <c r="AZ6">
        <v>9.56572301547709</v>
      </c>
      <c r="BA6">
        <v>2820496775.2521801</v>
      </c>
      <c r="BB6">
        <v>2917872649.8394299</v>
      </c>
      <c r="BC6">
        <v>97375874.587248296</v>
      </c>
      <c r="BD6">
        <v>71070827752.424103</v>
      </c>
      <c r="BE6">
        <v>114814021173.466</v>
      </c>
      <c r="BF6">
        <v>61.548732165357698</v>
      </c>
      <c r="BG6">
        <v>83646846840.578201</v>
      </c>
      <c r="BH6">
        <v>127390040261.62</v>
      </c>
      <c r="BI6">
        <v>52.295089502192397</v>
      </c>
      <c r="BJ6">
        <v>0.16906495434169699</v>
      </c>
      <c r="BK6">
        <v>0.26551687766068999</v>
      </c>
      <c r="BL6">
        <v>9.6451923318992598</v>
      </c>
      <c r="BM6">
        <v>0.19898108392929101</v>
      </c>
      <c r="BN6">
        <v>0.294599957301659</v>
      </c>
      <c r="BO6">
        <v>9.5618873372368505</v>
      </c>
    </row>
    <row r="7" spans="1:67">
      <c r="A7">
        <v>2023</v>
      </c>
      <c r="B7" t="s">
        <v>90</v>
      </c>
      <c r="C7" t="s">
        <v>91</v>
      </c>
      <c r="D7" t="s">
        <v>91</v>
      </c>
      <c r="E7" t="s">
        <v>92</v>
      </c>
      <c r="F7">
        <v>38.695</v>
      </c>
      <c r="G7">
        <v>60.006461000000002</v>
      </c>
      <c r="H7">
        <v>0.550754903734332</v>
      </c>
      <c r="I7">
        <v>5.05</v>
      </c>
      <c r="J7">
        <v>0.33300000000000002</v>
      </c>
      <c r="K7">
        <v>0.189</v>
      </c>
      <c r="L7">
        <v>9.2999999999999999E-2</v>
      </c>
      <c r="M7">
        <v>1.7000000000000001E-2</v>
      </c>
      <c r="N7">
        <v>3.6999999999999998E-2</v>
      </c>
      <c r="O7">
        <v>8.4699999999999998E-2</v>
      </c>
      <c r="P7">
        <v>541138367852.43799</v>
      </c>
      <c r="Q7">
        <v>640383892880.38098</v>
      </c>
      <c r="R7">
        <v>99245525027.943207</v>
      </c>
      <c r="S7">
        <v>410240073603.89099</v>
      </c>
      <c r="T7">
        <v>452943060998.32397</v>
      </c>
      <c r="U7">
        <v>42702987394.432899</v>
      </c>
      <c r="V7">
        <v>143775135108.617</v>
      </c>
      <c r="W7">
        <v>200317672742.12701</v>
      </c>
      <c r="X7">
        <v>130898294248.547</v>
      </c>
      <c r="Y7">
        <v>187440831882.05701</v>
      </c>
      <c r="Z7">
        <v>65629622793.720703</v>
      </c>
      <c r="AA7">
        <v>68991185596.021103</v>
      </c>
      <c r="AB7" s="3">
        <v>3361562802.3004799</v>
      </c>
      <c r="AC7">
        <v>18381296910.926498</v>
      </c>
      <c r="AD7">
        <v>18553397930.908298</v>
      </c>
      <c r="AE7" s="3">
        <v>172101019.981722</v>
      </c>
      <c r="AF7">
        <v>329092562137.245</v>
      </c>
      <c r="AG7">
        <v>335798787805.289</v>
      </c>
      <c r="AH7">
        <v>6706225668.04457</v>
      </c>
      <c r="AI7">
        <v>12995964909.647699</v>
      </c>
      <c r="AJ7">
        <v>13661620910.103201</v>
      </c>
      <c r="AK7">
        <v>81235658139.384399</v>
      </c>
      <c r="AL7">
        <v>89691695247.192902</v>
      </c>
      <c r="AM7">
        <v>423324185186.27698</v>
      </c>
      <c r="AN7">
        <v>439152103962.58502</v>
      </c>
      <c r="AO7">
        <v>46887374543.899597</v>
      </c>
      <c r="AP7">
        <v>99896248355.127808</v>
      </c>
      <c r="AQ7">
        <v>113.055751845515</v>
      </c>
      <c r="AR7">
        <v>59764215403.969704</v>
      </c>
      <c r="AS7">
        <v>112773089215.198</v>
      </c>
      <c r="AT7">
        <v>88.696678192661693</v>
      </c>
      <c r="AU7">
        <v>0.110759971163159</v>
      </c>
      <c r="AV7">
        <v>0.22747528123795299</v>
      </c>
      <c r="AW7">
        <v>11.6715310074794</v>
      </c>
      <c r="AX7">
        <v>0.141178362813529</v>
      </c>
      <c r="AY7">
        <v>0.25679733331029603</v>
      </c>
      <c r="AZ7">
        <v>11.5618970496767</v>
      </c>
      <c r="BA7">
        <v>3730773815.3571801</v>
      </c>
      <c r="BB7">
        <v>3904810460.5153098</v>
      </c>
      <c r="BC7">
        <v>174036645.15812799</v>
      </c>
      <c r="BD7">
        <v>43156600728.542503</v>
      </c>
      <c r="BE7">
        <v>95991437894.612503</v>
      </c>
      <c r="BF7">
        <v>122.425854386457</v>
      </c>
      <c r="BG7">
        <v>56033441588.612602</v>
      </c>
      <c r="BH7">
        <v>108868278754.683</v>
      </c>
      <c r="BI7">
        <v>94.291615271419403</v>
      </c>
      <c r="BJ7">
        <v>0.10194692918277801</v>
      </c>
      <c r="BK7">
        <v>0.21858357737206899</v>
      </c>
      <c r="BL7">
        <v>11.663664818929099</v>
      </c>
      <c r="BM7">
        <v>0.132365320833148</v>
      </c>
      <c r="BN7">
        <v>0.247905629444412</v>
      </c>
      <c r="BO7">
        <v>11.5540308611264</v>
      </c>
    </row>
    <row r="8" spans="1:67" hidden="1">
      <c r="A8">
        <v>2022</v>
      </c>
      <c r="B8" t="s">
        <v>85</v>
      </c>
      <c r="C8" t="s">
        <v>86</v>
      </c>
      <c r="D8" t="s">
        <v>85</v>
      </c>
      <c r="E8" t="s">
        <v>87</v>
      </c>
      <c r="F8">
        <v>41.3</v>
      </c>
      <c r="G8">
        <v>58.134197</v>
      </c>
      <c r="H8">
        <v>0.40760767554479399</v>
      </c>
      <c r="I8">
        <v>4.1979962425700696</v>
      </c>
      <c r="J8">
        <v>0.33300000000000002</v>
      </c>
      <c r="K8">
        <v>0.189</v>
      </c>
      <c r="L8">
        <v>9.2999999999999999E-2</v>
      </c>
      <c r="M8">
        <v>1.7000000000000001E-2</v>
      </c>
      <c r="N8">
        <v>3.6999999999999998E-2</v>
      </c>
      <c r="O8">
        <v>8.4699999999999998E-2</v>
      </c>
      <c r="P8">
        <v>887448109461.11902</v>
      </c>
      <c r="Q8">
        <v>1007904419595.45</v>
      </c>
      <c r="R8">
        <v>120456310134.33501</v>
      </c>
      <c r="S8">
        <v>662138871439.95801</v>
      </c>
      <c r="T8">
        <v>713148626946.02698</v>
      </c>
      <c r="U8">
        <v>51009755506.068497</v>
      </c>
      <c r="V8">
        <v>265536050207.76501</v>
      </c>
      <c r="W8">
        <v>334982604836.03198</v>
      </c>
      <c r="X8">
        <v>225309238021.16101</v>
      </c>
      <c r="Y8">
        <v>294755792649.42798</v>
      </c>
      <c r="Z8">
        <v>95609914033.877808</v>
      </c>
      <c r="AA8">
        <v>99234248171.987793</v>
      </c>
      <c r="AB8">
        <v>3624334138.1099501</v>
      </c>
      <c r="AC8">
        <v>21523441673.284</v>
      </c>
      <c r="AD8">
        <v>21672584713.796902</v>
      </c>
      <c r="AE8">
        <v>149143040.51291099</v>
      </c>
      <c r="AF8">
        <v>392603477898.92603</v>
      </c>
      <c r="AG8">
        <v>398524520967.302</v>
      </c>
      <c r="AH8">
        <v>5921043068.3757801</v>
      </c>
      <c r="AI8">
        <v>22775130921.828602</v>
      </c>
      <c r="AJ8">
        <v>23638479512.1292</v>
      </c>
      <c r="AK8">
        <v>157727361622.07401</v>
      </c>
      <c r="AL8">
        <v>169878338554.54501</v>
      </c>
      <c r="AM8">
        <v>573105970442.82898</v>
      </c>
      <c r="AN8">
        <v>592041339033.97595</v>
      </c>
      <c r="AO8">
        <v>108175882313.99899</v>
      </c>
      <c r="AP8">
        <v>173848959763.64301</v>
      </c>
      <c r="AQ8">
        <v>60.709537139725903</v>
      </c>
      <c r="AR8">
        <v>148402694500.603</v>
      </c>
      <c r="AS8">
        <v>214075771950.24701</v>
      </c>
      <c r="AT8">
        <v>44.253291808914398</v>
      </c>
      <c r="AU8">
        <v>0.18875371727573101</v>
      </c>
      <c r="AV8">
        <v>0.29364327843611299</v>
      </c>
      <c r="AW8">
        <v>10.488956116038199</v>
      </c>
      <c r="AX8">
        <v>0.25894459690576099</v>
      </c>
      <c r="AY8">
        <v>0.36158923006888499</v>
      </c>
      <c r="AZ8">
        <v>10.264463316312399</v>
      </c>
      <c r="BA8">
        <v>4230337262.7750702</v>
      </c>
      <c r="BB8">
        <v>4376386992.1618099</v>
      </c>
      <c r="BC8">
        <v>146049729.386738</v>
      </c>
      <c r="BD8">
        <v>103945545051.224</v>
      </c>
      <c r="BE8">
        <v>169472572771.48099</v>
      </c>
      <c r="BF8">
        <v>63.039765377116701</v>
      </c>
      <c r="BG8">
        <v>144172357237.828</v>
      </c>
      <c r="BH8">
        <v>209699384958.08499</v>
      </c>
      <c r="BI8">
        <v>45.4504795341335</v>
      </c>
      <c r="BJ8">
        <v>0.18137229484960199</v>
      </c>
      <c r="BK8">
        <v>0.28625124902258797</v>
      </c>
      <c r="BL8">
        <v>10.487895417298599</v>
      </c>
      <c r="BM8">
        <v>0.251563174479632</v>
      </c>
      <c r="BN8">
        <v>0.35419720065535998</v>
      </c>
      <c r="BO8">
        <v>10.263402617572799</v>
      </c>
    </row>
    <row r="9" spans="1:67">
      <c r="A9">
        <v>2024</v>
      </c>
      <c r="B9" t="s">
        <v>90</v>
      </c>
      <c r="C9" t="s">
        <v>91</v>
      </c>
      <c r="D9" t="s">
        <v>91</v>
      </c>
      <c r="E9" t="s">
        <v>92</v>
      </c>
      <c r="F9">
        <v>40.234999999999999</v>
      </c>
      <c r="G9">
        <v>61.848213999999999</v>
      </c>
      <c r="H9">
        <v>0.53717445010562903</v>
      </c>
      <c r="I9">
        <v>5.05</v>
      </c>
      <c r="J9">
        <v>0.33300000000000002</v>
      </c>
      <c r="K9">
        <v>0.189</v>
      </c>
      <c r="L9">
        <v>9.2999999999999999E-2</v>
      </c>
      <c r="M9">
        <v>1.7000000000000001E-2</v>
      </c>
      <c r="N9">
        <v>3.6999999999999998E-2</v>
      </c>
      <c r="O9">
        <v>8.4699999999999998E-2</v>
      </c>
      <c r="P9">
        <v>588543982490.39099</v>
      </c>
      <c r="Q9">
        <v>693822195612.75598</v>
      </c>
      <c r="R9">
        <v>105278213122.36501</v>
      </c>
      <c r="S9">
        <v>429711977539.33502</v>
      </c>
      <c r="T9">
        <v>473338903339.41101</v>
      </c>
      <c r="U9">
        <v>43626925800.0755</v>
      </c>
      <c r="V9">
        <v>172160203558.59799</v>
      </c>
      <c r="W9">
        <v>233811490880.88699</v>
      </c>
      <c r="X9">
        <v>158832004951.056</v>
      </c>
      <c r="Y9">
        <v>220483292273.34601</v>
      </c>
      <c r="Z9">
        <v>71329885528.891602</v>
      </c>
      <c r="AA9">
        <v>74893328588.154099</v>
      </c>
      <c r="AB9" s="3">
        <v>3563443059.2624302</v>
      </c>
      <c r="AC9">
        <v>21292990419.9916</v>
      </c>
      <c r="AD9">
        <v>21487437277.130901</v>
      </c>
      <c r="AE9" s="3">
        <v>194446857.13937801</v>
      </c>
      <c r="AF9">
        <v>360833746887.40399</v>
      </c>
      <c r="AG9">
        <v>368005481661.26501</v>
      </c>
      <c r="AH9">
        <v>7171734773.8604202</v>
      </c>
      <c r="AI9">
        <v>14124729807.7013</v>
      </c>
      <c r="AJ9">
        <v>14830362096.6642</v>
      </c>
      <c r="AK9">
        <v>85091480700.858398</v>
      </c>
      <c r="AL9">
        <v>93730475908.794205</v>
      </c>
      <c r="AM9">
        <v>460049957395.96399</v>
      </c>
      <c r="AN9">
        <v>476566319666.72302</v>
      </c>
      <c r="AO9">
        <v>66209129002.172798</v>
      </c>
      <c r="AP9">
        <v>124102526408.061</v>
      </c>
      <c r="AQ9">
        <v>87.440203909022898</v>
      </c>
      <c r="AR9">
        <v>79537327609.714294</v>
      </c>
      <c r="AS9">
        <v>137430725015.60201</v>
      </c>
      <c r="AT9">
        <v>72.787707540248107</v>
      </c>
      <c r="AU9">
        <v>0.14391725928405399</v>
      </c>
      <c r="AV9">
        <v>0.26040977149801398</v>
      </c>
      <c r="AW9">
        <v>11.649251221396</v>
      </c>
      <c r="AX9">
        <v>0.172888457722987</v>
      </c>
      <c r="AY9">
        <v>0.288376914910209</v>
      </c>
      <c r="AZ9">
        <v>11.5488457187222</v>
      </c>
      <c r="BA9">
        <v>3887276234.6158099</v>
      </c>
      <c r="BB9">
        <v>4064142156.2414598</v>
      </c>
      <c r="BC9">
        <v>176865921.62564501</v>
      </c>
      <c r="BD9">
        <v>62321852767.5569</v>
      </c>
      <c r="BE9">
        <v>120038384251.819</v>
      </c>
      <c r="BF9">
        <v>92.610423023732494</v>
      </c>
      <c r="BG9">
        <v>75650051375.098495</v>
      </c>
      <c r="BH9">
        <v>133366582859.36099</v>
      </c>
      <c r="BI9">
        <v>76.294107452861098</v>
      </c>
      <c r="BJ9">
        <v>0.13546757643521901</v>
      </c>
      <c r="BK9">
        <v>0.25188180385001901</v>
      </c>
      <c r="BL9">
        <v>11.641422741480101</v>
      </c>
      <c r="BM9">
        <v>0.16443877487415301</v>
      </c>
      <c r="BN9">
        <v>0.27984894726221499</v>
      </c>
      <c r="BO9">
        <v>11.5410172388062</v>
      </c>
    </row>
    <row r="10" spans="1:67">
      <c r="A10">
        <v>2020</v>
      </c>
      <c r="B10" t="s">
        <v>90</v>
      </c>
      <c r="C10" t="s">
        <v>95</v>
      </c>
      <c r="D10" t="s">
        <v>96</v>
      </c>
      <c r="E10" t="s">
        <v>97</v>
      </c>
      <c r="F10">
        <v>42</v>
      </c>
      <c r="G10">
        <v>57.605680999999997</v>
      </c>
      <c r="H10">
        <v>0.37156383333333298</v>
      </c>
      <c r="I10">
        <v>2.76</v>
      </c>
      <c r="J10">
        <v>0.33300000000000002</v>
      </c>
      <c r="K10">
        <v>0.189</v>
      </c>
      <c r="L10">
        <v>9.2999999999999999E-2</v>
      </c>
      <c r="M10">
        <v>1.7000000000000001E-2</v>
      </c>
      <c r="N10">
        <v>3.6999999999999998E-2</v>
      </c>
      <c r="O10">
        <v>8.4699999999999998E-2</v>
      </c>
      <c r="P10">
        <v>121805436700.985</v>
      </c>
      <c r="Q10">
        <v>136876515529.81</v>
      </c>
      <c r="R10">
        <v>15071078828.825701</v>
      </c>
      <c r="S10">
        <v>72944249078.2901</v>
      </c>
      <c r="T10">
        <v>78066800146.841599</v>
      </c>
      <c r="U10">
        <v>5122551068.5515299</v>
      </c>
      <c r="V10">
        <v>48933101504.403603</v>
      </c>
      <c r="W10">
        <v>58881629264.677696</v>
      </c>
      <c r="X10">
        <v>48861187622.694603</v>
      </c>
      <c r="Y10">
        <v>58809715382.968803</v>
      </c>
      <c r="Z10">
        <v>25560225416.509602</v>
      </c>
      <c r="AA10">
        <v>26443470162.815498</v>
      </c>
      <c r="AB10" s="3">
        <v>883244746.305884</v>
      </c>
      <c r="AC10">
        <v>4108522433.0468202</v>
      </c>
      <c r="AD10">
        <v>4134474264.9043298</v>
      </c>
      <c r="AE10" s="3">
        <v>25951831.857500799</v>
      </c>
      <c r="AF10">
        <v>49986924384.975197</v>
      </c>
      <c r="AG10">
        <v>50674137714.893097</v>
      </c>
      <c r="AH10">
        <v>687213329.91791904</v>
      </c>
      <c r="AI10">
        <v>9260951237.8658104</v>
      </c>
      <c r="AJ10">
        <v>9580967450.2954807</v>
      </c>
      <c r="AK10">
        <v>26429075753.0037</v>
      </c>
      <c r="AL10">
        <v>28285072516.9716</v>
      </c>
      <c r="AM10">
        <v>85676951375.844604</v>
      </c>
      <c r="AN10">
        <v>88540177682.160202</v>
      </c>
      <c r="AO10">
        <v>19192439773.1381</v>
      </c>
      <c r="AP10">
        <v>28231770955.248901</v>
      </c>
      <c r="AQ10">
        <v>47.0983954565395</v>
      </c>
      <c r="AR10">
        <v>19264353654.847099</v>
      </c>
      <c r="AS10">
        <v>28303684836.957901</v>
      </c>
      <c r="AT10">
        <v>46.922577025242603</v>
      </c>
      <c r="AU10">
        <v>0.22400936850501901</v>
      </c>
      <c r="AV10">
        <v>0.31885830471895799</v>
      </c>
      <c r="AW10">
        <v>9.4848936213939492</v>
      </c>
      <c r="AX10">
        <v>0.224848729389763</v>
      </c>
      <c r="AY10">
        <v>0.319670522218308</v>
      </c>
      <c r="AZ10">
        <v>9.4821792828545295</v>
      </c>
      <c r="BA10">
        <v>815791720.61221099</v>
      </c>
      <c r="BB10">
        <v>841465874.41007996</v>
      </c>
      <c r="BC10">
        <v>25674153.797869202</v>
      </c>
      <c r="BD10">
        <v>18376648052.525902</v>
      </c>
      <c r="BE10">
        <v>27390305080.838799</v>
      </c>
      <c r="BF10">
        <v>49.049516552470301</v>
      </c>
      <c r="BG10">
        <v>18448561934.234901</v>
      </c>
      <c r="BH10">
        <v>27462218962.547798</v>
      </c>
      <c r="BI10">
        <v>48.8583178485381</v>
      </c>
      <c r="BJ10">
        <v>0.21448765108263401</v>
      </c>
      <c r="BK10">
        <v>0.309354530314633</v>
      </c>
      <c r="BL10">
        <v>9.4866879231999697</v>
      </c>
      <c r="BM10">
        <v>0.215327011967378</v>
      </c>
      <c r="BN10">
        <v>0.31016674781398301</v>
      </c>
      <c r="BO10">
        <v>9.48397358466055</v>
      </c>
    </row>
    <row r="11" spans="1:67" hidden="1">
      <c r="A11">
        <v>2023</v>
      </c>
      <c r="B11" t="s">
        <v>85</v>
      </c>
      <c r="C11" t="s">
        <v>86</v>
      </c>
      <c r="D11" t="s">
        <v>85</v>
      </c>
      <c r="E11" t="s">
        <v>87</v>
      </c>
      <c r="F11">
        <v>38.695</v>
      </c>
      <c r="G11">
        <v>60.006461000000002</v>
      </c>
      <c r="H11">
        <v>0.550754903734332</v>
      </c>
      <c r="I11">
        <v>4.2117708163009304</v>
      </c>
      <c r="J11">
        <v>0.33300000000000002</v>
      </c>
      <c r="K11">
        <v>0.189</v>
      </c>
      <c r="L11">
        <v>9.2999999999999999E-2</v>
      </c>
      <c r="M11">
        <v>1.7000000000000001E-2</v>
      </c>
      <c r="N11">
        <v>3.6999999999999998E-2</v>
      </c>
      <c r="O11">
        <v>8.4699999999999998E-2</v>
      </c>
      <c r="P11">
        <v>809592502649.11304</v>
      </c>
      <c r="Q11">
        <v>958072887255.67603</v>
      </c>
      <c r="R11">
        <v>148480384606.56299</v>
      </c>
      <c r="S11">
        <v>611153829592.06201</v>
      </c>
      <c r="T11">
        <v>674770467654.40906</v>
      </c>
      <c r="U11">
        <v>63616638062.346703</v>
      </c>
      <c r="V11">
        <v>240127159755.69601</v>
      </c>
      <c r="W11">
        <v>324990906299.91199</v>
      </c>
      <c r="X11">
        <v>198438673057.05099</v>
      </c>
      <c r="Y11">
        <v>283302419601.26703</v>
      </c>
      <c r="Z11">
        <v>104619799861.40601</v>
      </c>
      <c r="AA11">
        <v>109978447566.93401</v>
      </c>
      <c r="AB11">
        <v>5358647705.5277796</v>
      </c>
      <c r="AC11">
        <v>24684323791.2756</v>
      </c>
      <c r="AD11">
        <v>24915439001.6236</v>
      </c>
      <c r="AE11">
        <v>231115210.34798899</v>
      </c>
      <c r="AF11">
        <v>402462792005.25403</v>
      </c>
      <c r="AG11">
        <v>410664151187.151</v>
      </c>
      <c r="AH11">
        <v>8201359181.8976498</v>
      </c>
      <c r="AI11">
        <v>24839860577.5256</v>
      </c>
      <c r="AJ11">
        <v>26112163354.4925</v>
      </c>
      <c r="AK11">
        <v>145106145668.396</v>
      </c>
      <c r="AL11">
        <v>160210632791.98999</v>
      </c>
      <c r="AM11">
        <v>572408798251.17505</v>
      </c>
      <c r="AN11">
        <v>596986947333.63403</v>
      </c>
      <c r="AO11">
        <v>69134549404.368896</v>
      </c>
      <c r="AP11">
        <v>148408533032.70901</v>
      </c>
      <c r="AQ11">
        <v>114.66623318055601</v>
      </c>
      <c r="AR11">
        <v>110823036103.01401</v>
      </c>
      <c r="AS11">
        <v>190097019731.35501</v>
      </c>
      <c r="AT11">
        <v>71.532044614490104</v>
      </c>
      <c r="AU11">
        <v>0.120778278767882</v>
      </c>
      <c r="AV11">
        <v>0.24859594283519501</v>
      </c>
      <c r="AW11">
        <v>12.781766406731199</v>
      </c>
      <c r="AX11">
        <v>0.19360819826949</v>
      </c>
      <c r="AY11">
        <v>0.31842743058353101</v>
      </c>
      <c r="AZ11">
        <v>12.4819232314041</v>
      </c>
      <c r="BA11">
        <v>5581578925.8846798</v>
      </c>
      <c r="BB11">
        <v>5841953668.2364302</v>
      </c>
      <c r="BC11">
        <v>260374742.35174799</v>
      </c>
      <c r="BD11">
        <v>63552970478.484299</v>
      </c>
      <c r="BE11">
        <v>142566579364.47299</v>
      </c>
      <c r="BF11">
        <v>124.327168802816</v>
      </c>
      <c r="BG11">
        <v>105241457177.129</v>
      </c>
      <c r="BH11">
        <v>184255066063.11801</v>
      </c>
      <c r="BI11">
        <v>75.0784063669917</v>
      </c>
      <c r="BJ11">
        <v>0.111027242545278</v>
      </c>
      <c r="BK11">
        <v>0.23881021185007201</v>
      </c>
      <c r="BL11">
        <v>12.778296930479399</v>
      </c>
      <c r="BM11">
        <v>0.18385716204688601</v>
      </c>
      <c r="BN11">
        <v>0.30864169959840798</v>
      </c>
      <c r="BO11">
        <v>12.4784537551523</v>
      </c>
    </row>
    <row r="12" spans="1:67">
      <c r="A12">
        <v>2021</v>
      </c>
      <c r="B12" t="s">
        <v>90</v>
      </c>
      <c r="C12" t="s">
        <v>95</v>
      </c>
      <c r="D12" t="s">
        <v>96</v>
      </c>
      <c r="E12" t="s">
        <v>97</v>
      </c>
      <c r="F12">
        <v>43.56</v>
      </c>
      <c r="G12">
        <v>58.976208</v>
      </c>
      <c r="H12">
        <v>0.35390743801652902</v>
      </c>
      <c r="I12">
        <v>2.76</v>
      </c>
      <c r="J12">
        <v>0.33300000000000002</v>
      </c>
      <c r="K12">
        <v>0.189</v>
      </c>
      <c r="L12">
        <v>9.2999999999999999E-2</v>
      </c>
      <c r="M12">
        <v>1.7000000000000001E-2</v>
      </c>
      <c r="N12">
        <v>3.6999999999999998E-2</v>
      </c>
      <c r="O12">
        <v>8.4699999999999998E-2</v>
      </c>
      <c r="P12">
        <v>149816439686.20499</v>
      </c>
      <c r="Q12">
        <v>167472483416.125</v>
      </c>
      <c r="R12">
        <v>17656043729.9202</v>
      </c>
      <c r="S12">
        <v>95486507540.697006</v>
      </c>
      <c r="T12">
        <v>101873457352.73399</v>
      </c>
      <c r="U12">
        <v>6386949812.0371904</v>
      </c>
      <c r="V12">
        <v>54431182307.154099</v>
      </c>
      <c r="W12">
        <v>65700276225.037102</v>
      </c>
      <c r="X12">
        <v>54329932145.508003</v>
      </c>
      <c r="Y12">
        <v>65599026063.3909</v>
      </c>
      <c r="Z12">
        <v>27595712009.100498</v>
      </c>
      <c r="AA12">
        <v>28503980488.676998</v>
      </c>
      <c r="AB12" s="3">
        <v>908268479.57659101</v>
      </c>
      <c r="AC12">
        <v>5093385817.3085203</v>
      </c>
      <c r="AD12">
        <v>5124029798.4408903</v>
      </c>
      <c r="AE12" s="3">
        <v>30643981.132367499</v>
      </c>
      <c r="AF12">
        <v>52972837802.131302</v>
      </c>
      <c r="AG12">
        <v>53666494610.639</v>
      </c>
      <c r="AH12">
        <v>693656808.50764501</v>
      </c>
      <c r="AI12">
        <v>9998446380.10886</v>
      </c>
      <c r="AJ12">
        <v>10327529162.5641</v>
      </c>
      <c r="AK12">
        <v>34596560703.1511</v>
      </c>
      <c r="AL12">
        <v>36910672953.889198</v>
      </c>
      <c r="AM12">
        <v>97567844885.391296</v>
      </c>
      <c r="AN12">
        <v>100904696727.092</v>
      </c>
      <c r="AO12">
        <v>21640834319.098999</v>
      </c>
      <c r="AP12">
        <v>31971015776.272999</v>
      </c>
      <c r="AQ12">
        <v>47.734672817383803</v>
      </c>
      <c r="AR12">
        <v>21742084480.745201</v>
      </c>
      <c r="AS12">
        <v>32072265937.919201</v>
      </c>
      <c r="AT12">
        <v>47.512378430515497</v>
      </c>
      <c r="AU12">
        <v>0.221802934609446</v>
      </c>
      <c r="AV12">
        <v>0.31684368332964802</v>
      </c>
      <c r="AW12">
        <v>9.50407487202021</v>
      </c>
      <c r="AX12">
        <v>0.22284067569889099</v>
      </c>
      <c r="AY12">
        <v>0.31784710700495999</v>
      </c>
      <c r="AZ12">
        <v>9.5006431306069494</v>
      </c>
      <c r="BA12">
        <v>689888686.708565</v>
      </c>
      <c r="BB12">
        <v>710568762.38579297</v>
      </c>
      <c r="BC12">
        <v>20680075.677228499</v>
      </c>
      <c r="BD12">
        <v>20950945632.3904</v>
      </c>
      <c r="BE12">
        <v>31260447013.887199</v>
      </c>
      <c r="BF12">
        <v>49.207809338964502</v>
      </c>
      <c r="BG12">
        <v>21052195794.036598</v>
      </c>
      <c r="BH12">
        <v>31361697175.533401</v>
      </c>
      <c r="BI12">
        <v>48.971145254202597</v>
      </c>
      <c r="BJ12">
        <v>0.21473207343055101</v>
      </c>
      <c r="BK12">
        <v>0.30980170425995601</v>
      </c>
      <c r="BL12">
        <v>9.5069630829405298</v>
      </c>
      <c r="BM12">
        <v>0.21576981451999599</v>
      </c>
      <c r="BN12">
        <v>0.31080512793526799</v>
      </c>
      <c r="BO12">
        <v>9.5035313415272604</v>
      </c>
    </row>
    <row r="13" spans="1:67">
      <c r="A13">
        <v>2022</v>
      </c>
      <c r="B13" t="s">
        <v>90</v>
      </c>
      <c r="C13" t="s">
        <v>95</v>
      </c>
      <c r="D13" t="s">
        <v>96</v>
      </c>
      <c r="E13" t="s">
        <v>97</v>
      </c>
      <c r="F13">
        <v>41.3</v>
      </c>
      <c r="G13">
        <v>58.134197</v>
      </c>
      <c r="H13">
        <v>0.40760767554479399</v>
      </c>
      <c r="I13">
        <v>2.76</v>
      </c>
      <c r="J13">
        <v>0.33300000000000002</v>
      </c>
      <c r="K13">
        <v>0.189</v>
      </c>
      <c r="L13">
        <v>9.2999999999999999E-2</v>
      </c>
      <c r="M13">
        <v>1.7000000000000001E-2</v>
      </c>
      <c r="N13">
        <v>3.6999999999999998E-2</v>
      </c>
      <c r="O13">
        <v>8.4699999999999998E-2</v>
      </c>
      <c r="P13">
        <v>196186949002.64801</v>
      </c>
      <c r="Q13">
        <v>222816061985.62799</v>
      </c>
      <c r="R13">
        <v>26629112982.979698</v>
      </c>
      <c r="S13">
        <v>135378671332.908</v>
      </c>
      <c r="T13">
        <v>145807953200.034</v>
      </c>
      <c r="U13">
        <v>10429281867.125999</v>
      </c>
      <c r="V13">
        <v>60981177017.190102</v>
      </c>
      <c r="W13">
        <v>77181008133.043793</v>
      </c>
      <c r="X13">
        <v>60808277669.740196</v>
      </c>
      <c r="Y13">
        <v>77008108785.593994</v>
      </c>
      <c r="Z13">
        <v>32469332685.627602</v>
      </c>
      <c r="AA13">
        <v>33700164363.318199</v>
      </c>
      <c r="AB13" s="3">
        <v>1230831677.6905701</v>
      </c>
      <c r="AC13">
        <v>4329611175.4984503</v>
      </c>
      <c r="AD13">
        <v>4359612482.2018299</v>
      </c>
      <c r="AE13" s="3">
        <v>30001306.7033807</v>
      </c>
      <c r="AF13">
        <v>55985423821.929001</v>
      </c>
      <c r="AG13">
        <v>56829767095.261497</v>
      </c>
      <c r="AH13">
        <v>844343273.33252501</v>
      </c>
      <c r="AI13">
        <v>11764250973.053499</v>
      </c>
      <c r="AJ13">
        <v>12210204479.4631</v>
      </c>
      <c r="AK13">
        <v>49050243236.560699</v>
      </c>
      <c r="AL13">
        <v>52828968550.736801</v>
      </c>
      <c r="AM13">
        <v>116799918031.543</v>
      </c>
      <c r="AN13">
        <v>121868940125.461</v>
      </c>
      <c r="AO13">
        <v>24009333808.614201</v>
      </c>
      <c r="AP13">
        <v>38948331940.073997</v>
      </c>
      <c r="AQ13">
        <v>62.221627016156098</v>
      </c>
      <c r="AR13">
        <v>24182233156.063999</v>
      </c>
      <c r="AS13">
        <v>39121231287.523804</v>
      </c>
      <c r="AT13">
        <v>61.776751696373601</v>
      </c>
      <c r="AU13">
        <v>0.205559509058304</v>
      </c>
      <c r="AV13">
        <v>0.3195919477102</v>
      </c>
      <c r="AW13">
        <v>11.4032438651896</v>
      </c>
      <c r="AX13">
        <v>0.207039812729435</v>
      </c>
      <c r="AY13">
        <v>0.32101067956486201</v>
      </c>
      <c r="AZ13">
        <v>11.3970866835427</v>
      </c>
      <c r="BA13">
        <v>935194916.73717403</v>
      </c>
      <c r="BB13">
        <v>967481932.17568302</v>
      </c>
      <c r="BC13">
        <v>32287015.438508701</v>
      </c>
      <c r="BD13">
        <v>23074138891.876999</v>
      </c>
      <c r="BE13">
        <v>37980850007.8983</v>
      </c>
      <c r="BF13">
        <v>64.603542458821806</v>
      </c>
      <c r="BG13">
        <v>23247038239.326801</v>
      </c>
      <c r="BH13">
        <v>38153749355.348099</v>
      </c>
      <c r="BI13">
        <v>64.123054999770801</v>
      </c>
      <c r="BJ13">
        <v>0.19755269764526401</v>
      </c>
      <c r="BK13">
        <v>0.31165323969173597</v>
      </c>
      <c r="BL13">
        <v>11.410054204647301</v>
      </c>
      <c r="BM13">
        <v>0.19903300131639401</v>
      </c>
      <c r="BN13">
        <v>0.31307197154639799</v>
      </c>
      <c r="BO13">
        <v>11.4038970230004</v>
      </c>
    </row>
    <row r="14" spans="1:67" hidden="1">
      <c r="A14">
        <v>2024</v>
      </c>
      <c r="B14" t="s">
        <v>85</v>
      </c>
      <c r="C14" t="s">
        <v>86</v>
      </c>
      <c r="D14" t="s">
        <v>85</v>
      </c>
      <c r="E14" t="s">
        <v>87</v>
      </c>
      <c r="F14">
        <v>40.234999999999999</v>
      </c>
      <c r="G14">
        <v>61.848213999999999</v>
      </c>
      <c r="H14">
        <v>0.53717445010562903</v>
      </c>
      <c r="I14">
        <v>4.1875875500571604</v>
      </c>
      <c r="J14">
        <v>0.33300000000000002</v>
      </c>
      <c r="K14">
        <v>0.189</v>
      </c>
      <c r="L14">
        <v>9.2999999999999999E-2</v>
      </c>
      <c r="M14">
        <v>1.7000000000000001E-2</v>
      </c>
      <c r="N14">
        <v>3.6999999999999998E-2</v>
      </c>
      <c r="O14">
        <v>8.4699999999999998E-2</v>
      </c>
      <c r="P14">
        <v>858071607633.11902</v>
      </c>
      <c r="Q14">
        <v>1011562677578.98</v>
      </c>
      <c r="R14">
        <v>153491069945.86401</v>
      </c>
      <c r="S14">
        <v>639470889642.45801</v>
      </c>
      <c r="T14">
        <v>704393792684.38196</v>
      </c>
      <c r="U14">
        <v>64922903041.924202</v>
      </c>
      <c r="V14">
        <v>263970325327.66501</v>
      </c>
      <c r="W14">
        <v>352538492231.60498</v>
      </c>
      <c r="X14">
        <v>218600717990.66101</v>
      </c>
      <c r="Y14">
        <v>307168884894.60101</v>
      </c>
      <c r="Z14">
        <v>112924265631.88699</v>
      </c>
      <c r="AA14">
        <v>118565648449.26601</v>
      </c>
      <c r="AB14">
        <v>5641382817.3783598</v>
      </c>
      <c r="AC14">
        <v>27515759179.244099</v>
      </c>
      <c r="AD14">
        <v>27767032146.952</v>
      </c>
      <c r="AE14">
        <v>251272967.707939</v>
      </c>
      <c r="AF14">
        <v>436965957591.82397</v>
      </c>
      <c r="AG14">
        <v>445650854667.242</v>
      </c>
      <c r="AH14">
        <v>8684897075.4179096</v>
      </c>
      <c r="AI14">
        <v>26966425007.722099</v>
      </c>
      <c r="AJ14">
        <v>28313592738.532001</v>
      </c>
      <c r="AK14">
        <v>152706273480.474</v>
      </c>
      <c r="AL14">
        <v>168209926184.05499</v>
      </c>
      <c r="AM14">
        <v>616638656080.02002</v>
      </c>
      <c r="AN14">
        <v>642174373589.82898</v>
      </c>
      <c r="AO14">
        <v>78160693179.529999</v>
      </c>
      <c r="AP14">
        <v>160836204298.383</v>
      </c>
      <c r="AQ14">
        <v>105.776327915815</v>
      </c>
      <c r="AR14">
        <v>123530300516.534</v>
      </c>
      <c r="AS14">
        <v>206205811635.38699</v>
      </c>
      <c r="AT14">
        <v>66.927313196156305</v>
      </c>
      <c r="AU14">
        <v>0.12675282746041</v>
      </c>
      <c r="AV14">
        <v>0.25045565645868201</v>
      </c>
      <c r="AW14">
        <v>12.370282899827201</v>
      </c>
      <c r="AX14">
        <v>0.200328505679189</v>
      </c>
      <c r="AY14">
        <v>0.32110563752750299</v>
      </c>
      <c r="AZ14">
        <v>12.0777131848315</v>
      </c>
      <c r="BA14">
        <v>5667480200.6072102</v>
      </c>
      <c r="BB14">
        <v>5925343045.5600204</v>
      </c>
      <c r="BC14">
        <v>257862844.95281199</v>
      </c>
      <c r="BD14">
        <v>72493212978.922699</v>
      </c>
      <c r="BE14">
        <v>154910861252.823</v>
      </c>
      <c r="BF14">
        <v>113.690157860521</v>
      </c>
      <c r="BG14">
        <v>117862820315.92599</v>
      </c>
      <c r="BH14">
        <v>200280468589.827</v>
      </c>
      <c r="BI14">
        <v>69.926757270005595</v>
      </c>
      <c r="BJ14">
        <v>0.11756190155149</v>
      </c>
      <c r="BK14">
        <v>0.241228656302265</v>
      </c>
      <c r="BL14">
        <v>12.3666754750775</v>
      </c>
      <c r="BM14">
        <v>0.19113757977026899</v>
      </c>
      <c r="BN14">
        <v>0.31187863737108701</v>
      </c>
      <c r="BO14">
        <v>12.0741057600818</v>
      </c>
    </row>
    <row r="15" spans="1:67">
      <c r="A15">
        <v>2023</v>
      </c>
      <c r="B15" t="s">
        <v>90</v>
      </c>
      <c r="C15" t="s">
        <v>95</v>
      </c>
      <c r="D15" t="s">
        <v>96</v>
      </c>
      <c r="E15" t="s">
        <v>97</v>
      </c>
      <c r="F15">
        <v>38.695</v>
      </c>
      <c r="G15">
        <v>60.006461000000002</v>
      </c>
      <c r="H15">
        <v>0.550754903734332</v>
      </c>
      <c r="I15">
        <v>2.76</v>
      </c>
      <c r="J15">
        <v>0.33300000000000002</v>
      </c>
      <c r="K15">
        <v>0.189</v>
      </c>
      <c r="L15">
        <v>9.2999999999999999E-2</v>
      </c>
      <c r="M15">
        <v>1.7000000000000001E-2</v>
      </c>
      <c r="N15">
        <v>3.6999999999999998E-2</v>
      </c>
      <c r="O15">
        <v>8.4699999999999998E-2</v>
      </c>
      <c r="P15">
        <v>174135554900.186</v>
      </c>
      <c r="Q15">
        <v>206072256488.51999</v>
      </c>
      <c r="R15">
        <v>31936701588.333599</v>
      </c>
      <c r="S15">
        <v>119538446271.68201</v>
      </c>
      <c r="T15">
        <v>131981523125.30701</v>
      </c>
      <c r="U15">
        <v>12443076853.624399</v>
      </c>
      <c r="V15">
        <v>54803663327.079102</v>
      </c>
      <c r="W15">
        <v>74297288061.788406</v>
      </c>
      <c r="X15">
        <v>54597108628.504097</v>
      </c>
      <c r="Y15">
        <v>74090733363.213394</v>
      </c>
      <c r="Z15">
        <v>33818235686.685699</v>
      </c>
      <c r="AA15">
        <v>35550412686.713699</v>
      </c>
      <c r="AB15" s="3">
        <v>1732177000.0279601</v>
      </c>
      <c r="AC15">
        <v>4962859757.3490696</v>
      </c>
      <c r="AD15">
        <v>5009326186.2634697</v>
      </c>
      <c r="AE15" s="3">
        <v>46466428.914398298</v>
      </c>
      <c r="AF15">
        <v>57052451800.008797</v>
      </c>
      <c r="AG15">
        <v>58215062751.1689</v>
      </c>
      <c r="AH15">
        <v>1162610951.16009</v>
      </c>
      <c r="AI15">
        <v>12252983944.451401</v>
      </c>
      <c r="AJ15">
        <v>12880584306.7803</v>
      </c>
      <c r="AK15">
        <v>43311031257.855904</v>
      </c>
      <c r="AL15">
        <v>47819392436.705299</v>
      </c>
      <c r="AM15">
        <v>112616467002.31599</v>
      </c>
      <c r="AN15">
        <v>118915039494.655</v>
      </c>
      <c r="AO15">
        <v>15816013184.469299</v>
      </c>
      <c r="AP15">
        <v>33530994490.236198</v>
      </c>
      <c r="AQ15">
        <v>112.006616959338</v>
      </c>
      <c r="AR15">
        <v>16022567883.0443</v>
      </c>
      <c r="AS15">
        <v>33737549188.811199</v>
      </c>
      <c r="AT15">
        <v>110.562685301608</v>
      </c>
      <c r="AU15">
        <v>0.140441390193354</v>
      </c>
      <c r="AV15">
        <v>0.28197437963045502</v>
      </c>
      <c r="AW15">
        <v>14.15329894371</v>
      </c>
      <c r="AX15">
        <v>0.14227553313952601</v>
      </c>
      <c r="AY15">
        <v>0.28371137353343601</v>
      </c>
      <c r="AZ15">
        <v>14.143584039391</v>
      </c>
      <c r="BA15">
        <v>1200543903.6277399</v>
      </c>
      <c r="BB15">
        <v>1256548004.5711801</v>
      </c>
      <c r="BC15">
        <v>56004100.943442002</v>
      </c>
      <c r="BD15">
        <v>14615469280.8416</v>
      </c>
      <c r="BE15">
        <v>32274446485.665001</v>
      </c>
      <c r="BF15">
        <v>120.823880954486</v>
      </c>
      <c r="BG15">
        <v>14822023979.416599</v>
      </c>
      <c r="BH15">
        <v>32481001184.240101</v>
      </c>
      <c r="BI15">
        <v>119.14012033273301</v>
      </c>
      <c r="BJ15">
        <v>0.129780925204668</v>
      </c>
      <c r="BK15">
        <v>0.27140760851461398</v>
      </c>
      <c r="BL15">
        <v>14.162668330994601</v>
      </c>
      <c r="BM15">
        <v>0.13161506815084001</v>
      </c>
      <c r="BN15">
        <v>0.27314460241759497</v>
      </c>
      <c r="BO15">
        <v>14.1529534266756</v>
      </c>
    </row>
    <row r="16" spans="1:67">
      <c r="A16">
        <v>2024</v>
      </c>
      <c r="B16" t="s">
        <v>90</v>
      </c>
      <c r="C16" t="s">
        <v>95</v>
      </c>
      <c r="D16" t="s">
        <v>96</v>
      </c>
      <c r="E16" t="s">
        <v>97</v>
      </c>
      <c r="F16">
        <v>40.234999999999999</v>
      </c>
      <c r="G16">
        <v>61.848213999999999</v>
      </c>
      <c r="H16">
        <v>0.53717445010562903</v>
      </c>
      <c r="I16">
        <v>2.76</v>
      </c>
      <c r="J16">
        <v>0.33300000000000002</v>
      </c>
      <c r="K16">
        <v>0.189</v>
      </c>
      <c r="L16">
        <v>9.2999999999999999E-2</v>
      </c>
      <c r="M16">
        <v>1.7000000000000001E-2</v>
      </c>
      <c r="N16">
        <v>3.6999999999999998E-2</v>
      </c>
      <c r="O16">
        <v>8.4699999999999998E-2</v>
      </c>
      <c r="P16">
        <v>183192986371.30301</v>
      </c>
      <c r="Q16">
        <v>215962381413.13501</v>
      </c>
      <c r="R16">
        <v>32769395041.831799</v>
      </c>
      <c r="S16">
        <v>121936315196.698</v>
      </c>
      <c r="T16">
        <v>134316018005.735</v>
      </c>
      <c r="U16">
        <v>12379702809.037901</v>
      </c>
      <c r="V16">
        <v>61441370953.067299</v>
      </c>
      <c r="W16">
        <v>81831063185.861206</v>
      </c>
      <c r="X16">
        <v>61256671174.605202</v>
      </c>
      <c r="Y16">
        <v>81646363407.399094</v>
      </c>
      <c r="Z16">
        <v>35876582163.995598</v>
      </c>
      <c r="AA16">
        <v>37668876610.487602</v>
      </c>
      <c r="AB16" s="3">
        <v>1792294446.49208</v>
      </c>
      <c r="AC16">
        <v>5041099599.2525101</v>
      </c>
      <c r="AD16">
        <v>5087134747.6401596</v>
      </c>
      <c r="AE16" s="3">
        <v>46035148.387654901</v>
      </c>
      <c r="AF16">
        <v>59962302437.4198</v>
      </c>
      <c r="AG16">
        <v>61154080460.458702</v>
      </c>
      <c r="AH16">
        <v>1191778023.0388701</v>
      </c>
      <c r="AI16">
        <v>12998761653.621599</v>
      </c>
      <c r="AJ16">
        <v>13648143699.452</v>
      </c>
      <c r="AK16">
        <v>44179824346.629601</v>
      </c>
      <c r="AL16">
        <v>48665223915.121597</v>
      </c>
      <c r="AM16">
        <v>117140888437.67101</v>
      </c>
      <c r="AN16">
        <v>123467448075.032</v>
      </c>
      <c r="AO16">
        <v>20338989411.357201</v>
      </c>
      <c r="AP16">
        <v>38890352049.271301</v>
      </c>
      <c r="AQ16">
        <v>91.2108377791631</v>
      </c>
      <c r="AR16">
        <v>20523689189.819199</v>
      </c>
      <c r="AS16">
        <v>39075051827.733398</v>
      </c>
      <c r="AT16">
        <v>90.389999898831803</v>
      </c>
      <c r="AU16">
        <v>0.17362843736821401</v>
      </c>
      <c r="AV16">
        <v>0.314984659160018</v>
      </c>
      <c r="AW16">
        <v>14.1356221791804</v>
      </c>
      <c r="AX16">
        <v>0.175205169292698</v>
      </c>
      <c r="AY16">
        <v>0.31648059822202801</v>
      </c>
      <c r="AZ16">
        <v>14.127542892932899</v>
      </c>
      <c r="BA16">
        <v>1209972004.56652</v>
      </c>
      <c r="BB16">
        <v>1265024128.6793499</v>
      </c>
      <c r="BC16">
        <v>55052124.112820603</v>
      </c>
      <c r="BD16">
        <v>19129017406.7906</v>
      </c>
      <c r="BE16">
        <v>37625327920.591904</v>
      </c>
      <c r="BF16">
        <v>96.692423455243897</v>
      </c>
      <c r="BG16">
        <v>19313717185.252701</v>
      </c>
      <c r="BH16">
        <v>37810027699.054001</v>
      </c>
      <c r="BI16">
        <v>95.767740287325296</v>
      </c>
      <c r="BJ16">
        <v>0.16329923446815001</v>
      </c>
      <c r="BK16">
        <v>0.30473884823250502</v>
      </c>
      <c r="BL16">
        <v>14.143961376435501</v>
      </c>
      <c r="BM16">
        <v>0.16487596639263399</v>
      </c>
      <c r="BN16">
        <v>0.30623478729451398</v>
      </c>
      <c r="BO16">
        <v>14.135882090188099</v>
      </c>
    </row>
    <row r="18" spans="18:31">
      <c r="R18" s="5">
        <f>R15/R$14</f>
        <v>0.20806879253364777</v>
      </c>
      <c r="AE18" s="5">
        <f>AE15/AE14</f>
        <v>0.18492410599618267</v>
      </c>
    </row>
    <row r="19" spans="18:31">
      <c r="R19" s="5">
        <f>R16/R$14</f>
        <v>0.21349382119356844</v>
      </c>
      <c r="AE19" s="5">
        <f>AE16/AE15</f>
        <v>0.99071844906485251</v>
      </c>
    </row>
  </sheetData>
  <autoFilter ref="A1:BO16" xr:uid="{00000000-0001-0000-0300-000000000000}">
    <filterColumn colId="1">
      <filters>
        <filter val="grupo_subramas_industriales"/>
      </filters>
    </filterColumn>
    <sortState xmlns:xlrd2="http://schemas.microsoft.com/office/spreadsheetml/2017/richdata2" ref="A3:BO16">
      <sortCondition ref="C2:C16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24748-3E06-4D66-A2A5-3369385C77DC}">
  <dimension ref="A1:H56"/>
  <sheetViews>
    <sheetView tabSelected="1" topLeftCell="A45" zoomScaleNormal="100" workbookViewId="0">
      <selection activeCell="E53" sqref="E53"/>
    </sheetView>
  </sheetViews>
  <sheetFormatPr baseColWidth="10" defaultRowHeight="15"/>
  <cols>
    <col min="3" max="3" width="14.7109375" customWidth="1"/>
    <col min="4" max="4" width="18.85546875" bestFit="1" customWidth="1"/>
  </cols>
  <sheetData>
    <row r="1" spans="1:5">
      <c r="E1" s="7" t="s">
        <v>142</v>
      </c>
    </row>
    <row r="3" spans="1:5">
      <c r="B3" t="s">
        <v>76</v>
      </c>
      <c r="C3" t="s">
        <v>128</v>
      </c>
    </row>
    <row r="4" spans="1:5">
      <c r="A4">
        <v>2020</v>
      </c>
      <c r="B4">
        <v>0.12667923879344301</v>
      </c>
      <c r="C4">
        <v>0.21526933708086601</v>
      </c>
    </row>
    <row r="5" spans="1:5">
      <c r="A5">
        <v>2021</v>
      </c>
      <c r="B5">
        <v>0.206642884107445</v>
      </c>
      <c r="C5">
        <v>0.29268248507684402</v>
      </c>
    </row>
    <row r="6" spans="1:5">
      <c r="A6">
        <v>2022</v>
      </c>
      <c r="B6">
        <v>0.18875371727573101</v>
      </c>
      <c r="C6">
        <v>0.29364327843611299</v>
      </c>
    </row>
    <row r="7" spans="1:5">
      <c r="A7">
        <v>2023</v>
      </c>
      <c r="B7">
        <v>0.120778278767882</v>
      </c>
      <c r="C7">
        <v>0.24859594283519501</v>
      </c>
    </row>
    <row r="8" spans="1:5">
      <c r="A8">
        <v>2024</v>
      </c>
      <c r="B8">
        <v>0.12675282746041</v>
      </c>
      <c r="C8">
        <v>0.25045565645868201</v>
      </c>
    </row>
    <row r="19" spans="1:7">
      <c r="A19">
        <v>2024</v>
      </c>
    </row>
    <row r="20" spans="1:7">
      <c r="A20" s="4" t="s">
        <v>143</v>
      </c>
    </row>
    <row r="23" spans="1:7" ht="45">
      <c r="C23" s="1" t="s">
        <v>110</v>
      </c>
      <c r="D23" s="2" t="s">
        <v>116</v>
      </c>
      <c r="E23" s="1" t="s">
        <v>120</v>
      </c>
      <c r="F23" s="1" t="s">
        <v>110</v>
      </c>
    </row>
    <row r="24" spans="1:7">
      <c r="A24">
        <v>2024</v>
      </c>
      <c r="B24" t="s">
        <v>86</v>
      </c>
      <c r="C24">
        <v>153491069945.86401</v>
      </c>
      <c r="D24">
        <v>5641382817.3783598</v>
      </c>
      <c r="E24">
        <v>8684897075.4179096</v>
      </c>
      <c r="F24">
        <v>153491069945.86401</v>
      </c>
    </row>
    <row r="25" spans="1:7">
      <c r="A25">
        <v>2024</v>
      </c>
      <c r="B25" t="s">
        <v>91</v>
      </c>
      <c r="C25">
        <v>105278213122.36501</v>
      </c>
      <c r="D25" s="3">
        <v>3563443059.2624302</v>
      </c>
      <c r="E25">
        <v>7171734773.8604202</v>
      </c>
      <c r="F25">
        <v>105278213122.36501</v>
      </c>
    </row>
    <row r="26" spans="1:7">
      <c r="A26">
        <v>2024</v>
      </c>
      <c r="B26" t="s">
        <v>95</v>
      </c>
      <c r="C26">
        <v>32769395041.831799</v>
      </c>
      <c r="D26" s="3">
        <v>1792294446.49208</v>
      </c>
      <c r="E26">
        <v>1191778023.0388701</v>
      </c>
      <c r="F26">
        <v>32769395041.831799</v>
      </c>
    </row>
    <row r="29" spans="1:7">
      <c r="B29">
        <v>2024</v>
      </c>
      <c r="C29">
        <v>2024</v>
      </c>
      <c r="D29">
        <v>2024</v>
      </c>
    </row>
    <row r="30" spans="1:7" ht="30">
      <c r="B30" s="1" t="s">
        <v>86</v>
      </c>
      <c r="C30" s="1" t="s">
        <v>91</v>
      </c>
      <c r="D30" s="1" t="s">
        <v>95</v>
      </c>
      <c r="F30" s="1" t="s">
        <v>91</v>
      </c>
      <c r="G30" s="1" t="s">
        <v>95</v>
      </c>
    </row>
    <row r="31" spans="1:7" ht="30">
      <c r="A31" s="1" t="s">
        <v>110</v>
      </c>
      <c r="B31">
        <v>153491069945.86401</v>
      </c>
      <c r="C31">
        <v>105278213122.36501</v>
      </c>
      <c r="D31">
        <v>32769395041.831799</v>
      </c>
      <c r="F31" s="6">
        <f>C31/B31</f>
        <v>0.68589145387739114</v>
      </c>
      <c r="G31" s="6">
        <f>D31/B31</f>
        <v>0.21349382119356844</v>
      </c>
    </row>
    <row r="32" spans="1:7" ht="30">
      <c r="A32" s="2" t="s">
        <v>116</v>
      </c>
      <c r="B32">
        <v>5641382817.3783598</v>
      </c>
      <c r="C32" s="3">
        <v>3563443059.2624302</v>
      </c>
      <c r="D32" s="3">
        <v>1792294446.49208</v>
      </c>
      <c r="F32" s="6">
        <f t="shared" ref="F32:F33" si="0">C32/B32</f>
        <v>0.63166127430409325</v>
      </c>
      <c r="G32" s="6">
        <f t="shared" ref="G32:G33" si="1">D32/B32</f>
        <v>0.31770480829113235</v>
      </c>
    </row>
    <row r="33" spans="1:7" ht="45">
      <c r="A33" s="1" t="s">
        <v>120</v>
      </c>
      <c r="B33">
        <v>8684897075.4179096</v>
      </c>
      <c r="C33">
        <v>7171734773.8604202</v>
      </c>
      <c r="D33">
        <v>1191778023.0388701</v>
      </c>
      <c r="F33" s="6">
        <f t="shared" si="0"/>
        <v>0.82577084236951914</v>
      </c>
      <c r="G33" s="6">
        <f t="shared" si="1"/>
        <v>0.13722419652066203</v>
      </c>
    </row>
    <row r="35" spans="1:7" ht="30">
      <c r="G35" s="1" t="s">
        <v>95</v>
      </c>
    </row>
    <row r="36" spans="1:7">
      <c r="D36" s="4" t="s">
        <v>144</v>
      </c>
    </row>
    <row r="37" spans="1:7">
      <c r="D37">
        <v>19192439773.1381</v>
      </c>
    </row>
    <row r="38" spans="1:7">
      <c r="D38">
        <v>21640834319.098999</v>
      </c>
    </row>
    <row r="39" spans="1:7">
      <c r="D39">
        <v>24009333808.614201</v>
      </c>
    </row>
    <row r="40" spans="1:7">
      <c r="D40">
        <v>15816013184.469299</v>
      </c>
    </row>
    <row r="41" spans="1:7">
      <c r="D41">
        <v>20338989411.357201</v>
      </c>
    </row>
    <row r="42" spans="1:7">
      <c r="B42" s="4" t="s">
        <v>144</v>
      </c>
    </row>
    <row r="43" spans="1:7" ht="45">
      <c r="C43" s="2" t="s">
        <v>118</v>
      </c>
      <c r="D43" s="1" t="s">
        <v>120</v>
      </c>
      <c r="E43" s="4" t="s">
        <v>145</v>
      </c>
    </row>
    <row r="44" spans="1:7">
      <c r="B44">
        <v>2020</v>
      </c>
      <c r="C44">
        <v>25951831.857500799</v>
      </c>
      <c r="D44">
        <v>687213329.91791904</v>
      </c>
      <c r="E44">
        <v>19192439773.1381</v>
      </c>
    </row>
    <row r="45" spans="1:7">
      <c r="B45">
        <v>2021</v>
      </c>
      <c r="C45">
        <v>30643981.132367499</v>
      </c>
      <c r="D45">
        <v>693656808.50764501</v>
      </c>
      <c r="E45">
        <v>21640834319.098999</v>
      </c>
    </row>
    <row r="46" spans="1:7">
      <c r="B46">
        <v>2022</v>
      </c>
      <c r="C46">
        <v>30001306.7033807</v>
      </c>
      <c r="D46">
        <v>844343273.33252501</v>
      </c>
      <c r="E46">
        <v>24009333808.614201</v>
      </c>
    </row>
    <row r="47" spans="1:7">
      <c r="B47">
        <v>2023</v>
      </c>
      <c r="C47">
        <v>46466428.914398298</v>
      </c>
      <c r="D47">
        <v>1162610951.16009</v>
      </c>
      <c r="E47">
        <v>15816013184.469299</v>
      </c>
    </row>
    <row r="48" spans="1:7">
      <c r="B48">
        <v>2024</v>
      </c>
      <c r="C48">
        <v>46035148.387654901</v>
      </c>
      <c r="D48">
        <v>1191778023.0388701</v>
      </c>
      <c r="E48">
        <v>20338989411.357201</v>
      </c>
    </row>
    <row r="50" spans="2:8">
      <c r="C50" s="7" t="s">
        <v>146</v>
      </c>
    </row>
    <row r="51" spans="2:8" ht="45">
      <c r="B51" t="s">
        <v>91</v>
      </c>
      <c r="C51" s="2" t="s">
        <v>118</v>
      </c>
      <c r="D51" s="1" t="s">
        <v>120</v>
      </c>
      <c r="E51" s="4" t="s">
        <v>145</v>
      </c>
      <c r="G51" s="2" t="s">
        <v>118</v>
      </c>
      <c r="H51" s="1" t="s">
        <v>120</v>
      </c>
    </row>
    <row r="52" spans="2:8">
      <c r="B52">
        <v>2020</v>
      </c>
      <c r="C52" s="8">
        <v>90834542.807083502</v>
      </c>
      <c r="D52" s="9">
        <v>230274964915.077</v>
      </c>
      <c r="E52">
        <v>32850273030.753502</v>
      </c>
      <c r="G52">
        <f>C52/$E52</f>
        <v>2.7651076970363919E-3</v>
      </c>
      <c r="H52">
        <f>D52/$E52</f>
        <v>7.0098341252597827</v>
      </c>
    </row>
    <row r="53" spans="2:8">
      <c r="B53">
        <v>2021</v>
      </c>
      <c r="C53" s="8">
        <v>92533873.558579296</v>
      </c>
      <c r="D53" s="9">
        <v>307945074990.15802</v>
      </c>
      <c r="E53">
        <v>79107566911.239899</v>
      </c>
      <c r="G53">
        <f t="shared" ref="G53:G56" si="2">C53/E53</f>
        <v>1.1697221539173864E-3</v>
      </c>
      <c r="H53">
        <f t="shared" ref="H53:H56" si="3">D53/$E53</f>
        <v>3.8927385459304782</v>
      </c>
    </row>
    <row r="54" spans="2:8">
      <c r="B54">
        <v>2022</v>
      </c>
      <c r="C54" s="8">
        <v>109816952.042575</v>
      </c>
      <c r="D54" s="9">
        <v>320979900189.99701</v>
      </c>
      <c r="E54">
        <v>73891324527.6763</v>
      </c>
      <c r="G54">
        <f>C54/E54</f>
        <v>1.486195473481364E-3</v>
      </c>
      <c r="H54">
        <f t="shared" si="3"/>
        <v>4.3439456829573091</v>
      </c>
    </row>
    <row r="55" spans="2:8">
      <c r="B55">
        <v>2023</v>
      </c>
      <c r="C55" s="8">
        <v>172101019.981722</v>
      </c>
      <c r="D55" s="9">
        <v>329092562137.245</v>
      </c>
      <c r="E55">
        <v>46887374543.899597</v>
      </c>
      <c r="G55">
        <f t="shared" si="2"/>
        <v>3.6705194448579687E-3</v>
      </c>
      <c r="H55">
        <f t="shared" si="3"/>
        <v>7.01878843374186</v>
      </c>
    </row>
    <row r="56" spans="2:8">
      <c r="B56">
        <v>2024</v>
      </c>
      <c r="C56" s="8">
        <v>194446857.13937801</v>
      </c>
      <c r="D56" s="9">
        <v>360833746887.40399</v>
      </c>
      <c r="E56">
        <v>66209129002.172798</v>
      </c>
      <c r="G56">
        <f t="shared" si="2"/>
        <v>2.9368587092120906E-3</v>
      </c>
      <c r="H56">
        <f t="shared" si="3"/>
        <v>5.4499092847991166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metodología</vt:lpstr>
      <vt:lpstr>escenario-inicial</vt:lpstr>
      <vt:lpstr>tipo-cambio</vt:lpstr>
      <vt:lpstr>devaluación-1</vt:lpstr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Resultados corrientes grupos industria Mussi</dc:title>
  <dc:creator>economia-uruguay R analysis script</dc:creator>
  <cp:lastModifiedBy>Emiliano Mussi</cp:lastModifiedBy>
  <dcterms:created xsi:type="dcterms:W3CDTF">2026-08-25T21:00:19Z</dcterms:created>
  <dcterms:modified xsi:type="dcterms:W3CDTF">2026-08-25T21:22:40Z</dcterms:modified>
</cp:coreProperties>
</file>