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Modelo" sheetId="1" state="visible" r:id="rId3"/>
    <sheet name="Impo_Expo - Mercado Interno" sheetId="2" state="visible" r:id="rId4"/>
    <sheet name="Transable_Expo - MI" sheetId="3" state="visible" r:id="rId5"/>
    <sheet name="TCC - TCP" sheetId="4" state="visible" r:id="rId6"/>
    <sheet name="Masa salarial" sheetId="5" state="visible" r:id="rId7"/>
    <sheet name="Importado sobre CI" sheetId="6" state="visible" r:id="rId8"/>
    <sheet name="Intereses" sheetId="7" state="visible" r:id="rId9"/>
    <sheet name="Exportaciones" sheetId="8" state="visible" r:id="rId10"/>
    <sheet name="Importación Maquinaria" sheetId="9" state="visible" r:id="rId11"/>
    <sheet name="rama-C EAAE" sheetId="10" state="visible" r:id="rId12"/>
    <sheet name="rama-C EAAE (2)" sheetId="11" state="visible" r:id="rId13"/>
    <sheet name="Diferencia MIP - COU" sheetId="12" state="visible" r:id="rId14"/>
  </sheets>
  <externalReferences>
    <externalReference r:id="rId15"/>
    <externalReference r:id="rId16"/>
  </externalReferenc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<sst xmlns="http://schemas.openxmlformats.org/spreadsheetml/2006/main" count="576" uniqueCount="183">
  <si>
    <t xml:space="preserve">Modelo de impacto de la depreciación del tipo de cambio en la tasa de ganancia del capital manufacturero uruguayo</t>
  </si>
  <si>
    <r>
      <rPr>
        <sz val="11"/>
        <color rgb="FF0070C0"/>
        <rFont val="Cambria"/>
        <family val="1"/>
        <charset val="1"/>
      </rPr>
      <t xml:space="preserve">V.1 | Cantidades fijas | </t>
    </r>
    <r>
      <rPr>
        <i val="true"/>
        <u val="single"/>
        <sz val="11"/>
        <color rgb="FF0070C0"/>
        <rFont val="Cambria"/>
        <family val="1"/>
        <charset val="1"/>
      </rPr>
      <t xml:space="preserve">Importado</t>
    </r>
  </si>
  <si>
    <t xml:space="preserve">Tasa de devaluación aplicado a cada variable según incidencia:</t>
  </si>
  <si>
    <t xml:space="preserve">Variable</t>
  </si>
  <si>
    <t xml:space="preserve">Incidencia </t>
  </si>
  <si>
    <t xml:space="preserve">Efecto</t>
  </si>
  <si>
    <t xml:space="preserve">Fórmula</t>
  </si>
  <si>
    <t xml:space="preserve">Comentario</t>
  </si>
  <si>
    <t xml:space="preserve">Fuente</t>
  </si>
  <si>
    <t xml:space="preserve">Consumo intermedio</t>
  </si>
  <si>
    <t xml:space="preserve">Negativo</t>
  </si>
  <si>
    <t xml:space="preserve">Variable en pesos +Variable en pesos* incidencia*((tcp/tcc)-1)</t>
  </si>
  <si>
    <t xml:space="preserve">Importado / consumo intermedio</t>
  </si>
  <si>
    <t xml:space="preserve">Se toma COU porque incluye impuestos y márgenes de comercio y transporte, promedio 2015/2016</t>
  </si>
  <si>
    <t xml:space="preserve">Masa salarial</t>
  </si>
  <si>
    <t xml:space="preserve">Importado / masa salarial manufacturera</t>
  </si>
  <si>
    <t xml:space="preserve">Intereses</t>
  </si>
  <si>
    <t xml:space="preserve">Intereses pagados / VBP</t>
  </si>
  <si>
    <t xml:space="preserve">CIU 2006/2024</t>
  </si>
  <si>
    <t xml:space="preserve">VBP</t>
  </si>
  <si>
    <t xml:space="preserve">Positivo</t>
  </si>
  <si>
    <t xml:space="preserve">Exportaciones / VBP</t>
  </si>
  <si>
    <t xml:space="preserve">Exportaciones CCNN, con factor de microdatos, respecto de VBP EAAE, promedio 2001/2024</t>
  </si>
  <si>
    <t xml:space="preserve">Consumo de capital fijo</t>
  </si>
  <si>
    <t xml:space="preserve">Efecto aumento consumo capital fijo maquinaria importada / consumo de capital fijo</t>
  </si>
  <si>
    <t xml:space="preserve">Efecto de inversión importada, prorrateada por depreciación lineal estimación a 20 años a partir de EAAE</t>
  </si>
  <si>
    <t xml:space="preserve">Capital fijo de maquinaria</t>
  </si>
  <si>
    <t xml:space="preserve">Aumento stock respecto del stock de maquinaria</t>
  </si>
  <si>
    <t xml:space="preserve">Efecto de inversión importada en stock de capital a partir de EAAE</t>
  </si>
  <si>
    <r>
      <rPr>
        <sz val="11"/>
        <color rgb="FF0070C0"/>
        <rFont val="Cambria"/>
        <family val="1"/>
        <charset val="1"/>
      </rPr>
      <t xml:space="preserve">V.2 | Cantidades fijas | </t>
    </r>
    <r>
      <rPr>
        <i val="true"/>
        <u val="single"/>
        <sz val="11"/>
        <color rgb="FF0070C0"/>
        <rFont val="Cambria"/>
        <family val="1"/>
        <charset val="1"/>
      </rPr>
      <t xml:space="preserve">Transable</t>
    </r>
  </si>
  <si>
    <t xml:space="preserve">Incidencia</t>
  </si>
  <si>
    <t xml:space="preserve">CI* (T/CI)*(1+(tcp/tcc))</t>
  </si>
  <si>
    <t xml:space="preserve">Transable/ consumo intermedio</t>
  </si>
  <si>
    <t xml:space="preserve">Transable / masa salarial manufacturera</t>
  </si>
  <si>
    <t xml:space="preserve">ANEXO</t>
  </si>
  <si>
    <t xml:space="preserve">Diferencia MIP - COU</t>
  </si>
  <si>
    <t xml:space="preserve">Exportadores</t>
  </si>
  <si>
    <t xml:space="preserve">Mercado interno</t>
  </si>
  <si>
    <t xml:space="preserve">Fuente:</t>
  </si>
  <si>
    <t xml:space="preserve">https://docs.google.com/spreadsheets/d/1mxvi1bIWz5WpHcGaBE-OJZTV5XA-hqzD5fn_03F-LMw/edit?gid=1825138045#gid=1825138045 </t>
  </si>
  <si>
    <t xml:space="preserve">https://docs.google.com/spreadsheets/d/1EjWnRovNLRfISF26lYHPvSVCcWHPUdPtjIY-m_xft28/edit?gid=1371237672#gid=1371237672 </t>
  </si>
  <si>
    <t xml:space="preserve">Tasa de devaluacióin con supuesto de llevar el tipo de cambio a la paridad</t>
  </si>
  <si>
    <t xml:space="preserve">TCC ($/USD)</t>
  </si>
  <si>
    <t xml:space="preserve">TCP ($/USD)</t>
  </si>
  <si>
    <t xml:space="preserve">Val -1</t>
  </si>
  <si>
    <t xml:space="preserve">TCP/TCC</t>
  </si>
  <si>
    <t xml:space="preserve">Expo/VBP</t>
  </si>
  <si>
    <t xml:space="preserve">pesos</t>
  </si>
  <si>
    <t xml:space="preserve">Fuente: Oyhantcabal</t>
  </si>
  <si>
    <t xml:space="preserve">Cuadro de salario: masa salarial y sus componentes especificos (importado, transable detallado, no transable detallado, combustible)</t>
  </si>
  <si>
    <t xml:space="preserve">Fila 'Masa salarial' = remuneraciones totales del grupo/columna (valor real, no un ratio). Las demas filas son componentes que 'entran' en esa masa salarial -no insumos que compra la industria-: masa salarial del grupo x ratio (importado, transable, no transable o combustible) / consumo total de los HOGARES de toda la economia (COU/MIP). El % de cada fila es igual para las 4 columnas (es un ratio economia-wide); el $ varia porque cada columna tiene una masa salarial distinta. 'Total economia' usa la remuneraciones totales del pais (COU: cuadro de generacion del ingreso; MIP: suma de la fila de remuneraciones en las 108 actividades -ambas coinciden en 721.193 millones para 2016-). No disponible en microdatos EAAE (no releva consumo de los hogares).</t>
  </si>
  <si>
    <t xml:space="preserve">https://docs.google.com/spreadsheets/d/1nC7Wt3_sS_Ov6XZY0KzrMMU95c3EsMciThLac86e-kU/edit?gid=133251357#gid=133251357 </t>
  </si>
  <si>
    <t xml:space="preserve">Rubro</t>
  </si>
  <si>
    <t xml:space="preserve">%
 (igual las 4 col.)</t>
  </si>
  <si>
    <t xml:space="preserve">Total economia ($ mill.)</t>
  </si>
  <si>
    <t xml:space="preserve">Manufactura total ($ mill.)</t>
  </si>
  <si>
    <t xml:space="preserve">Manufactura exportadora ($ mill.)</t>
  </si>
  <si>
    <t xml:space="preserve">Manuf. mercado interno s/comb. ($ mill.)</t>
  </si>
  <si>
    <t xml:space="preserve">COU</t>
  </si>
  <si>
    <t xml:space="preserve">COU detallado 2016</t>
  </si>
  <si>
    <t xml:space="preserve">Importado en la masa salarial</t>
  </si>
  <si>
    <t xml:space="preserve">Transable — Agro/pesca/mineria (nacional)</t>
  </si>
  <si>
    <t xml:space="preserve">Transable — Manufactura (nacional)</t>
  </si>
  <si>
    <t xml:space="preserve">Transable — Importado</t>
  </si>
  <si>
    <t xml:space="preserve">Transable TOTAL</t>
  </si>
  <si>
    <t xml:space="preserve">No transable — Electricidad/gas/agua (nacional)</t>
  </si>
  <si>
    <t xml:space="preserve">No transable — Construccion (nacional)</t>
  </si>
  <si>
    <t xml:space="preserve">No transable — Servicios (nacional)</t>
  </si>
  <si>
    <t xml:space="preserve">No transable TOTAL</t>
  </si>
  <si>
    <t xml:space="preserve">Combustible en la masa salarial</t>
  </si>
  <si>
    <t xml:space="preserve">COU detallado 2017</t>
  </si>
  <si>
    <t xml:space="preserve">MIP</t>
  </si>
  <si>
    <t xml:space="preserve">MIP detallada 2016</t>
  </si>
  <si>
    <t xml:space="preserve">ver si esto es por combustible</t>
  </si>
  <si>
    <t xml:space="preserve">Importado / Consumo intermedio, por grupo y fuente</t>
  </si>
  <si>
    <t xml:space="preserve">COU: ratio economia-wide por producto aplicado al uso de cada grupo. MIP: directo de la matriz de importaciones (mas preciso). Microdatos EAAE: materias primas importadas / consumo intermedio -solo disponible 2009 y 2010, resto de años 's/d' por no relevarse el origen de compras desde 2011-.</t>
  </si>
  <si>
    <t xml:space="preserve">Detalle</t>
  </si>
  <si>
    <t xml:space="preserve">Exportador</t>
  </si>
  <si>
    <t xml:space="preserve">Combustible</t>
  </si>
  <si>
    <t xml:space="preserve">Mercado interno sin combustible</t>
  </si>
  <si>
    <t xml:space="preserve">Total manufactura</t>
  </si>
  <si>
    <t xml:space="preserve">MIP detallada 2016 (matriz de importaciones)</t>
  </si>
  <si>
    <t xml:space="preserve">Microdatos EAAE</t>
  </si>
  <si>
    <t xml:space="preserve">Microdatos EAAE 2009 (muestra)</t>
  </si>
  <si>
    <t xml:space="preserve">Microdatos EAAE 2009 (expandido)</t>
  </si>
  <si>
    <t xml:space="preserve">Microdatos EAAE 2010 (muestra)</t>
  </si>
  <si>
    <t xml:space="preserve">Microdatos EAAE 2010 (expandido)</t>
  </si>
  <si>
    <t xml:space="preserve">Microdatos EAAE 2011 (muestra)</t>
  </si>
  <si>
    <t xml:space="preserve">s/d</t>
  </si>
  <si>
    <t xml:space="preserve">Microdatos EAAE 2011 (expandido)</t>
  </si>
  <si>
    <t xml:space="preserve">Microdatos EAAE 2012 (muestra)</t>
  </si>
  <si>
    <t xml:space="preserve">Microdatos EAAE 2012 (expandido)</t>
  </si>
  <si>
    <t xml:space="preserve">Microdatos EAAE 2013 (muestra)</t>
  </si>
  <si>
    <t xml:space="preserve">Microdatos EAAE 2013 (expandido)</t>
  </si>
  <si>
    <t xml:space="preserve">Microdatos EAAE 2014 (muestra)</t>
  </si>
  <si>
    <t xml:space="preserve">Microdatos EAAE 2014 (expandido)</t>
  </si>
  <si>
    <t xml:space="preserve">Microdatos EAAE 2016 (muestra)</t>
  </si>
  <si>
    <t xml:space="preserve">Microdatos EAAE 2016 (expandido)</t>
  </si>
  <si>
    <t xml:space="preserve">Microdatos EAAE 2017 (muestra)</t>
  </si>
  <si>
    <t xml:space="preserve">Microdatos EAAE 2017 (expandido)</t>
  </si>
  <si>
    <t xml:space="preserve">Microdatos EAAE 2018 (muestra)</t>
  </si>
  <si>
    <t xml:space="preserve">Microdatos EAAE 2018 (expandido)</t>
  </si>
  <si>
    <t xml:space="preserve">Microdatos EAAE 2019 (muestra)</t>
  </si>
  <si>
    <t xml:space="preserve">Microdatos EAAE 2019 (expandido)</t>
  </si>
  <si>
    <t xml:space="preserve">corrientes</t>
  </si>
  <si>
    <t xml:space="preserve">constantes</t>
  </si>
  <si>
    <t xml:space="preserve">Mill USD</t>
  </si>
  <si>
    <t xml:space="preserve">1870-1912: Willebald et al (15); +13: PHES -Silvana Maubrigades</t>
  </si>
  <si>
    <t xml:space="preserve">Millones de pesos </t>
  </si>
  <si>
    <t xml:space="preserve">vbp_pb_estimado</t>
  </si>
  <si>
    <t xml:space="preserve">capital_total_adelantado</t>
  </si>
  <si>
    <t xml:space="preserve">stock_capital</t>
  </si>
  <si>
    <t xml:space="preserve">Ganancia desp de impuestos</t>
  </si>
  <si>
    <t xml:space="preserve">fbcf</t>
  </si>
  <si>
    <t xml:space="preserve">Endeudamiento Industrial </t>
  </si>
  <si>
    <t xml:space="preserve">Intereses pagos por la industria</t>
  </si>
  <si>
    <t xml:space="preserve">intereses pagos por eaae, ajuste c/ microdatos (90%)</t>
  </si>
  <si>
    <t xml:space="preserve">Tipo de cambio libre</t>
  </si>
  <si>
    <t xml:space="preserve">TC Paridad c/prod no agraria</t>
  </si>
  <si>
    <t xml:space="preserve">Ganancia</t>
  </si>
  <si>
    <t xml:space="preserve">FBCF</t>
  </si>
  <si>
    <t xml:space="preserve">Ganancia desp de intereses pagados</t>
  </si>
  <si>
    <t xml:space="preserve">Ganancia desp de impuestos e  intereses pagados, menos la FBCF</t>
  </si>
  <si>
    <t xml:space="preserve">% de los intereses respecto de la ganancia</t>
  </si>
  <si>
    <t xml:space="preserve">Patrimonio neto (Aprox.)</t>
  </si>
  <si>
    <t xml:space="preserve">stock de capital menos endeudamiento</t>
  </si>
  <si>
    <t xml:space="preserve">Pasivo no corriente / KTA</t>
  </si>
  <si>
    <t xml:space="preserve">Endeudamiento (2006 = 100)</t>
  </si>
  <si>
    <t xml:space="preserve">stock_capital (2006 = 100)</t>
  </si>
  <si>
    <t xml:space="preserve">Tasa de ganancia manuf</t>
  </si>
  <si>
    <t xml:space="preserve">Tasa de ganancia capital propio</t>
  </si>
  <si>
    <t xml:space="preserve">Tasa de ganancia capital propio desp de FBCF</t>
  </si>
  <si>
    <t xml:space="preserve">Tasa de ganancia PN (sobre capital fijo menos endeudamiento)</t>
  </si>
  <si>
    <t xml:space="preserve">Promedio</t>
  </si>
  <si>
    <t xml:space="preserve">Intereses x TC</t>
  </si>
  <si>
    <t xml:space="preserve">Intereses por TCP</t>
  </si>
  <si>
    <t xml:space="preserve">Abaratamiento por tc. Diferencia intereses</t>
  </si>
  <si>
    <t xml:space="preserve">Abaratamiento sobre ganancia desp de impuestos</t>
  </si>
  <si>
    <t xml:space="preserve">Escenario de las exportaciones frente a eventual devaluación, con precios y cantidades exportadas constantes</t>
  </si>
  <si>
    <t xml:space="preserve">Expo manuf, miles usd</t>
  </si>
  <si>
    <t xml:space="preserve">Ajuste de total manufactura a eaae a partir de microdatos (95%)</t>
  </si>
  <si>
    <t xml:space="preserve">val_tcp</t>
  </si>
  <si>
    <t xml:space="preserve">Situación actual. Pesos apropiados por sector exportador. Miles de pesos recibidos al TCC</t>
  </si>
  <si>
    <t xml:space="preserve">Escenario de devaluación. Miles de pesos recibidos al TCP</t>
  </si>
  <si>
    <t xml:space="preserve">Incremento para el exportador: Diferencia apropiada por el exportador frente a eventual devaluación</t>
  </si>
  <si>
    <t xml:space="preserve">Incremento de apropiación en relación a exportaciones efectivas</t>
  </si>
  <si>
    <t xml:space="preserve">importaciones_maquinaria</t>
  </si>
  <si>
    <t xml:space="preserve">consumo_capital_fijo</t>
  </si>
  <si>
    <t xml:space="preserve">Stock pesos</t>
  </si>
  <si>
    <t xml:space="preserve">importaciones_maquinaria. (USD / TCC)</t>
  </si>
  <si>
    <t xml:space="preserve">importaciones_maquinaria. (pesos / TCP)</t>
  </si>
  <si>
    <r>
      <rPr>
        <b val="true"/>
        <sz val="10"/>
        <color rgb="FFFFFFFF"/>
        <rFont val="Cambria"/>
        <family val="1"/>
        <charset val="1"/>
      </rPr>
      <t xml:space="preserve">Posible encarecimiento bruto </t>
    </r>
    <r>
      <rPr>
        <b val="true"/>
        <i val="true"/>
        <sz val="10"/>
        <color rgb="FFFFFFFF"/>
        <rFont val="Cambria"/>
        <family val="1"/>
        <charset val="1"/>
      </rPr>
      <t xml:space="preserve">- aumento de stock -</t>
    </r>
  </si>
  <si>
    <t xml:space="preserve">Efecto sobre consumo de capital fijo (1/20)</t>
  </si>
  <si>
    <t xml:space="preserve">Efecto / consumo capital fijo</t>
  </si>
  <si>
    <t xml:space="preserve">EAAE</t>
  </si>
  <si>
    <t xml:space="preserve">anno</t>
  </si>
  <si>
    <t xml:space="preserve">seccion</t>
  </si>
  <si>
    <t xml:space="preserve">epoca</t>
  </si>
  <si>
    <t xml:space="preserve">ciiu_version</t>
  </si>
  <si>
    <t xml:space="preserve">vbp_pp</t>
  </si>
  <si>
    <t xml:space="preserve">vbp_pb</t>
  </si>
  <si>
    <t xml:space="preserve">vab_pp</t>
  </si>
  <si>
    <t xml:space="preserve">vab_pb</t>
  </si>
  <si>
    <t xml:space="preserve">vab_pb_estimado</t>
  </si>
  <si>
    <t xml:space="preserve">consumo_intermedio_estimado</t>
  </si>
  <si>
    <t xml:space="preserve">capital_circulante_constante_adelantado</t>
  </si>
  <si>
    <t xml:space="preserve">remuneraciones</t>
  </si>
  <si>
    <t xml:space="preserve">capital_variable_adelantado</t>
  </si>
  <si>
    <t xml:space="preserve">puestos_trabajo</t>
  </si>
  <si>
    <t xml:space="preserve">n_empresas</t>
  </si>
  <si>
    <t xml:space="preserve">fbkf_maq_eq</t>
  </si>
  <si>
    <t xml:space="preserve">adquisiciones_importadas</t>
  </si>
  <si>
    <t xml:space="preserve">adquisiciones_origen_importado</t>
  </si>
  <si>
    <t xml:space="preserve">impuestos_netos</t>
  </si>
  <si>
    <t xml:space="preserve">stock_capital_imputado</t>
  </si>
  <si>
    <t xml:space="preserve">excedente_bruto</t>
  </si>
  <si>
    <t xml:space="preserve">part_salarial</t>
  </si>
  <si>
    <t xml:space="preserve">productividad</t>
  </si>
  <si>
    <t xml:space="preserve">C</t>
  </si>
  <si>
    <t xml:space="preserve">Rev.3</t>
  </si>
  <si>
    <t xml:space="preserve">Rev.4</t>
  </si>
  <si>
    <t xml:space="preserve">Diferencia MIP COU</t>
  </si>
  <si>
    <t xml:space="preserve">poruqe tanta diferencia entre COU y MIP en el peso de los transables en particular manufactura nacional
Se ejecutaron 4 comandos
Se ejecutaron 4 comandos
La diferencia no es un error de cálculo: son dos valoraciones distintas del mismo gasto de los hogares.
El COU (columna "Gasto de Consumo Final Hogares" que usé) está a precios de comprador. Se confirma mirando la tabla de Oferta: cada producto trae columnas explícitas "Márgenes Totales" e "Impuestos menos subvenciones sobre los productos", que se suman a la producción y a lo importado para llegar a la Oferta Total. La MIP, en cambio, está armada a precios básicos (la hoja "MIP 108x108" es "Total de usos de origen nacional precios básicos") — es decir, sin márgenes de comercio/transporte ni impuestos netos sobre los productos.
El mecanismo concreto: el margen de comercio (el margen que se lleva el supermercado o la tienda al vender un producto) aparece en el COU como un valor negativo en el producto "Servicios de comercio" (código 74: margen = –223.752 millones en 2016, con oferta propia de apenas 8 millones) y como un valor positivo repartido en los productos efectivamente vendidos — mayormente manufactura, que solo por margen suma +215.846 millones (18,8% de su oferta total). O sea: en el COU, el margen que gana el comercio al vender, por ejemplo, un alimento envasado queda "adentro" del producto alimenticio, no del servicio de comercio.
En la MIP, ese mismo margen se queda como producción de la industria "Comercio" (un servicio), no del producto manufacturado. Por eso:
Manufactura nacional en el consumo de hogares: COU 32,6% / MIP 14,0% del gasto total.
Servicios: COU 51,3% / MIP 71,1%.
A esto se suman los impuestos netos sobre productos (IVA, etc.), que en manufactura son otro 9,4% de la oferta en el COU y que la MIP tampoco atribuye a ningún producto. Entre márgenes e impuestos, casi 28% del valor "manufactura" del COU es en realidad margen comercial + impuestos que la MIP reclasifica como servicios (o los deja fuera de cualquier industria).
En síntesis: la MIP mide el peso de "lo que produjo la industria manufacturera" (precio de fábrica); el COU mide "lo que efectivamente compró el hogar" incluyendo el margen de venta y los impuestos — por eso el COU siempre va a mostrar más peso de manufactura y transables, y menos de servicios, que la MIP. Ninguna de las dos está mal: miden cosas distintas.
Si querés, puedo agregar esta explicación como nota metodológica en el Excel, o construir una versión "ajustada" del COU que le quite márgenes e impuestos para hacerlo comparable a precios básicos con la MIP.</t>
  </si>
</sst>
</file>

<file path=xl/styles.xml><?xml version="1.0" encoding="utf-8"?>
<styleSheet xmlns="http://schemas.openxmlformats.org/spreadsheetml/2006/main">
  <numFmts count="13">
    <numFmt numFmtId="164" formatCode="General"/>
    <numFmt numFmtId="165" formatCode="_-* #,##0.00_-;\-* #,##0.00_-;_-* \-??_-;_-@_-"/>
    <numFmt numFmtId="166" formatCode="0\ %"/>
    <numFmt numFmtId="167" formatCode="0.0%"/>
    <numFmt numFmtId="168" formatCode="0.00\ %"/>
    <numFmt numFmtId="169" formatCode="_-* #,##0_-;\-* #,##0_-;_-* \-??_-;_-@_-"/>
    <numFmt numFmtId="170" formatCode="_-* #,##0.0_-;\-* #,##0.0_-;_-* \-??_-;_-@_-"/>
    <numFmt numFmtId="171" formatCode="_-* #,##0.000_-;\-* #,##0.000_-;_-* \-??_-;_-@_-"/>
    <numFmt numFmtId="172" formatCode="_-* #,##0.0_-;\-* #,##0.0_-;_-* \-?_-;_-@_-"/>
    <numFmt numFmtId="173" formatCode="#,##0"/>
    <numFmt numFmtId="174" formatCode="#,##0.0"/>
    <numFmt numFmtId="175" formatCode="0%"/>
    <numFmt numFmtId="176" formatCode="General"/>
  </numFmts>
  <fonts count="38">
    <font>
      <sz val="11"/>
      <color theme="1"/>
      <name val="Calibri"/>
      <family val="2"/>
      <charset val="1"/>
    </font>
    <font>
      <sz val="10"/>
      <name val="Arial"/>
      <family val="0"/>
    </font>
    <font>
      <sz val="10"/>
      <name val="Arial"/>
      <family val="0"/>
    </font>
    <font>
      <sz val="10"/>
      <name val="Arial"/>
      <family val="0"/>
    </font>
    <font>
      <sz val="11"/>
      <name val="Calibri"/>
      <family val="2"/>
      <charset val="1"/>
    </font>
    <font>
      <sz val="10"/>
      <color rgb="FF1C267D"/>
      <name val="Arial Narrow"/>
      <family val="2"/>
      <charset val="1"/>
    </font>
    <font>
      <sz val="11"/>
      <color theme="1"/>
      <name val="Cambria"/>
      <family val="1"/>
      <charset val="1"/>
    </font>
    <font>
      <b val="true"/>
      <u val="single"/>
      <sz val="14"/>
      <color rgb="FF002060"/>
      <name val="Cambria"/>
      <family val="1"/>
      <charset val="1"/>
    </font>
    <font>
      <u val="single"/>
      <sz val="11"/>
      <color theme="10"/>
      <name val="Calibri"/>
      <family val="2"/>
      <charset val="1"/>
    </font>
    <font>
      <sz val="11"/>
      <color rgb="FF0070C0"/>
      <name val="Cambria"/>
      <family val="1"/>
      <charset val="1"/>
    </font>
    <font>
      <i val="true"/>
      <u val="single"/>
      <sz val="11"/>
      <color rgb="FF0070C0"/>
      <name val="Cambria"/>
      <family val="1"/>
      <charset val="1"/>
    </font>
    <font>
      <b val="true"/>
      <sz val="11"/>
      <color theme="0"/>
      <name val="Cambria"/>
      <family val="1"/>
      <charset val="1"/>
    </font>
    <font>
      <u val="single"/>
      <sz val="11"/>
      <color theme="10"/>
      <name val="Cambria"/>
      <family val="1"/>
      <charset val="1"/>
    </font>
    <font>
      <b val="true"/>
      <sz val="14"/>
      <color rgb="FF1F4E78"/>
      <name val="Arial"/>
      <family val="2"/>
      <charset val="1"/>
    </font>
    <font>
      <b val="true"/>
      <sz val="10"/>
      <color rgb="FFFFFFFF"/>
      <name val="Cambria"/>
      <family val="1"/>
      <charset val="1"/>
    </font>
    <font>
      <sz val="10"/>
      <color theme="1"/>
      <name val="Cambria"/>
      <family val="1"/>
      <charset val="1"/>
    </font>
    <font>
      <sz val="11"/>
      <color rgb="FF000000"/>
      <name val="Calibri"/>
      <family val="2"/>
      <charset val="1"/>
    </font>
    <font>
      <sz val="11"/>
      <color rgb="FF000000"/>
      <name val="Arial"/>
      <family val="2"/>
      <charset val="1"/>
    </font>
    <font>
      <b val="true"/>
      <sz val="11"/>
      <color rgb="FFFFFFFF"/>
      <name val="Arial"/>
      <family val="2"/>
      <charset val="1"/>
    </font>
    <font>
      <b val="true"/>
      <sz val="11"/>
      <color rgb="FF000000"/>
      <name val="Arial"/>
      <family val="2"/>
      <charset val="1"/>
    </font>
    <font>
      <i val="true"/>
      <sz val="9"/>
      <color rgb="FF999999"/>
      <name val="Arial"/>
      <family val="2"/>
      <charset val="1"/>
    </font>
    <font>
      <b val="true"/>
      <sz val="11"/>
      <color rgb="FF0000FF"/>
      <name val="Arial"/>
      <family val="2"/>
      <charset val="1"/>
    </font>
    <font>
      <sz val="11"/>
      <color rgb="FF0000FF"/>
      <name val="Arial"/>
      <family val="2"/>
      <charset val="1"/>
    </font>
    <font>
      <sz val="10"/>
      <color theme="1"/>
      <name val="Arial"/>
      <family val="2"/>
      <charset val="1"/>
    </font>
    <font>
      <b val="true"/>
      <sz val="10"/>
      <color rgb="FFFFFFFF"/>
      <name val="Arial"/>
      <family val="2"/>
      <charset val="1"/>
    </font>
    <font>
      <sz val="10"/>
      <name val="Cambria"/>
      <family val="1"/>
      <charset val="1"/>
    </font>
    <font>
      <sz val="10"/>
      <color rgb="FF000000"/>
      <name val="Cambria"/>
      <family val="1"/>
      <charset val="1"/>
    </font>
    <font>
      <b val="true"/>
      <sz val="9"/>
      <color rgb="FF0070C0"/>
      <name val="Cambria"/>
      <family val="2"/>
    </font>
    <font>
      <b val="true"/>
      <sz val="9"/>
      <color rgb="FF002060"/>
      <name val="Cambria"/>
      <family val="2"/>
    </font>
    <font>
      <sz val="9"/>
      <color rgb="FF595959"/>
      <name val="Cambria"/>
      <family val="2"/>
    </font>
    <font>
      <sz val="9"/>
      <color rgb="FFFFFFFF"/>
      <name val="Cambria"/>
      <family val="2"/>
    </font>
    <font>
      <b val="true"/>
      <sz val="14"/>
      <color rgb="FF595959"/>
      <name val="Cambria"/>
      <family val="2"/>
    </font>
    <font>
      <b val="true"/>
      <sz val="14"/>
      <color rgb="FF002060"/>
      <name val="Cambria"/>
      <family val="2"/>
    </font>
    <font>
      <sz val="9"/>
      <color rgb="FF404040"/>
      <name val="Cambria"/>
      <family val="2"/>
    </font>
    <font>
      <b val="true"/>
      <sz val="10"/>
      <color rgb="FF0070C0"/>
      <name val="Cambria"/>
      <family val="1"/>
      <charset val="1"/>
    </font>
    <font>
      <sz val="10"/>
      <color rgb="FF111111"/>
      <name val="Cambria"/>
      <family val="1"/>
      <charset val="1"/>
    </font>
    <font>
      <b val="true"/>
      <i val="true"/>
      <sz val="10"/>
      <color rgb="FFFFFFFF"/>
      <name val="Cambria"/>
      <family val="1"/>
      <charset val="1"/>
    </font>
    <font>
      <b val="true"/>
      <sz val="11"/>
      <color rgb="FF1C267D"/>
      <name val="Le Monde Sans Std"/>
      <family val="3"/>
      <charset val="1"/>
    </font>
  </fonts>
  <fills count="14">
    <fill>
      <patternFill patternType="none"/>
    </fill>
    <fill>
      <patternFill patternType="gray125"/>
    </fill>
    <fill>
      <patternFill patternType="solid">
        <fgColor rgb="FF00B0F0"/>
        <bgColor rgb="FF33CCCC"/>
      </patternFill>
    </fill>
    <fill>
      <patternFill patternType="solid">
        <fgColor rgb="FF002060"/>
        <bgColor rgb="FF1C267D"/>
      </patternFill>
    </fill>
    <fill>
      <patternFill patternType="solid">
        <fgColor rgb="FF1B3F6B"/>
        <bgColor rgb="FF1F4E78"/>
      </patternFill>
    </fill>
    <fill>
      <patternFill patternType="solid">
        <fgColor rgb="FF1F4E78"/>
        <bgColor rgb="FF1B3F6B"/>
      </patternFill>
    </fill>
    <fill>
      <patternFill patternType="solid">
        <fgColor rgb="FF548235"/>
        <bgColor rgb="FF339966"/>
      </patternFill>
    </fill>
    <fill>
      <patternFill patternType="solid">
        <fgColor rgb="FFDDEBF7"/>
        <bgColor rgb="FFE2EFDA"/>
      </patternFill>
    </fill>
    <fill>
      <patternFill patternType="solid">
        <fgColor rgb="FFE2EFDA"/>
        <bgColor rgb="FFDDEBF7"/>
      </patternFill>
    </fill>
    <fill>
      <patternFill patternType="solid">
        <fgColor rgb="FFFFF2CC"/>
        <bgColor rgb="FFE2EFDA"/>
      </patternFill>
    </fill>
    <fill>
      <patternFill patternType="solid">
        <fgColor rgb="FFFFFFFF"/>
        <bgColor rgb="FFEEF4FB"/>
      </patternFill>
    </fill>
    <fill>
      <patternFill patternType="solid">
        <fgColor rgb="FFEEF4FB"/>
        <bgColor rgb="FFDDEBF7"/>
      </patternFill>
    </fill>
    <fill>
      <patternFill patternType="solid">
        <fgColor rgb="FFCCF0EC"/>
        <bgColor rgb="FFDDEBF7"/>
      </patternFill>
    </fill>
    <fill>
      <patternFill patternType="solid">
        <fgColor rgb="FFFFFF00"/>
        <bgColor rgb="FFFFFF00"/>
      </patternFill>
    </fill>
  </fills>
  <borders count="6">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right style="thin">
        <color rgb="FFBBBBBB"/>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BBBBB"/>
      </left>
      <right style="thin">
        <color rgb="FFBBBBBB"/>
      </right>
      <top/>
      <bottom/>
      <diagonal/>
    </border>
    <border diagonalUp="false" diagonalDown="false">
      <left/>
      <right/>
      <top style="medium">
        <color rgb="FF1C267D"/>
      </top>
      <bottom style="medium">
        <color rgb="FF1C267D"/>
      </bottom>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left" vertical="bottom" textRotation="0" wrapText="false" indent="1" shrinkToFit="false"/>
      <protection locked="true" hidden="false"/>
    </xf>
  </cellStyleXfs>
  <cellXfs count="89">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19"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12" fillId="0" borderId="0" xfId="20" applyFont="true" applyBorder="true" applyAlignment="true" applyProtection="true">
      <alignment horizontal="left" vertical="center"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64" fontId="12" fillId="0" borderId="0" xfId="20" applyFont="true" applyBorder="true" applyAlignment="true" applyProtection="true">
      <alignment horizontal="general" vertical="bottom" textRotation="0" wrapText="false" indent="0" shrinkToFit="false"/>
      <protection locked="true" hidden="false"/>
    </xf>
    <xf numFmtId="169" fontId="6" fillId="0" borderId="0" xfId="15" applyFont="true" applyBorder="true" applyAlignment="true" applyProtection="tru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8" fillId="0" borderId="0" xfId="20" applyFont="true" applyBorder="tru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4" fillId="4" borderId="2"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70" fontId="15" fillId="0" borderId="0" xfId="15" applyFont="true" applyBorder="true" applyAlignment="true" applyProtection="true">
      <alignment horizontal="general" vertical="bottom" textRotation="0" wrapText="false" indent="0" shrinkToFit="false"/>
      <protection locked="true" hidden="false"/>
    </xf>
    <xf numFmtId="166" fontId="15" fillId="0" borderId="0" xfId="19" applyFont="true" applyBorder="true" applyAlignment="true" applyProtection="true">
      <alignment horizontal="general" vertical="bottom" textRotation="0" wrapText="false" indent="0" shrinkToFit="false"/>
      <protection locked="true" hidden="false"/>
    </xf>
    <xf numFmtId="171" fontId="0" fillId="0" borderId="0" xfId="15" applyFont="true" applyBorder="true" applyAlignment="true" applyProtection="tru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7" fontId="15" fillId="0" borderId="0" xfId="19" applyFont="true" applyBorder="true" applyAlignment="true" applyProtection="tru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8" fillId="0" borderId="0" xfId="20" applyFont="true" applyBorder="true" applyAlignment="true" applyProtection="true">
      <alignment horizontal="general" vertical="top" textRotation="0" wrapText="false" indent="0" shrinkToFit="false"/>
      <protection locked="true" hidden="false"/>
    </xf>
    <xf numFmtId="164" fontId="18" fillId="5"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18" fillId="6" borderId="0" xfId="0" applyFont="true" applyBorder="false" applyAlignment="false" applyProtection="false">
      <alignment horizontal="general" vertical="bottom" textRotation="0" wrapText="false" indent="0" shrinkToFit="false"/>
      <protection locked="true" hidden="false"/>
    </xf>
    <xf numFmtId="164" fontId="16" fillId="6"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3" xfId="0" applyFont="true" applyBorder="true" applyAlignment="false" applyProtection="false">
      <alignment horizontal="general" vertical="bottom" textRotation="0" wrapText="false" indent="0" shrinkToFit="false"/>
      <protection locked="true" hidden="false"/>
    </xf>
    <xf numFmtId="173" fontId="19" fillId="0" borderId="3" xfId="0" applyFont="true" applyBorder="true" applyAlignment="true" applyProtection="false">
      <alignment horizontal="right" vertical="bottom" textRotation="0" wrapText="false" indent="0" shrinkToFit="false"/>
      <protection locked="true" hidden="false"/>
    </xf>
    <xf numFmtId="168" fontId="17" fillId="0" borderId="3" xfId="0" applyFont="true" applyBorder="true" applyAlignment="true" applyProtection="false">
      <alignment horizontal="right" vertical="bottom" textRotation="0" wrapText="false" indent="0" shrinkToFit="false"/>
      <protection locked="true" hidden="false"/>
    </xf>
    <xf numFmtId="173" fontId="17" fillId="0" borderId="3" xfId="0" applyFont="true" applyBorder="true" applyAlignment="true" applyProtection="false">
      <alignment horizontal="right" vertical="bottom" textRotation="0" wrapText="false" indent="0" shrinkToFit="false"/>
      <protection locked="true" hidden="false"/>
    </xf>
    <xf numFmtId="164" fontId="17" fillId="0" borderId="3" xfId="0" applyFont="true" applyBorder="true" applyAlignment="true" applyProtection="false">
      <alignment horizontal="right"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8" fontId="22" fillId="0" borderId="3" xfId="0" applyFont="true" applyBorder="true" applyAlignment="true" applyProtection="false">
      <alignment horizontal="right"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8" fontId="1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24" fillId="5" borderId="0" xfId="0" applyFont="true" applyBorder="false" applyAlignment="true" applyProtection="false">
      <alignment horizontal="center" vertical="bottom" textRotation="0" wrapText="true" indent="0" shrinkToFit="false"/>
      <protection locked="true" hidden="false"/>
    </xf>
    <xf numFmtId="164" fontId="23" fillId="7"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7" fontId="23" fillId="0" borderId="3" xfId="0" applyFont="true" applyBorder="true" applyAlignment="false" applyProtection="false">
      <alignment horizontal="general" vertical="bottom" textRotation="0" wrapText="false" indent="0" shrinkToFit="false"/>
      <protection locked="true" hidden="false"/>
    </xf>
    <xf numFmtId="164" fontId="23" fillId="8" borderId="0" xfId="0" applyFont="true" applyBorder="false" applyAlignment="false" applyProtection="false">
      <alignment horizontal="general" vertical="bottom" textRotation="0" wrapText="false" indent="0" shrinkToFit="false"/>
      <protection locked="true" hidden="false"/>
    </xf>
    <xf numFmtId="164" fontId="23" fillId="9" borderId="0" xfId="0" applyFont="true" applyBorder="false" applyAlignment="false" applyProtection="false">
      <alignment horizontal="general" vertical="bottom" textRotation="0" wrapText="false" indent="0" shrinkToFit="false"/>
      <protection locked="true" hidden="false"/>
    </xf>
    <xf numFmtId="164" fontId="25" fillId="0" borderId="0" xfId="23" applyFont="true" applyBorder="false" applyAlignment="false" applyProtection="false">
      <alignment horizontal="general" vertical="bottom" textRotation="0" wrapText="false" indent="0" shrinkToFit="false"/>
      <protection locked="true" hidden="false"/>
    </xf>
    <xf numFmtId="164" fontId="15" fillId="0" borderId="0" xfId="24" applyFont="true" applyBorder="false" applyAlignment="false" applyProtection="false">
      <alignment horizontal="general" vertical="bottom" textRotation="0" wrapText="false" indent="0" shrinkToFit="false"/>
      <protection locked="true" hidden="false"/>
    </xf>
    <xf numFmtId="164" fontId="25" fillId="0" borderId="0" xfId="23" applyFont="true" applyBorder="false" applyAlignment="true" applyProtection="false">
      <alignment horizontal="center" vertical="center" textRotation="0" wrapText="true" indent="0" shrinkToFit="false"/>
      <protection locked="true" hidden="false"/>
    </xf>
    <xf numFmtId="164" fontId="4" fillId="0" borderId="0" xfId="23" applyFont="true" applyBorder="false" applyAlignment="true" applyProtection="false">
      <alignment horizontal="center" vertical="center" textRotation="0" wrapText="true" indent="0" shrinkToFit="false"/>
      <protection locked="true" hidden="false"/>
    </xf>
    <xf numFmtId="164" fontId="26" fillId="10" borderId="0" xfId="23" applyFont="true" applyBorder="false" applyAlignment="true" applyProtection="false">
      <alignment horizontal="center" vertical="center" textRotation="0" wrapText="true" indent="0" shrinkToFit="false"/>
      <protection locked="true" hidden="false"/>
    </xf>
    <xf numFmtId="169" fontId="25" fillId="0" borderId="0" xfId="21" applyFont="true" applyBorder="true" applyAlignment="true" applyProtection="true">
      <alignment horizontal="general" vertical="bottom" textRotation="0" wrapText="false" indent="0" shrinkToFit="false"/>
      <protection locked="true" hidden="false"/>
    </xf>
    <xf numFmtId="173" fontId="26" fillId="10" borderId="0" xfId="23" applyFont="true" applyBorder="false" applyAlignment="true" applyProtection="false">
      <alignment horizontal="center" vertical="bottom" textRotation="0" wrapText="true" indent="0" shrinkToFit="false"/>
      <protection locked="true" hidden="false"/>
    </xf>
    <xf numFmtId="169" fontId="25" fillId="0" borderId="0" xfId="23" applyFont="true" applyBorder="false" applyAlignment="false" applyProtection="false">
      <alignment horizontal="general" vertical="bottom" textRotation="0" wrapText="false" indent="0" shrinkToFit="false"/>
      <protection locked="true" hidden="false"/>
    </xf>
    <xf numFmtId="167" fontId="25" fillId="0" borderId="0" xfId="25" applyFont="true" applyBorder="true" applyAlignment="true" applyProtection="true">
      <alignment horizontal="general" vertical="bottom" textRotation="0" wrapText="false" indent="0" shrinkToFit="false"/>
      <protection locked="true" hidden="false"/>
    </xf>
    <xf numFmtId="169" fontId="15" fillId="0" borderId="0" xfId="22" applyFont="true" applyBorder="true" applyAlignment="true" applyProtection="true">
      <alignment horizontal="general" vertical="bottom" textRotation="0" wrapText="false" indent="0" shrinkToFit="false"/>
      <protection locked="true" hidden="false"/>
    </xf>
    <xf numFmtId="166" fontId="25" fillId="0" borderId="0" xfId="25" applyFont="true" applyBorder="true" applyAlignment="true" applyProtection="true">
      <alignment horizontal="general" vertical="bottom" textRotation="0" wrapText="false" indent="0" shrinkToFit="false"/>
      <protection locked="true" hidden="false"/>
    </xf>
    <xf numFmtId="168" fontId="25" fillId="0" borderId="0" xfId="25" applyFont="true" applyBorder="true" applyAlignment="true" applyProtection="true">
      <alignment horizontal="general" vertical="bottom" textRotation="0" wrapText="false" indent="0" shrinkToFit="false"/>
      <protection locked="true" hidden="false"/>
    </xf>
    <xf numFmtId="166" fontId="25" fillId="0" borderId="0" xfId="23"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center" textRotation="0" wrapText="false" indent="0" shrinkToFit="false"/>
      <protection locked="true" hidden="false"/>
    </xf>
    <xf numFmtId="169" fontId="15" fillId="0" borderId="0" xfId="15" applyFont="true" applyBorder="true" applyAlignment="true" applyProtection="true">
      <alignment horizontal="general" vertical="bottom" textRotation="0" wrapText="false" indent="0" shrinkToFit="false"/>
      <protection locked="true" hidden="false"/>
    </xf>
    <xf numFmtId="170" fontId="35" fillId="10" borderId="1" xfId="0" applyFont="true" applyBorder="true" applyAlignment="true" applyProtection="false">
      <alignment horizontal="right" vertical="center"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70" fontId="35" fillId="11" borderId="1" xfId="0" applyFont="true" applyBorder="true" applyAlignment="true" applyProtection="false">
      <alignment horizontal="right" vertical="center" textRotation="0" wrapText="false" indent="0" shrinkToFit="false"/>
      <protection locked="true" hidden="false"/>
    </xf>
    <xf numFmtId="170" fontId="35" fillId="12" borderId="1" xfId="0" applyFont="true" applyBorder="true" applyAlignment="true" applyProtection="false">
      <alignment horizontal="right" vertical="center" textRotation="0" wrapText="false" indent="0" shrinkToFit="false"/>
      <protection locked="true" hidden="false"/>
    </xf>
    <xf numFmtId="164" fontId="14" fillId="4" borderId="4" xfId="0" applyFont="true" applyBorder="true" applyAlignment="true" applyProtection="false">
      <alignment horizontal="center" vertical="center" textRotation="0" wrapText="true" indent="0" shrinkToFit="false"/>
      <protection locked="tru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67" fontId="0" fillId="0" borderId="0" xfId="19" applyFont="true" applyBorder="true" applyAlignment="true" applyProtection="tru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9" fontId="0" fillId="13" borderId="0" xfId="0" applyFont="false" applyBorder="false" applyAlignment="false" applyProtection="false">
      <alignment horizontal="general" vertical="bottom" textRotation="0" wrapText="false" indent="0" shrinkToFit="false"/>
      <protection locked="true" hidden="false"/>
    </xf>
    <xf numFmtId="169" fontId="15" fillId="13" borderId="0" xfId="15" applyFont="true" applyBorder="true" applyAlignment="true" applyProtection="true">
      <alignment horizontal="general" vertical="bottom" textRotation="0" wrapText="false" indent="0" shrinkToFit="false"/>
      <protection locked="true" hidden="false"/>
    </xf>
    <xf numFmtId="169" fontId="0" fillId="0" borderId="0" xfId="21" applyFont="true" applyBorder="true" applyAlignment="true" applyProtection="true">
      <alignment horizontal="general" vertical="bottom" textRotation="0" wrapText="false" indent="0" shrinkToFit="false"/>
      <protection locked="true" hidden="false"/>
    </xf>
    <xf numFmtId="164" fontId="4" fillId="2" borderId="0" xfId="23" applyFont="true" applyBorder="false" applyAlignment="false" applyProtection="false">
      <alignment horizontal="general" vertical="bottom" textRotation="0" wrapText="false" indent="0" shrinkToFit="false"/>
      <protection locked="true" hidden="false"/>
    </xf>
    <xf numFmtId="165" fontId="0" fillId="2" borderId="0" xfId="21" applyFont="true" applyBorder="true" applyAlignment="true" applyProtection="true">
      <alignment horizontal="general" vertical="bottom" textRotation="0" wrapText="false" indent="0" shrinkToFit="false"/>
      <protection locked="true" hidden="false"/>
    </xf>
    <xf numFmtId="169" fontId="0" fillId="2" borderId="0" xfId="21" applyFont="true" applyBorder="true" applyAlignment="true" applyProtection="true">
      <alignment horizontal="general" vertical="bottom" textRotation="0" wrapText="false" indent="0" shrinkToFit="false"/>
      <protection locked="true" hidden="false"/>
    </xf>
    <xf numFmtId="165" fontId="0" fillId="0" borderId="0" xfId="21" applyFont="true" applyBorder="true" applyAlignment="true" applyProtection="true">
      <alignment horizontal="general" vertical="bottom" textRotation="0" wrapText="false" indent="0" shrinkToFit="false"/>
      <protection locked="tru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64" fontId="4" fillId="0" borderId="0" xfId="23" applyFont="true" applyBorder="false" applyAlignment="true" applyProtection="false">
      <alignment horizontal="center" vertical="center" textRotation="0" wrapText="true" indent="0" shrinkToFit="false"/>
      <protection locked="true" hidden="false"/>
    </xf>
    <xf numFmtId="169" fontId="4" fillId="0" borderId="0" xfId="15" applyFont="true" applyBorder="true" applyAlignment="true" applyProtection="true">
      <alignment horizontal="general" vertical="bottom" textRotation="0" wrapText="false" indent="0" shrinkToFit="false"/>
      <protection locked="true" hidden="false"/>
    </xf>
    <xf numFmtId="169" fontId="4" fillId="2" borderId="0" xfId="15" applyFont="true" applyBorder="true" applyAlignment="true" applyProtection="true">
      <alignment horizontal="general" vertical="bottom" textRotation="0" wrapText="false" indent="0" shrinkToFit="false"/>
      <protection locked="true" hidden="false"/>
    </xf>
    <xf numFmtId="173" fontId="37" fillId="0" borderId="5" xfId="0" applyFont="true" applyBorder="true" applyAlignment="true" applyProtection="false">
      <alignment horizontal="general" vertical="center" textRotation="0" wrapText="true" indent="0" shrinkToFit="false"/>
      <protection locked="true" hidden="false"/>
    </xf>
    <xf numFmtId="166" fontId="4" fillId="0" borderId="0" xfId="19"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Millares 2" xfId="21"/>
    <cellStyle name="Millares 2 2" xfId="22"/>
    <cellStyle name="Normal 2" xfId="23"/>
    <cellStyle name="Normal 2 2" xfId="24"/>
    <cellStyle name="Porcentaje 2" xfId="25"/>
    <cellStyle name="subtitulos de las filas" xfId="26"/>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70C0"/>
      <rgbColor rgb="FFBFBFBF"/>
      <rgbColor rgb="FF808080"/>
      <rgbColor rgb="FF9999FF"/>
      <rgbColor rgb="FF993366"/>
      <rgbColor rgb="FFFFF2CC"/>
      <rgbColor rgb="FFCCF0EC"/>
      <rgbColor rgb="FF660066"/>
      <rgbColor rgb="FFFF8080"/>
      <rgbColor rgb="FF0563C1"/>
      <rgbColor rgb="FFBBBBBB"/>
      <rgbColor rgb="FF000080"/>
      <rgbColor rgb="FFFF00FF"/>
      <rgbColor rgb="FFFFFF00"/>
      <rgbColor rgb="FF00FFFF"/>
      <rgbColor rgb="FF800080"/>
      <rgbColor rgb="FF800000"/>
      <rgbColor rgb="FF1F4E78"/>
      <rgbColor rgb="FF0000FF"/>
      <rgbColor rgb="FF00B0F0"/>
      <rgbColor rgb="FFDDEBF7"/>
      <rgbColor rgb="FFE2EFDA"/>
      <rgbColor rgb="FFEEF4FB"/>
      <rgbColor rgb="FF99CCFF"/>
      <rgbColor rgb="FFFF99CC"/>
      <rgbColor rgb="FFCC99FF"/>
      <rgbColor rgb="FFFFCC99"/>
      <rgbColor rgb="FF4472C4"/>
      <rgbColor rgb="FF33CCCC"/>
      <rgbColor rgb="FF99CC00"/>
      <rgbColor rgb="FFFFCC00"/>
      <rgbColor rgb="FFFF9900"/>
      <rgbColor rgb="FFFF6600"/>
      <rgbColor rgb="FF595959"/>
      <rgbColor rgb="FF999999"/>
      <rgbColor rgb="FF002060"/>
      <rgbColor rgb="FF339966"/>
      <rgbColor rgb="FF111111"/>
      <rgbColor rgb="FF1B3F6B"/>
      <rgbColor rgb="FF993300"/>
      <rgbColor rgb="FF993366"/>
      <rgbColor rgb="FF1C267D"/>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externalLink" Target="externalLinks/externalLink1.xml"/><Relationship Id="rId16" Type="http://schemas.openxmlformats.org/officeDocument/2006/relationships/externalLink" Target="externalLinks/externalLink2.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0777557973403671"/>
          <c:y val="0.0830365814179346"/>
          <c:w val="0.922189251566106"/>
          <c:h val="0.730980899967627"/>
        </c:manualLayout>
      </c:layout>
      <c:lineChart>
        <c:grouping val="standard"/>
        <c:varyColors val="0"/>
        <c:ser>
          <c:idx val="0"/>
          <c:order val="0"/>
          <c:tx>
            <c:strRef>
              <c:f>Intereses!$V$2</c:f>
              <c:strCache>
                <c:ptCount val="1"/>
                <c:pt idx="0">
                  <c:v>Pasivo no corriente / KTA</c:v>
                </c:pt>
              </c:strCache>
            </c:strRef>
          </c:tx>
          <c:spPr>
            <a:solidFill>
              <a:srgbClr val="4472c4"/>
            </a:solidFill>
            <a:ln cap="rnd" w="28440">
              <a:solidFill>
                <a:srgbClr val="4472c4"/>
              </a:solidFill>
              <a:round/>
            </a:ln>
          </c:spPr>
          <c:marker>
            <c:symbol val="none"/>
          </c:marker>
          <c:dPt>
            <c:idx val="0"/>
            <c:marker>
              <c:symbol val="none"/>
            </c:marker>
          </c:dPt>
          <c:dPt>
            <c:idx val="3"/>
            <c:marker>
              <c:symbol val="none"/>
            </c:marker>
          </c:dPt>
          <c:dPt>
            <c:idx val="7"/>
            <c:marker>
              <c:symbol val="none"/>
            </c:marker>
          </c:dPt>
          <c:dPt>
            <c:idx val="14"/>
            <c:marker>
              <c:symbol val="none"/>
            </c:marker>
          </c:dPt>
          <c:dPt>
            <c:idx val="18"/>
            <c:marker>
              <c:symbol val="none"/>
            </c:marker>
          </c:dPt>
          <c:dLbls>
            <c:dLbl>
              <c:idx val="0"/>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3"/>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7"/>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14"/>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18"/>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Intereses!$A$8:$A$26</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strCache>
            </c:strRef>
          </c:cat>
          <c:val>
            <c:numRef>
              <c:f>Intereses!$V$8:$V$26</c:f>
              <c:numCache>
                <c:formatCode>General</c:formatCode>
                <c:ptCount val="19"/>
                <c:pt idx="0">
                  <c:v>0.465171517503448</c:v>
                </c:pt>
                <c:pt idx="1">
                  <c:v>0.345209209943658</c:v>
                </c:pt>
                <c:pt idx="2">
                  <c:v>0.2583454902059</c:v>
                </c:pt>
                <c:pt idx="3">
                  <c:v>0.294681059051769</c:v>
                </c:pt>
                <c:pt idx="4">
                  <c:v>0.260275840416043</c:v>
                </c:pt>
                <c:pt idx="5">
                  <c:v>0.240761338541412</c:v>
                </c:pt>
                <c:pt idx="6">
                  <c:v>0.272626590679606</c:v>
                </c:pt>
                <c:pt idx="7">
                  <c:v>0.260060915944361</c:v>
                </c:pt>
                <c:pt idx="8">
                  <c:v>0.195331274586576</c:v>
                </c:pt>
                <c:pt idx="9">
                  <c:v>0.240218903660603</c:v>
                </c:pt>
                <c:pt idx="10">
                  <c:v>0.250616374872843</c:v>
                </c:pt>
                <c:pt idx="11">
                  <c:v>0.226450435392596</c:v>
                </c:pt>
                <c:pt idx="12">
                  <c:v>0.244184549992247</c:v>
                </c:pt>
                <c:pt idx="13">
                  <c:v>0.227100478415445</c:v>
                </c:pt>
                <c:pt idx="14">
                  <c:v>0.242528928195817</c:v>
                </c:pt>
                <c:pt idx="15">
                  <c:v>0.207084679417669</c:v>
                </c:pt>
                <c:pt idx="16">
                  <c:v>0.199677354255983</c:v>
                </c:pt>
                <c:pt idx="17">
                  <c:v>0.196662659866959</c:v>
                </c:pt>
                <c:pt idx="18">
                  <c:v>0.183054519317911</c:v>
                </c:pt>
              </c:numCache>
            </c:numRef>
          </c:val>
          <c:smooth val="1"/>
        </c:ser>
        <c:ser>
          <c:idx val="1"/>
          <c:order val="1"/>
          <c:tx>
            <c:strRef>
              <c:f>Intereses!$S$2</c:f>
              <c:strCache>
                <c:ptCount val="1"/>
                <c:pt idx="0">
                  <c:v>% de los intereses respecto de la ganancia</c:v>
                </c:pt>
              </c:strCache>
            </c:strRef>
          </c:tx>
          <c:spPr>
            <a:solidFill>
              <a:srgbClr val="002060"/>
            </a:solidFill>
            <a:ln cap="rnd" w="28440">
              <a:solidFill>
                <a:srgbClr val="002060"/>
              </a:solidFill>
              <a:round/>
            </a:ln>
          </c:spPr>
          <c:marker>
            <c:symbol val="none"/>
          </c:marker>
          <c:dPt>
            <c:idx val="0"/>
            <c:marker>
              <c:symbol val="none"/>
            </c:marker>
          </c:dPt>
          <c:dPt>
            <c:idx val="4"/>
            <c:marker>
              <c:symbol val="none"/>
            </c:marker>
          </c:dPt>
          <c:dPt>
            <c:idx val="14"/>
            <c:marker>
              <c:symbol val="none"/>
            </c:marker>
          </c:dPt>
          <c:dPt>
            <c:idx val="18"/>
            <c:marker>
              <c:symbol val="none"/>
            </c:marker>
          </c:dPt>
          <c:dLbls>
            <c:dLbl>
              <c:idx val="0"/>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4"/>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14"/>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18"/>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txPr>
              <a:bodyPr wrap="square"/>
              <a:lstStyle/>
              <a:p>
                <a:pPr>
                  <a:defRPr b="1" sz="900" spc="-1" strike="noStrike">
                    <a:solidFill>
                      <a:srgbClr val="00206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Intereses!$A$8:$A$26</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strCache>
            </c:strRef>
          </c:cat>
          <c:val>
            <c:numRef>
              <c:f>Intereses!$S$8:$S$26</c:f>
              <c:numCache>
                <c:formatCode>0\ %</c:formatCode>
                <c:ptCount val="19"/>
                <c:pt idx="0">
                  <c:v>0.112043408306685</c:v>
                </c:pt>
                <c:pt idx="1">
                  <c:v>0.086674297226481</c:v>
                </c:pt>
                <c:pt idx="2">
                  <c:v>0.0724860379611416</c:v>
                </c:pt>
                <c:pt idx="3">
                  <c:v>0.11727677714511</c:v>
                </c:pt>
                <c:pt idx="4">
                  <c:v>0.0610758670804541</c:v>
                </c:pt>
                <c:pt idx="5">
                  <c:v>0.105344719918538</c:v>
                </c:pt>
                <c:pt idx="6">
                  <c:v>0.163954526111311</c:v>
                </c:pt>
                <c:pt idx="7">
                  <c:v>0.192200017123149</c:v>
                </c:pt>
                <c:pt idx="8">
                  <c:v>0.161210447818885</c:v>
                </c:pt>
                <c:pt idx="9">
                  <c:v>0.121498481544517</c:v>
                </c:pt>
                <c:pt idx="10">
                  <c:v>0.178856861160618</c:v>
                </c:pt>
                <c:pt idx="11">
                  <c:v>0.0660215251271736</c:v>
                </c:pt>
                <c:pt idx="12">
                  <c:v>0.0493628128109024</c:v>
                </c:pt>
                <c:pt idx="13">
                  <c:v>0.0763602712288229</c:v>
                </c:pt>
                <c:pt idx="14">
                  <c:v>0.0809974420182649</c:v>
                </c:pt>
                <c:pt idx="15">
                  <c:v>0.0346494675353939</c:v>
                </c:pt>
                <c:pt idx="16">
                  <c:v>0.0423927972365592</c:v>
                </c:pt>
                <c:pt idx="17">
                  <c:v>0.0872950606471968</c:v>
                </c:pt>
                <c:pt idx="18">
                  <c:v>0.0785543174640783</c:v>
                </c:pt>
              </c:numCache>
            </c:numRef>
          </c:val>
          <c:smooth val="1"/>
        </c:ser>
        <c:hiLowLines>
          <c:spPr>
            <a:ln w="0">
              <a:noFill/>
            </a:ln>
          </c:spPr>
        </c:hiLowLines>
        <c:marker val="0"/>
        <c:axId val="27650933"/>
        <c:axId val="95473593"/>
      </c:lineChart>
      <c:catAx>
        <c:axId val="27650933"/>
        <c:scaling>
          <c:orientation val="minMax"/>
        </c:scaling>
        <c:delete val="0"/>
        <c:axPos val="b"/>
        <c:numFmt formatCode="General" sourceLinked="0"/>
        <c:majorTickMark val="out"/>
        <c:minorTickMark val="none"/>
        <c:tickLblPos val="nextTo"/>
        <c:spPr>
          <a:ln w="9360">
            <a:noFill/>
          </a:ln>
        </c:spPr>
        <c:txPr>
          <a:bodyPr rot="-5400000"/>
          <a:lstStyle/>
          <a:p>
            <a:pPr>
              <a:defRPr b="0" sz="900" spc="-1" strike="noStrike">
                <a:solidFill>
                  <a:srgbClr val="595959"/>
                </a:solidFill>
                <a:latin typeface="Cambria"/>
                <a:ea typeface="Cambria"/>
              </a:defRPr>
            </a:pPr>
          </a:p>
        </c:txPr>
        <c:crossAx val="95473593"/>
        <c:crosses val="autoZero"/>
        <c:auto val="1"/>
        <c:lblAlgn val="ctr"/>
        <c:lblOffset val="100"/>
        <c:noMultiLvlLbl val="0"/>
      </c:catAx>
      <c:valAx>
        <c:axId val="95473593"/>
        <c:scaling>
          <c:orientation val="minMax"/>
          <c:min val="0.02"/>
        </c:scaling>
        <c:delete val="0"/>
        <c:axPos val="l"/>
        <c:numFmt formatCode="General" sourceLinked="0"/>
        <c:majorTickMark val="out"/>
        <c:minorTickMark val="none"/>
        <c:tickLblPos val="nextTo"/>
        <c:spPr>
          <a:ln w="6480">
            <a:noFill/>
          </a:ln>
        </c:spPr>
        <c:txPr>
          <a:bodyPr/>
          <a:lstStyle/>
          <a:p>
            <a:pPr>
              <a:defRPr b="0" sz="900" spc="-1" strike="noStrike">
                <a:solidFill>
                  <a:srgbClr val="ffffff"/>
                </a:solidFill>
                <a:latin typeface="Cambria"/>
                <a:ea typeface="Cambria"/>
              </a:defRPr>
            </a:pPr>
          </a:p>
        </c:txPr>
        <c:crossAx val="27650933"/>
        <c:crosses val="autoZero"/>
        <c:crossBetween val="between"/>
      </c:valAx>
      <c:spPr>
        <a:noFill/>
        <a:ln w="0">
          <a:noFill/>
        </a:ln>
      </c:spPr>
    </c:plotArea>
    <c:legend>
      <c:legendPos val="r"/>
      <c:layout>
        <c:manualLayout>
          <c:xMode val="edge"/>
          <c:yMode val="edge"/>
          <c:x val="0.314597926914765"/>
          <c:y val="0.0918371435550374"/>
          <c:w val="0.576498467492888"/>
          <c:h val="0.164728871820438"/>
        </c:manualLayout>
      </c:layout>
      <c:overlay val="0"/>
      <c:spPr>
        <a:noFill/>
        <a:ln w="0">
          <a:noFill/>
        </a:ln>
      </c:spPr>
      <c:txPr>
        <a:bodyPr/>
        <a:lstStyle/>
        <a:p>
          <a:pPr>
            <a:defRPr b="0" sz="900" spc="-1" strike="noStrike">
              <a:solidFill>
                <a:srgbClr val="595959"/>
              </a:solidFill>
              <a:latin typeface="Cambria"/>
              <a:ea typeface="Cambria"/>
            </a:defRPr>
          </a:pPr>
        </a:p>
      </c:txPr>
    </c:legend>
    <c:plotVisOnly val="1"/>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AR" sz="1400" spc="-1" strike="noStrike">
                <a:solidFill>
                  <a:srgbClr val="595959"/>
                </a:solidFill>
                <a:latin typeface="Cambria"/>
                <a:ea typeface="Cambria"/>
              </a:defRPr>
            </a:pPr>
            <a:r>
              <a:rPr b="1" lang="es-AR" sz="1400" spc="-1" strike="noStrike">
                <a:solidFill>
                  <a:srgbClr val="595959"/>
                </a:solidFill>
                <a:latin typeface="Cambria"/>
                <a:ea typeface="Cambria"/>
              </a:rPr>
              <a:t>Evolución del stock de capital y el endeudamiento industrial (2006 = 100)</a:t>
            </a:r>
          </a:p>
        </c:rich>
      </c:tx>
      <c:layout>
        <c:manualLayout>
          <c:xMode val="edge"/>
          <c:yMode val="edge"/>
          <c:x val="0.142213430047258"/>
          <c:y val="0"/>
        </c:manualLayout>
      </c:layout>
      <c:overlay val="0"/>
      <c:spPr>
        <a:noFill/>
        <a:ln w="0">
          <a:noFill/>
        </a:ln>
      </c:spPr>
    </c:title>
    <c:autoTitleDeleted val="0"/>
    <c:plotArea>
      <c:layout>
        <c:manualLayout>
          <c:layoutTarget val="inner"/>
          <c:xMode val="edge"/>
          <c:yMode val="edge"/>
          <c:x val="0.00587976700736345"/>
          <c:y val="0.284558109420524"/>
          <c:w val="0.935212660731949"/>
          <c:h val="0.514729685982519"/>
        </c:manualLayout>
      </c:layout>
      <c:lineChart>
        <c:grouping val="standard"/>
        <c:varyColors val="0"/>
        <c:ser>
          <c:idx val="0"/>
          <c:order val="0"/>
          <c:spPr>
            <a:solidFill>
              <a:srgbClr val="4472c4"/>
            </a:solidFill>
            <a:ln cap="rnd" w="28440">
              <a:solidFill>
                <a:srgbClr val="4472c4"/>
              </a:solidFill>
              <a:round/>
            </a:ln>
          </c:spPr>
          <c:marker>
            <c:symbol val="none"/>
          </c:marker>
          <c:dPt>
            <c:idx val="13"/>
            <c:marker>
              <c:symbol val="none"/>
            </c:marker>
          </c:dPt>
          <c:dPt>
            <c:idx val="23"/>
            <c:marker>
              <c:symbol val="none"/>
            </c:marker>
          </c:dPt>
          <c:dLbls>
            <c:dLbl>
              <c:idx val="13"/>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23"/>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Intereses!$A$3:$A$26</c:f>
              <c:strCach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strCache>
            </c:strRef>
          </c:cat>
          <c:val>
            <c:numRef>
              <c:f>Intereses!$W$3:$W$26</c:f>
              <c:numCache>
                <c:formatCode>General</c:formatCode>
                <c:ptCount val="24"/>
                <c:pt idx="5">
                  <c:v>100</c:v>
                </c:pt>
                <c:pt idx="6">
                  <c:v>111.593751173965</c:v>
                </c:pt>
                <c:pt idx="7">
                  <c:v>114.672414855164</c:v>
                </c:pt>
                <c:pt idx="8">
                  <c:v>107.054790947698</c:v>
                </c:pt>
                <c:pt idx="9">
                  <c:v>115.16014989478</c:v>
                </c:pt>
                <c:pt idx="10">
                  <c:v>131.788546496268</c:v>
                </c:pt>
                <c:pt idx="11">
                  <c:v>144.667397462015</c:v>
                </c:pt>
                <c:pt idx="12">
                  <c:v>149.659873521964</c:v>
                </c:pt>
                <c:pt idx="13">
                  <c:v>139.996492596511</c:v>
                </c:pt>
                <c:pt idx="14">
                  <c:v>152.713625805355</c:v>
                </c:pt>
                <c:pt idx="15">
                  <c:v>151.20074535523</c:v>
                </c:pt>
                <c:pt idx="16">
                  <c:v>138.708419680553</c:v>
                </c:pt>
                <c:pt idx="17">
                  <c:v>154.692546976842</c:v>
                </c:pt>
                <c:pt idx="18">
                  <c:v>139.879138369091</c:v>
                </c:pt>
                <c:pt idx="19">
                  <c:v>139.56749304744</c:v>
                </c:pt>
                <c:pt idx="20">
                  <c:v>143.430830012267</c:v>
                </c:pt>
                <c:pt idx="21">
                  <c:v>157.581113793961</c:v>
                </c:pt>
                <c:pt idx="22">
                  <c:v>166.792817718856</c:v>
                </c:pt>
                <c:pt idx="23">
                  <c:v>161.014015518888</c:v>
                </c:pt>
              </c:numCache>
            </c:numRef>
          </c:val>
          <c:smooth val="1"/>
        </c:ser>
        <c:ser>
          <c:idx val="1"/>
          <c:order val="1"/>
          <c:spPr>
            <a:solidFill>
              <a:srgbClr val="002060"/>
            </a:solidFill>
            <a:ln cap="rnd" w="28440">
              <a:solidFill>
                <a:srgbClr val="002060"/>
              </a:solidFill>
              <a:round/>
            </a:ln>
          </c:spPr>
          <c:marker>
            <c:symbol val="none"/>
          </c:marker>
          <c:dPt>
            <c:idx val="5"/>
            <c:marker>
              <c:symbol val="none"/>
            </c:marker>
          </c:dPt>
          <c:dPt>
            <c:idx val="7"/>
            <c:marker>
              <c:symbol val="none"/>
            </c:marker>
          </c:dPt>
          <c:dPt>
            <c:idx val="13"/>
            <c:marker>
              <c:symbol val="none"/>
            </c:marker>
          </c:dPt>
          <c:dPt>
            <c:idx val="23"/>
            <c:marker>
              <c:symbol val="none"/>
            </c:marker>
          </c:dPt>
          <c:dLbls>
            <c:dLbl>
              <c:idx val="5"/>
              <c:layout>
                <c:manualLayout>
                  <c:x val="-0.0800662831053403"/>
                  <c:y val="-0.0600609810129752"/>
                </c:manualLayout>
              </c:layout>
              <c:numFmt formatCode="#,##0.0" sourceLinked="0"/>
              <c:txPr>
                <a:bodyPr wrap="square"/>
                <a:lstStyle/>
                <a:p>
                  <a:pPr>
                    <a:defRPr b="1" sz="900" spc="-1" strike="noStrike">
                      <a:solidFill>
                        <a:srgbClr val="002060"/>
                      </a:solidFill>
                      <a:latin typeface="Cambria"/>
                    </a:defRPr>
                  </a:pPr>
                </a:p>
              </c:txPr>
              <c:dLblPos val="r"/>
              <c:showLegendKey val="0"/>
              <c:showVal val="1"/>
              <c:showCatName val="0"/>
              <c:showSerName val="0"/>
              <c:showPercent val="0"/>
              <c:separator>; </c:separator>
            </c:dLbl>
            <c:dLbl>
              <c:idx val="7"/>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13"/>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23"/>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txPr>
              <a:bodyPr wrap="square"/>
              <a:lstStyle/>
              <a:p>
                <a:pPr>
                  <a:defRPr b="1" sz="900" spc="-1" strike="noStrike">
                    <a:solidFill>
                      <a:srgbClr val="00206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Intereses!$A$3:$A$26</c:f>
              <c:strCach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strCache>
            </c:strRef>
          </c:cat>
          <c:val>
            <c:numRef>
              <c:f>Intereses!$X$3:$X$26</c:f>
              <c:numCache>
                <c:formatCode>General</c:formatCode>
                <c:ptCount val="24"/>
                <c:pt idx="0">
                  <c:v>89.8594146760421</c:v>
                </c:pt>
                <c:pt idx="2">
                  <c:v>71.3786862580939</c:v>
                </c:pt>
                <c:pt idx="3">
                  <c:v>74.100596916644</c:v>
                </c:pt>
                <c:pt idx="4">
                  <c:v>90.1458451095656</c:v>
                </c:pt>
                <c:pt idx="5">
                  <c:v>100</c:v>
                </c:pt>
                <c:pt idx="6">
                  <c:v>158.35076368672</c:v>
                </c:pt>
                <c:pt idx="7">
                  <c:v>216.96377381809</c:v>
                </c:pt>
                <c:pt idx="8">
                  <c:v>173.83465592976</c:v>
                </c:pt>
                <c:pt idx="9">
                  <c:v>209.312465978766</c:v>
                </c:pt>
                <c:pt idx="11">
                  <c:v>244.724052400994</c:v>
                </c:pt>
                <c:pt idx="12">
                  <c:v>267.818605119003</c:v>
                </c:pt>
                <c:pt idx="13">
                  <c:v>359.34067715437</c:v>
                </c:pt>
                <c:pt idx="14">
                  <c:v>320.13158124508</c:v>
                </c:pt>
                <c:pt idx="15">
                  <c:v>305.405506729624</c:v>
                </c:pt>
                <c:pt idx="16">
                  <c:v>308.22996820839</c:v>
                </c:pt>
                <c:pt idx="17">
                  <c:v>315.958550537848</c:v>
                </c:pt>
                <c:pt idx="18">
                  <c:v>308.926742742013</c:v>
                </c:pt>
                <c:pt idx="19">
                  <c:v>297.005973251939</c:v>
                </c:pt>
                <c:pt idx="20">
                  <c:v>364.52438487032</c:v>
                </c:pt>
                <c:pt idx="21">
                  <c:v>400.178533335815</c:v>
                </c:pt>
                <c:pt idx="22">
                  <c:v>437.845188963129</c:v>
                </c:pt>
                <c:pt idx="23">
                  <c:v>457.186392420461</c:v>
                </c:pt>
              </c:numCache>
            </c:numRef>
          </c:val>
          <c:smooth val="1"/>
        </c:ser>
        <c:hiLowLines>
          <c:spPr>
            <a:ln w="0">
              <a:noFill/>
            </a:ln>
          </c:spPr>
        </c:hiLowLines>
        <c:marker val="0"/>
        <c:axId val="89833424"/>
        <c:axId val="33748613"/>
      </c:lineChart>
      <c:catAx>
        <c:axId val="89833424"/>
        <c:scaling>
          <c:orientation val="minMax"/>
        </c:scaling>
        <c:delete val="0"/>
        <c:axPos val="b"/>
        <c:numFmt formatCode="General" sourceLinked="0"/>
        <c:majorTickMark val="out"/>
        <c:minorTickMark val="none"/>
        <c:tickLblPos val="nextTo"/>
        <c:spPr>
          <a:ln w="9360">
            <a:noFill/>
          </a:ln>
        </c:spPr>
        <c:txPr>
          <a:bodyPr rot="-5400000"/>
          <a:lstStyle/>
          <a:p>
            <a:pPr>
              <a:defRPr b="0" sz="900" spc="-1" strike="noStrike">
                <a:solidFill>
                  <a:srgbClr val="595959"/>
                </a:solidFill>
                <a:latin typeface="Cambria"/>
                <a:ea typeface="Cambria"/>
              </a:defRPr>
            </a:pPr>
          </a:p>
        </c:txPr>
        <c:crossAx val="33748613"/>
        <c:crosses val="autoZero"/>
        <c:auto val="1"/>
        <c:lblAlgn val="ctr"/>
        <c:lblOffset val="100"/>
        <c:noMultiLvlLbl val="0"/>
      </c:catAx>
      <c:valAx>
        <c:axId val="33748613"/>
        <c:scaling>
          <c:orientation val="minMax"/>
          <c:min val="0.1"/>
        </c:scaling>
        <c:delete val="0"/>
        <c:axPos val="l"/>
        <c:numFmt formatCode="General" sourceLinked="0"/>
        <c:majorTickMark val="out"/>
        <c:minorTickMark val="none"/>
        <c:tickLblPos val="nextTo"/>
        <c:spPr>
          <a:ln w="6480">
            <a:noFill/>
          </a:ln>
        </c:spPr>
        <c:txPr>
          <a:bodyPr/>
          <a:lstStyle/>
          <a:p>
            <a:pPr>
              <a:defRPr b="0" sz="900" spc="-1" strike="noStrike">
                <a:solidFill>
                  <a:srgbClr val="595959"/>
                </a:solidFill>
                <a:latin typeface="Cambria"/>
                <a:ea typeface="Cambria"/>
              </a:defRPr>
            </a:pPr>
          </a:p>
        </c:txPr>
        <c:crossAx val="89833424"/>
        <c:crosses val="autoZero"/>
        <c:crossBetween val="between"/>
      </c:valAx>
      <c:spPr>
        <a:noFill/>
        <a:ln w="0">
          <a:noFill/>
        </a:ln>
      </c:spPr>
    </c:plotArea>
    <c:plotVisOnly val="1"/>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AR" sz="1400" spc="-1" strike="noStrike">
                <a:solidFill>
                  <a:srgbClr val="002060"/>
                </a:solidFill>
                <a:latin typeface="Cambria"/>
                <a:ea typeface="Cambria"/>
              </a:defRPr>
            </a:pPr>
            <a:r>
              <a:rPr b="1" lang="es-AR" sz="1400" spc="-1" strike="noStrike">
                <a:solidFill>
                  <a:srgbClr val="002060"/>
                </a:solidFill>
                <a:latin typeface="Cambria"/>
                <a:ea typeface="Cambria"/>
              </a:rPr>
              <a:t>Ganancia desp de impuestos e intereses / Patrimonio Neto (Aprox)</a:t>
            </a:r>
          </a:p>
        </c:rich>
      </c:tx>
      <c:layout>
        <c:manualLayout>
          <c:xMode val="edge"/>
          <c:yMode val="edge"/>
          <c:x val="0.149579654206102"/>
          <c:y val="0"/>
        </c:manualLayout>
      </c:layout>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Pt>
            <c:idx val="0"/>
            <c:marker>
              <c:symbol val="none"/>
            </c:marker>
          </c:dPt>
          <c:dPt>
            <c:idx val="7"/>
            <c:marker>
              <c:symbol val="none"/>
            </c:marker>
          </c:dPt>
          <c:dPt>
            <c:idx val="13"/>
            <c:marker>
              <c:symbol val="none"/>
            </c:marker>
          </c:dPt>
          <c:dPt>
            <c:idx val="17"/>
            <c:marker>
              <c:symbol val="none"/>
            </c:marker>
          </c:dPt>
          <c:dLbls>
            <c:dLbl>
              <c:idx val="0"/>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7"/>
              <c:layout>
                <c:manualLayout>
                  <c:x val="-0.0750000000000001"/>
                  <c:y val="-0.0694444444444445"/>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3"/>
              <c:layout>
                <c:manualLayout>
                  <c:x val="-0.0750000000000001"/>
                  <c:y val="-0.0462962962962963"/>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7"/>
              <c:layout>
                <c:manualLayout>
                  <c:x val="0"/>
                  <c:y val="-0.0555555555555556"/>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Intereses!$A$9:$A$26</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Intereses!$Z$9:$Z$26</c:f>
              <c:numCache>
                <c:formatCode>0\ %</c:formatCode>
                <c:ptCount val="18"/>
                <c:pt idx="0">
                  <c:v>3.51234673955417</c:v>
                </c:pt>
                <c:pt idx="1">
                  <c:v>4.3357410028955</c:v>
                </c:pt>
                <c:pt idx="2">
                  <c:v>5.6600644481219</c:v>
                </c:pt>
                <c:pt idx="3">
                  <c:v>4.44723017395932</c:v>
                </c:pt>
                <c:pt idx="4">
                  <c:v>8.95168760965554</c:v>
                </c:pt>
                <c:pt idx="5">
                  <c:v>11.5367952298825</c:v>
                </c:pt>
                <c:pt idx="6">
                  <c:v>13.6889319548632</c:v>
                </c:pt>
                <c:pt idx="7">
                  <c:v>14.5786582570426</c:v>
                </c:pt>
                <c:pt idx="8">
                  <c:v>9.41650424190084</c:v>
                </c:pt>
                <c:pt idx="9">
                  <c:v>13.1368041396813</c:v>
                </c:pt>
                <c:pt idx="10">
                  <c:v>4.75392391138987</c:v>
                </c:pt>
                <c:pt idx="11">
                  <c:v>3.27374709682781</c:v>
                </c:pt>
                <c:pt idx="12">
                  <c:v>4.9553683744096</c:v>
                </c:pt>
                <c:pt idx="13">
                  <c:v>5.61842912189574</c:v>
                </c:pt>
                <c:pt idx="14">
                  <c:v>3.52845109388734</c:v>
                </c:pt>
                <c:pt idx="15">
                  <c:v>3.82472004792484</c:v>
                </c:pt>
                <c:pt idx="16">
                  <c:v>6.32979882400712</c:v>
                </c:pt>
                <c:pt idx="17">
                  <c:v>6.09354580297249</c:v>
                </c:pt>
              </c:numCache>
            </c:numRef>
          </c:val>
          <c:smooth val="1"/>
        </c:ser>
        <c:hiLowLines>
          <c:spPr>
            <a:ln w="0">
              <a:noFill/>
            </a:ln>
          </c:spPr>
        </c:hiLowLines>
        <c:marker val="0"/>
        <c:axId val="88687874"/>
        <c:axId val="74780475"/>
      </c:lineChart>
      <c:catAx>
        <c:axId val="88687874"/>
        <c:scaling>
          <c:orientation val="minMax"/>
        </c:scaling>
        <c:delete val="0"/>
        <c:axPos val="b"/>
        <c:numFmt formatCode="General" sourceLinked="0"/>
        <c:majorTickMark val="none"/>
        <c:minorTickMark val="none"/>
        <c:tickLblPos val="nextTo"/>
        <c:spPr>
          <a:ln w="9360">
            <a:noFill/>
          </a:ln>
        </c:spPr>
        <c:txPr>
          <a:bodyPr rot="-5400000"/>
          <a:lstStyle/>
          <a:p>
            <a:pPr>
              <a:defRPr b="0" sz="900" spc="-1" strike="noStrike">
                <a:solidFill>
                  <a:srgbClr val="595959"/>
                </a:solidFill>
                <a:latin typeface="Cambria"/>
                <a:ea typeface="Cambria"/>
              </a:defRPr>
            </a:pPr>
          </a:p>
        </c:txPr>
        <c:crossAx val="74780475"/>
        <c:crosses val="autoZero"/>
        <c:auto val="1"/>
        <c:lblAlgn val="ctr"/>
        <c:lblOffset val="100"/>
        <c:noMultiLvlLbl val="0"/>
      </c:catAx>
      <c:valAx>
        <c:axId val="74780475"/>
        <c:scaling>
          <c:orientation val="minMax"/>
        </c:scaling>
        <c:delete val="0"/>
        <c:axPos val="l"/>
        <c:numFmt formatCode="0%" sourceLinked="0"/>
        <c:majorTickMark val="none"/>
        <c:minorTickMark val="none"/>
        <c:tickLblPos val="nextTo"/>
        <c:spPr>
          <a:ln w="6480">
            <a:noFill/>
          </a:ln>
        </c:spPr>
        <c:txPr>
          <a:bodyPr/>
          <a:lstStyle/>
          <a:p>
            <a:pPr>
              <a:defRPr b="0" sz="900" spc="-1" strike="noStrike">
                <a:solidFill>
                  <a:srgbClr val="ffffff"/>
                </a:solidFill>
                <a:latin typeface="Cambria"/>
                <a:ea typeface="Cambria"/>
              </a:defRPr>
            </a:pPr>
          </a:p>
        </c:txPr>
        <c:crossAx val="88687874"/>
        <c:crosses val="autoZero"/>
        <c:crossBetween val="between"/>
      </c:valAx>
      <c:spPr>
        <a:noFill/>
        <a:ln w="0">
          <a:noFill/>
        </a:ln>
      </c:spPr>
    </c:plotArea>
    <c:plotVisOnly val="1"/>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AR" sz="1400" spc="-1" strike="noStrike">
                <a:solidFill>
                  <a:srgbClr val="002060"/>
                </a:solidFill>
                <a:latin typeface="Cambria"/>
                <a:ea typeface="Cambria"/>
              </a:defRPr>
            </a:pPr>
            <a:r>
              <a:rPr b="1" lang="es-AR" sz="1400" spc="-1" strike="noStrike">
                <a:solidFill>
                  <a:srgbClr val="002060"/>
                </a:solidFill>
                <a:latin typeface="Cambria"/>
                <a:ea typeface="Cambria"/>
              </a:rPr>
              <a:t>Tasa de ganancia capital propio desp de la inversión en capital fijo</a:t>
            </a:r>
          </a:p>
        </c:rich>
      </c:tx>
      <c:layout>
        <c:manualLayout>
          <c:xMode val="edge"/>
          <c:yMode val="edge"/>
          <c:x val="0.116216359118067"/>
          <c:y val="0.0139107611548556"/>
        </c:manualLayout>
      </c:layout>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Pt>
            <c:idx val="0"/>
            <c:marker>
              <c:symbol val="none"/>
            </c:marker>
          </c:dPt>
          <c:dPt>
            <c:idx val="4"/>
            <c:marker>
              <c:symbol val="none"/>
            </c:marker>
          </c:dPt>
          <c:dPt>
            <c:idx val="7"/>
            <c:marker>
              <c:symbol val="none"/>
            </c:marker>
          </c:dPt>
          <c:dPt>
            <c:idx val="11"/>
            <c:marker>
              <c:symbol val="none"/>
            </c:marker>
          </c:dPt>
          <c:dPt>
            <c:idx val="13"/>
            <c:marker>
              <c:symbol val="none"/>
            </c:marker>
          </c:dPt>
          <c:dPt>
            <c:idx val="17"/>
            <c:marker>
              <c:symbol val="none"/>
            </c:marker>
          </c:dPt>
          <c:dLbls>
            <c:dLbl>
              <c:idx val="0"/>
              <c:layout>
                <c:manualLayout>
                  <c:x val="-0.00555555555555558"/>
                  <c:y val="0.0416666666666667"/>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4"/>
              <c:numFmt formatCode="0%" sourceLinked="1"/>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7"/>
              <c:layout>
                <c:manualLayout>
                  <c:x val="-0.0861111111111111"/>
                  <c:y val="0.0555555555555554"/>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1"/>
              <c:numFmt formatCode="0%" sourceLinked="1"/>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13"/>
              <c:layout>
                <c:manualLayout>
                  <c:x val="-0.0555555555555556"/>
                  <c:y val="-0.0648148148148148"/>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7"/>
              <c:layout>
                <c:manualLayout>
                  <c:x val="0"/>
                  <c:y val="-0.0555555555555556"/>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Intereses!$A$9:$A$26</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Intereses!$AA$9:$AA$26</c:f>
              <c:numCache>
                <c:formatCode>0\ %</c:formatCode>
                <c:ptCount val="18"/>
                <c:pt idx="0">
                  <c:v>0.060268688198684</c:v>
                </c:pt>
                <c:pt idx="1">
                  <c:v>0.0681789233505645</c:v>
                </c:pt>
                <c:pt idx="2">
                  <c:v>0.0882456692579381</c:v>
                </c:pt>
                <c:pt idx="3">
                  <c:v>0.121332770397439</c:v>
                </c:pt>
                <c:pt idx="4">
                  <c:v>0.111710779420114</c:v>
                </c:pt>
                <c:pt idx="5">
                  <c:v>-0.0538018883732083</c:v>
                </c:pt>
                <c:pt idx="6">
                  <c:v>-0.138991478189272</c:v>
                </c:pt>
                <c:pt idx="7">
                  <c:v>-0.305972380381394</c:v>
                </c:pt>
                <c:pt idx="8">
                  <c:v>-0.0242556486743218</c:v>
                </c:pt>
                <c:pt idx="9">
                  <c:v>-0.00588078505155535</c:v>
                </c:pt>
                <c:pt idx="10">
                  <c:v>0.129741537519277</c:v>
                </c:pt>
                <c:pt idx="11">
                  <c:v>0.212143286917281</c:v>
                </c:pt>
                <c:pt idx="12">
                  <c:v>0.0842295109505865</c:v>
                </c:pt>
                <c:pt idx="13">
                  <c:v>0.0343404135195279</c:v>
                </c:pt>
                <c:pt idx="14">
                  <c:v>0.058018617106413</c:v>
                </c:pt>
                <c:pt idx="15">
                  <c:v>0.0898542371233658</c:v>
                </c:pt>
                <c:pt idx="16">
                  <c:v>0.0204271805039126</c:v>
                </c:pt>
                <c:pt idx="17">
                  <c:v>0.066795853588571</c:v>
                </c:pt>
              </c:numCache>
            </c:numRef>
          </c:val>
          <c:smooth val="1"/>
        </c:ser>
        <c:ser>
          <c:idx val="1"/>
          <c:order val="1"/>
          <c:tx>
            <c:strRef>
              <c:f>"Promedio"</c:f>
              <c:strCache>
                <c:ptCount val="1"/>
                <c:pt idx="0">
                  <c:v>Promedio</c:v>
                </c:pt>
              </c:strCache>
            </c:strRef>
          </c:tx>
          <c:spPr>
            <a:solidFill>
              <a:srgbClr val="808080"/>
            </a:solidFill>
            <a:ln cap="rnd" w="19080">
              <a:solidFill>
                <a:srgbClr val="808080"/>
              </a:solidFill>
              <a:prstDash val="lgDash"/>
              <a:round/>
            </a:ln>
          </c:spPr>
          <c:marker>
            <c:symbol val="none"/>
          </c:marker>
          <c:dPt>
            <c:idx val="0"/>
            <c:marker>
              <c:symbol val="none"/>
            </c:marker>
          </c:dPt>
          <c:dPt>
            <c:idx val="7"/>
            <c:marker>
              <c:symbol val="none"/>
            </c:marker>
          </c:dPt>
          <c:dLbls>
            <c:dLbl>
              <c:idx val="0"/>
              <c:numFmt formatCode="0%" sourceLinked="1"/>
              <c:txPr>
                <a:bodyPr wrap="square"/>
                <a:lstStyle/>
                <a:p>
                  <a:pPr>
                    <a:defRPr b="0" sz="900" spc="-1" strike="noStrike">
                      <a:solidFill>
                        <a:srgbClr val="404040"/>
                      </a:solidFill>
                      <a:latin typeface="Cambria"/>
                    </a:defRPr>
                  </a:pPr>
                </a:p>
              </c:txPr>
              <c:dLblPos val="t"/>
              <c:showLegendKey val="0"/>
              <c:showVal val="1"/>
              <c:showCatName val="0"/>
              <c:showSerName val="0"/>
              <c:showPercent val="0"/>
              <c:separator>; </c:separator>
            </c:dLbl>
            <c:dLbl>
              <c:idx val="7"/>
              <c:numFmt formatCode="0%" sourceLinked="1"/>
              <c:txPr>
                <a:bodyPr wrap="square"/>
                <a:lstStyle/>
                <a:p>
                  <a:pPr>
                    <a:defRPr b="0" sz="900" spc="-1" strike="noStrike">
                      <a:solidFill>
                        <a:srgbClr val="404040"/>
                      </a:solidFill>
                      <a:latin typeface="Cambria"/>
                    </a:defRPr>
                  </a:pPr>
                </a:p>
              </c:txPr>
              <c:dLblPos val="t"/>
              <c:showLegendKey val="0"/>
              <c:showVal val="1"/>
              <c:showCatName val="0"/>
              <c:showSerName val="0"/>
              <c:showPercent val="0"/>
              <c:separator>; </c:separator>
            </c:dLbl>
            <c:txPr>
              <a:bodyPr wrap="square"/>
              <a:lstStyle/>
              <a:p>
                <a:pPr>
                  <a:defRPr b="0" sz="900" spc="-1" strike="noStrike">
                    <a:solidFill>
                      <a:srgbClr val="40404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Intereses!$A$9:$A$26</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Intereses!$AC$9:$AC$26</c:f>
              <c:numCache>
                <c:formatCode>0\ %</c:formatCode>
                <c:ptCount val="18"/>
                <c:pt idx="0">
                  <c:v>0.0342436270657735</c:v>
                </c:pt>
                <c:pt idx="1">
                  <c:v>0.0342436270657735</c:v>
                </c:pt>
                <c:pt idx="2">
                  <c:v>0.0342436270657735</c:v>
                </c:pt>
                <c:pt idx="3">
                  <c:v>0.0342436270657735</c:v>
                </c:pt>
                <c:pt idx="4">
                  <c:v>0.0342436270657735</c:v>
                </c:pt>
                <c:pt idx="5">
                  <c:v>0.0342436270657735</c:v>
                </c:pt>
                <c:pt idx="6">
                  <c:v>0.0342436270657735</c:v>
                </c:pt>
                <c:pt idx="7">
                  <c:v>0.0342436270657735</c:v>
                </c:pt>
                <c:pt idx="8">
                  <c:v>0.0342436270657735</c:v>
                </c:pt>
                <c:pt idx="9">
                  <c:v>0.0342436270657735</c:v>
                </c:pt>
                <c:pt idx="10">
                  <c:v>0.0342436270657735</c:v>
                </c:pt>
                <c:pt idx="11">
                  <c:v>0.0342436270657735</c:v>
                </c:pt>
                <c:pt idx="12">
                  <c:v>0.0342436270657735</c:v>
                </c:pt>
                <c:pt idx="13">
                  <c:v>0.0342436270657735</c:v>
                </c:pt>
                <c:pt idx="14">
                  <c:v>0.0342436270657735</c:v>
                </c:pt>
                <c:pt idx="15">
                  <c:v>0.0342436270657735</c:v>
                </c:pt>
                <c:pt idx="16">
                  <c:v>0.0342436270657735</c:v>
                </c:pt>
                <c:pt idx="17">
                  <c:v>0.0342436270657735</c:v>
                </c:pt>
              </c:numCache>
            </c:numRef>
          </c:val>
          <c:smooth val="1"/>
        </c:ser>
        <c:hiLowLines>
          <c:spPr>
            <a:ln w="0">
              <a:noFill/>
            </a:ln>
          </c:spPr>
        </c:hiLowLines>
        <c:marker val="0"/>
        <c:axId val="80164933"/>
        <c:axId val="19286780"/>
      </c:lineChart>
      <c:catAx>
        <c:axId val="80164933"/>
        <c:scaling>
          <c:orientation val="minMax"/>
        </c:scaling>
        <c:delete val="0"/>
        <c:axPos val="b"/>
        <c:numFmt formatCode="General" sourceLinked="0"/>
        <c:majorTickMark val="none"/>
        <c:minorTickMark val="none"/>
        <c:tickLblPos val="nextTo"/>
        <c:spPr>
          <a:ln w="9360">
            <a:noFill/>
          </a:ln>
        </c:spPr>
        <c:txPr>
          <a:bodyPr rot="-5400000"/>
          <a:lstStyle/>
          <a:p>
            <a:pPr>
              <a:defRPr b="0" sz="900" spc="-1" strike="noStrike">
                <a:solidFill>
                  <a:srgbClr val="595959"/>
                </a:solidFill>
                <a:latin typeface="Cambria"/>
                <a:ea typeface="Cambria"/>
              </a:defRPr>
            </a:pPr>
          </a:p>
        </c:txPr>
        <c:crossAx val="19286780"/>
        <c:crosses val="autoZero"/>
        <c:auto val="1"/>
        <c:lblAlgn val="ctr"/>
        <c:lblOffset val="100"/>
        <c:noMultiLvlLbl val="0"/>
      </c:catAx>
      <c:valAx>
        <c:axId val="19286780"/>
        <c:scaling>
          <c:orientation val="minMax"/>
        </c:scaling>
        <c:delete val="0"/>
        <c:axPos val="l"/>
        <c:numFmt formatCode="0%" sourceLinked="0"/>
        <c:majorTickMark val="none"/>
        <c:minorTickMark val="none"/>
        <c:tickLblPos val="nextTo"/>
        <c:spPr>
          <a:ln w="6480">
            <a:noFill/>
          </a:ln>
        </c:spPr>
        <c:txPr>
          <a:bodyPr/>
          <a:lstStyle/>
          <a:p>
            <a:pPr>
              <a:defRPr b="0" sz="900" spc="-1" strike="noStrike">
                <a:solidFill>
                  <a:srgbClr val="ffffff"/>
                </a:solidFill>
                <a:latin typeface="Cambria"/>
                <a:ea typeface="Cambria"/>
              </a:defRPr>
            </a:pPr>
          </a:p>
        </c:txPr>
        <c:crossAx val="80164933"/>
        <c:crosses val="autoZero"/>
        <c:crossBetween val="between"/>
      </c:valAx>
      <c:spPr>
        <a:noFill/>
        <a:ln w="0">
          <a:noFill/>
        </a:ln>
      </c:spPr>
    </c:plotArea>
    <c:legend>
      <c:legendPos val="r"/>
      <c:legendEntry>
        <c:idx val="0"/>
        <c:delete val="1"/>
      </c:legendEntry>
      <c:layout>
        <c:manualLayout>
          <c:xMode val="edge"/>
          <c:yMode val="edge"/>
          <c:x val="0.0894024496937883"/>
          <c:y val="0.187363662875474"/>
          <c:w val="0.209027996500437"/>
          <c:h val="0.0761315252260134"/>
        </c:manualLayout>
      </c:layout>
      <c:overlay val="0"/>
      <c:spPr>
        <a:noFill/>
        <a:ln w="0">
          <a:noFill/>
        </a:ln>
      </c:spPr>
      <c:txPr>
        <a:bodyPr/>
        <a:lstStyle/>
        <a:p>
          <a:pPr>
            <a:defRPr b="0" sz="900" spc="-1" strike="noStrike">
              <a:solidFill>
                <a:srgbClr val="595959"/>
              </a:solidFill>
              <a:latin typeface="Cambria"/>
              <a:ea typeface="Cambria"/>
            </a:defRPr>
          </a:pPr>
        </a:p>
      </c:txPr>
    </c:legend>
    <c:plotVisOnly val="1"/>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AR" sz="1400" spc="-1" strike="noStrike">
                <a:solidFill>
                  <a:srgbClr val="002060"/>
                </a:solidFill>
                <a:latin typeface="Cambria"/>
                <a:ea typeface="Cambria"/>
              </a:defRPr>
            </a:pPr>
            <a:r>
              <a:rPr b="1" lang="es-AR" sz="1400" spc="-1" strike="noStrike">
                <a:solidFill>
                  <a:srgbClr val="002060"/>
                </a:solidFill>
                <a:latin typeface="Cambria"/>
                <a:ea typeface="Cambria"/>
              </a:rPr>
              <a:t>Tasas de ganancia</a:t>
            </a:r>
          </a:p>
        </c:rich>
      </c:tx>
      <c:layout>
        <c:manualLayout>
          <c:xMode val="edge"/>
          <c:yMode val="edge"/>
          <c:x val="0.391212393591709"/>
          <c:y val="0.0140419947506562"/>
        </c:manualLayout>
      </c:layout>
      <c:overlay val="0"/>
      <c:spPr>
        <a:noFill/>
        <a:ln w="0">
          <a:noFill/>
        </a:ln>
      </c:spPr>
    </c:title>
    <c:autoTitleDeleted val="0"/>
    <c:plotArea>
      <c:layout>
        <c:manualLayout>
          <c:layoutTarget val="inner"/>
          <c:xMode val="edge"/>
          <c:yMode val="edge"/>
          <c:x val="0.098873790514461"/>
          <c:y val="0.237926509186352"/>
          <c:w val="0.800930576851901"/>
          <c:h val="0.712335958005249"/>
        </c:manualLayout>
      </c:layout>
      <c:lineChart>
        <c:grouping val="standard"/>
        <c:varyColors val="0"/>
        <c:ser>
          <c:idx val="0"/>
          <c:order val="0"/>
          <c:tx>
            <c:strRef>
              <c:f>Intereses!$AA$2</c:f>
              <c:strCache>
                <c:ptCount val="1"/>
                <c:pt idx="0">
                  <c:v>Tasa de ganancia capital propio desp de FBCF</c:v>
                </c:pt>
              </c:strCache>
            </c:strRef>
          </c:tx>
          <c:spPr>
            <a:solidFill>
              <a:srgbClr val="4472c4"/>
            </a:solidFill>
            <a:ln cap="rnd" w="28440">
              <a:solidFill>
                <a:srgbClr val="4472c4"/>
              </a:solidFill>
              <a:round/>
            </a:ln>
          </c:spPr>
          <c:marker>
            <c:symbol val="none"/>
          </c:marker>
          <c:dPt>
            <c:idx val="0"/>
            <c:marker>
              <c:symbol val="none"/>
            </c:marker>
          </c:dPt>
          <c:dPt>
            <c:idx val="4"/>
            <c:marker>
              <c:symbol val="none"/>
            </c:marker>
          </c:dPt>
          <c:dPt>
            <c:idx val="7"/>
            <c:marker>
              <c:symbol val="none"/>
            </c:marker>
          </c:dPt>
          <c:dPt>
            <c:idx val="11"/>
            <c:marker>
              <c:symbol val="none"/>
            </c:marker>
          </c:dPt>
          <c:dPt>
            <c:idx val="13"/>
            <c:marker>
              <c:symbol val="none"/>
            </c:marker>
          </c:dPt>
          <c:dPt>
            <c:idx val="17"/>
            <c:marker>
              <c:symbol val="none"/>
            </c:marker>
          </c:dPt>
          <c:dLbls>
            <c:dLbl>
              <c:idx val="0"/>
              <c:layout>
                <c:manualLayout>
                  <c:x val="-0.00555555555555558"/>
                  <c:y val="0.0416666666666667"/>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4"/>
              <c:numFmt formatCode="0%" sourceLinked="1"/>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7"/>
              <c:layout>
                <c:manualLayout>
                  <c:x val="-0.0861111111111111"/>
                  <c:y val="0.0555555555555554"/>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1"/>
              <c:numFmt formatCode="0%" sourceLinked="1"/>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13"/>
              <c:layout>
                <c:manualLayout>
                  <c:x val="-0.0555555555555556"/>
                  <c:y val="-0.0648148148148148"/>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7"/>
              <c:layout>
                <c:manualLayout>
                  <c:x val="0"/>
                  <c:y val="-0.0555555555555556"/>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Intereses!$A$9:$A$26</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Intereses!$AA$9:$AA$26</c:f>
              <c:numCache>
                <c:formatCode>0\ %</c:formatCode>
                <c:ptCount val="18"/>
                <c:pt idx="0">
                  <c:v>0.060268688198684</c:v>
                </c:pt>
                <c:pt idx="1">
                  <c:v>0.0681789233505645</c:v>
                </c:pt>
                <c:pt idx="2">
                  <c:v>0.0882456692579381</c:v>
                </c:pt>
                <c:pt idx="3">
                  <c:v>0.121332770397439</c:v>
                </c:pt>
                <c:pt idx="4">
                  <c:v>0.111710779420114</c:v>
                </c:pt>
                <c:pt idx="5">
                  <c:v>-0.0538018883732083</c:v>
                </c:pt>
                <c:pt idx="6">
                  <c:v>-0.138991478189272</c:v>
                </c:pt>
                <c:pt idx="7">
                  <c:v>-0.305972380381394</c:v>
                </c:pt>
                <c:pt idx="8">
                  <c:v>-0.0242556486743218</c:v>
                </c:pt>
                <c:pt idx="9">
                  <c:v>-0.00588078505155535</c:v>
                </c:pt>
                <c:pt idx="10">
                  <c:v>0.129741537519277</c:v>
                </c:pt>
                <c:pt idx="11">
                  <c:v>0.212143286917281</c:v>
                </c:pt>
                <c:pt idx="12">
                  <c:v>0.0842295109505865</c:v>
                </c:pt>
                <c:pt idx="13">
                  <c:v>0.0343404135195279</c:v>
                </c:pt>
                <c:pt idx="14">
                  <c:v>0.058018617106413</c:v>
                </c:pt>
                <c:pt idx="15">
                  <c:v>0.0898542371233658</c:v>
                </c:pt>
                <c:pt idx="16">
                  <c:v>0.0204271805039126</c:v>
                </c:pt>
                <c:pt idx="17">
                  <c:v>0.066795853588571</c:v>
                </c:pt>
              </c:numCache>
            </c:numRef>
          </c:val>
          <c:smooth val="1"/>
        </c:ser>
        <c:ser>
          <c:idx val="1"/>
          <c:order val="1"/>
          <c:tx>
            <c:strRef>
              <c:f>Intereses!$Y$2</c:f>
              <c:strCache>
                <c:ptCount val="1"/>
                <c:pt idx="0">
                  <c:v>Tasa de ganancia manuf</c:v>
                </c:pt>
              </c:strCache>
            </c:strRef>
          </c:tx>
          <c:spPr>
            <a:solidFill>
              <a:srgbClr val="002060">
                <a:alpha val="97000"/>
              </a:srgbClr>
            </a:solidFill>
            <a:ln cap="rnd" w="28440">
              <a:solidFill>
                <a:srgbClr val="002060">
                  <a:alpha val="97000"/>
                </a:srgbClr>
              </a:solidFill>
              <a:round/>
            </a:ln>
          </c:spPr>
          <c:marker>
            <c:symbol val="none"/>
          </c:marker>
          <c:dPt>
            <c:idx val="0"/>
            <c:marker>
              <c:symbol val="none"/>
            </c:marker>
          </c:dPt>
          <c:dPt>
            <c:idx val="7"/>
            <c:marker>
              <c:symbol val="none"/>
            </c:marker>
          </c:dPt>
          <c:dLbls>
            <c:dLbl>
              <c:idx val="0"/>
              <c:numFmt formatCode="0.0%" sourceLinked="1"/>
              <c:txPr>
                <a:bodyPr wrap="square"/>
                <a:lstStyle/>
                <a:p>
                  <a:pPr>
                    <a:defRPr b="0" sz="900" spc="-1" strike="noStrike">
                      <a:solidFill>
                        <a:srgbClr val="404040"/>
                      </a:solidFill>
                      <a:latin typeface="Cambria"/>
                    </a:defRPr>
                  </a:pPr>
                </a:p>
              </c:txPr>
              <c:dLblPos val="t"/>
              <c:showLegendKey val="0"/>
              <c:showVal val="1"/>
              <c:showCatName val="0"/>
              <c:showSerName val="0"/>
              <c:showPercent val="0"/>
              <c:separator>; </c:separator>
            </c:dLbl>
            <c:dLbl>
              <c:idx val="7"/>
              <c:numFmt formatCode="0.0%" sourceLinked="1"/>
              <c:txPr>
                <a:bodyPr wrap="square"/>
                <a:lstStyle/>
                <a:p>
                  <a:pPr>
                    <a:defRPr b="0" sz="900" spc="-1" strike="noStrike">
                      <a:solidFill>
                        <a:srgbClr val="404040"/>
                      </a:solidFill>
                      <a:latin typeface="Cambria"/>
                    </a:defRPr>
                  </a:pPr>
                </a:p>
              </c:txPr>
              <c:dLblPos val="t"/>
              <c:showLegendKey val="0"/>
              <c:showVal val="1"/>
              <c:showCatName val="0"/>
              <c:showSerName val="0"/>
              <c:showPercent val="0"/>
              <c:separator>; </c:separator>
            </c:dLbl>
            <c:txPr>
              <a:bodyPr wrap="square"/>
              <a:lstStyle/>
              <a:p>
                <a:pPr>
                  <a:defRPr b="0" sz="900" spc="-1" strike="noStrike">
                    <a:solidFill>
                      <a:srgbClr val="40404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Intereses!$A$9:$A$26</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Intereses!$Y$9:$Y$26</c:f>
              <c:numCache>
                <c:formatCode>0.0%</c:formatCode>
                <c:ptCount val="18"/>
                <c:pt idx="0">
                  <c:v>0.204117151732383</c:v>
                </c:pt>
                <c:pt idx="1">
                  <c:v>0.184424177169884</c:v>
                </c:pt>
                <c:pt idx="2">
                  <c:v>0.141169090980122</c:v>
                </c:pt>
                <c:pt idx="3">
                  <c:v>0.17715348229995</c:v>
                </c:pt>
                <c:pt idx="4">
                  <c:v>0.0948020366343788</c:v>
                </c:pt>
                <c:pt idx="5">
                  <c:v>0.0754123259713624</c:v>
                </c:pt>
                <c:pt idx="6">
                  <c:v>0.0669148584050844</c:v>
                </c:pt>
                <c:pt idx="7">
                  <c:v>0.0658031303639842</c:v>
                </c:pt>
                <c:pt idx="8">
                  <c:v>0.0918451570390849</c:v>
                </c:pt>
                <c:pt idx="9">
                  <c:v>0.0694697291536507</c:v>
                </c:pt>
                <c:pt idx="10">
                  <c:v>0.174220418387144</c:v>
                </c:pt>
                <c:pt idx="11">
                  <c:v>0.242859915687705</c:v>
                </c:pt>
                <c:pt idx="12">
                  <c:v>0.168866883581007</c:v>
                </c:pt>
                <c:pt idx="13">
                  <c:v>0.146701456224925</c:v>
                </c:pt>
                <c:pt idx="14">
                  <c:v>0.2327864334912</c:v>
                </c:pt>
                <c:pt idx="15">
                  <c:v>0.21851338737518</c:v>
                </c:pt>
                <c:pt idx="16">
                  <c:v>0.139052130014641</c:v>
                </c:pt>
                <c:pt idx="17">
                  <c:v>0.145496737517696</c:v>
                </c:pt>
              </c:numCache>
            </c:numRef>
          </c:val>
          <c:smooth val="1"/>
        </c:ser>
        <c:hiLowLines>
          <c:spPr>
            <a:ln w="0">
              <a:noFill/>
            </a:ln>
          </c:spPr>
        </c:hiLowLines>
        <c:marker val="0"/>
        <c:axId val="38137209"/>
        <c:axId val="53596622"/>
      </c:lineChart>
      <c:catAx>
        <c:axId val="38137209"/>
        <c:scaling>
          <c:orientation val="minMax"/>
        </c:scaling>
        <c:delete val="0"/>
        <c:axPos val="b"/>
        <c:numFmt formatCode="General" sourceLinked="0"/>
        <c:majorTickMark val="none"/>
        <c:minorTickMark val="none"/>
        <c:tickLblPos val="nextTo"/>
        <c:spPr>
          <a:ln w="9360">
            <a:noFill/>
          </a:ln>
        </c:spPr>
        <c:txPr>
          <a:bodyPr rot="-5400000"/>
          <a:lstStyle/>
          <a:p>
            <a:pPr>
              <a:defRPr b="0" sz="900" spc="-1" strike="noStrike">
                <a:solidFill>
                  <a:srgbClr val="595959"/>
                </a:solidFill>
                <a:latin typeface="Cambria"/>
                <a:ea typeface="Cambria"/>
              </a:defRPr>
            </a:pPr>
          </a:p>
        </c:txPr>
        <c:crossAx val="53596622"/>
        <c:crosses val="autoZero"/>
        <c:auto val="1"/>
        <c:lblAlgn val="ctr"/>
        <c:lblOffset val="100"/>
        <c:noMultiLvlLbl val="0"/>
      </c:catAx>
      <c:valAx>
        <c:axId val="53596622"/>
        <c:scaling>
          <c:orientation val="minMax"/>
        </c:scaling>
        <c:delete val="0"/>
        <c:axPos val="l"/>
        <c:numFmt formatCode="0%" sourceLinked="0"/>
        <c:majorTickMark val="none"/>
        <c:minorTickMark val="none"/>
        <c:tickLblPos val="nextTo"/>
        <c:spPr>
          <a:ln w="6480">
            <a:noFill/>
          </a:ln>
        </c:spPr>
        <c:txPr>
          <a:bodyPr/>
          <a:lstStyle/>
          <a:p>
            <a:pPr>
              <a:defRPr b="0" sz="900" spc="-1" strike="noStrike">
                <a:solidFill>
                  <a:srgbClr val="ffffff"/>
                </a:solidFill>
                <a:latin typeface="Cambria"/>
                <a:ea typeface="Cambria"/>
              </a:defRPr>
            </a:pPr>
          </a:p>
        </c:txPr>
        <c:crossAx val="38137209"/>
        <c:crosses val="autoZero"/>
        <c:crossBetween val="between"/>
      </c:valAx>
      <c:spPr>
        <a:noFill/>
        <a:ln w="0">
          <a:noFill/>
        </a:ln>
      </c:spPr>
    </c:plotArea>
    <c:legend>
      <c:legendPos val="r"/>
      <c:layout>
        <c:manualLayout>
          <c:xMode val="edge"/>
          <c:yMode val="edge"/>
          <c:x val="0.0361111111111111"/>
          <c:y val="0.0712552316095623"/>
          <c:w val="0.463888888888889"/>
          <c:h val="0.224223593672413"/>
        </c:manualLayout>
      </c:layout>
      <c:overlay val="0"/>
      <c:spPr>
        <a:noFill/>
        <a:ln w="0">
          <a:noFill/>
        </a:ln>
      </c:spPr>
      <c:txPr>
        <a:bodyPr/>
        <a:lstStyle/>
        <a:p>
          <a:pPr>
            <a:defRPr b="0" sz="900" spc="-1" strike="noStrike">
              <a:solidFill>
                <a:srgbClr val="595959"/>
              </a:solidFill>
              <a:latin typeface="Cambria"/>
              <a:ea typeface="Cambria"/>
            </a:defRPr>
          </a:pPr>
        </a:p>
      </c:txPr>
    </c:legend>
    <c:plotVisOnly val="1"/>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AR" sz="1400" spc="-1" strike="noStrike">
                <a:solidFill>
                  <a:srgbClr val="002060"/>
                </a:solidFill>
                <a:latin typeface="Cambria"/>
                <a:ea typeface="Cambria"/>
              </a:defRPr>
            </a:pPr>
            <a:r>
              <a:rPr b="1" lang="es-AR" sz="1400" spc="-1" strike="noStrike">
                <a:solidFill>
                  <a:srgbClr val="002060"/>
                </a:solidFill>
                <a:latin typeface="Cambria"/>
                <a:ea typeface="Cambria"/>
              </a:rPr>
              <a:t>Tasas de ganancia</a:t>
            </a:r>
          </a:p>
        </c:rich>
      </c:tx>
      <c:layout>
        <c:manualLayout>
          <c:xMode val="edge"/>
          <c:yMode val="edge"/>
          <c:x val="0.377306614497964"/>
          <c:y val="0.000131250820317627"/>
        </c:manualLayout>
      </c:layout>
      <c:overlay val="0"/>
      <c:spPr>
        <a:noFill/>
        <a:ln w="0">
          <a:noFill/>
        </a:ln>
      </c:spPr>
    </c:title>
    <c:autoTitleDeleted val="0"/>
    <c:plotArea>
      <c:layout>
        <c:manualLayout>
          <c:layoutTarget val="inner"/>
          <c:xMode val="edge"/>
          <c:yMode val="edge"/>
          <c:x val="0.109501401152646"/>
          <c:y val="0.326158288489303"/>
          <c:w val="0.862475545920795"/>
          <c:h val="0.528940805880037"/>
        </c:manualLayout>
      </c:layout>
      <c:lineChart>
        <c:grouping val="standard"/>
        <c:varyColors val="0"/>
        <c:ser>
          <c:idx val="0"/>
          <c:order val="0"/>
          <c:tx>
            <c:strRef>
              <c:f>Intereses!$Y$2</c:f>
              <c:strCache>
                <c:ptCount val="1"/>
                <c:pt idx="0">
                  <c:v>Tasa de ganancia manuf</c:v>
                </c:pt>
              </c:strCache>
            </c:strRef>
          </c:tx>
          <c:spPr>
            <a:solidFill>
              <a:srgbClr val="4472c4"/>
            </a:solidFill>
            <a:ln cap="rnd" w="28440">
              <a:solidFill>
                <a:srgbClr val="4472c4"/>
              </a:solidFill>
              <a:round/>
            </a:ln>
          </c:spPr>
          <c:marker>
            <c:symbol val="none"/>
          </c:marker>
          <c:dPt>
            <c:idx val="0"/>
            <c:marker>
              <c:symbol val="none"/>
            </c:marker>
          </c:dPt>
          <c:dPt>
            <c:idx val="7"/>
            <c:marker>
              <c:symbol val="none"/>
            </c:marker>
          </c:dPt>
          <c:dPt>
            <c:idx val="13"/>
            <c:marker>
              <c:symbol val="none"/>
            </c:marker>
          </c:dPt>
          <c:dPt>
            <c:idx val="17"/>
            <c:marker>
              <c:symbol val="none"/>
            </c:marker>
          </c:dPt>
          <c:dLbls>
            <c:dLbl>
              <c:idx val="0"/>
              <c:numFmt formatCode="0.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7"/>
              <c:layout>
                <c:manualLayout>
                  <c:x val="-0.0750000000000001"/>
                  <c:y val="-0.0694444444444445"/>
                </c:manualLayout>
              </c:layout>
              <c:numFmt formatCode="0.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3"/>
              <c:layout>
                <c:manualLayout>
                  <c:x val="-0.0694444444444445"/>
                  <c:y val="0.0618117329928354"/>
                </c:manualLayout>
              </c:layout>
              <c:numFmt formatCode="0.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7"/>
              <c:layout>
                <c:manualLayout>
                  <c:x val="-0.063888888888889"/>
                  <c:y val="0.0975977158260622"/>
                </c:manualLayout>
              </c:layout>
              <c:numFmt formatCode="0.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Intereses!$A$3:$A$26</c:f>
              <c:strCach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strCache>
            </c:strRef>
          </c:cat>
          <c:val>
            <c:numRef>
              <c:f>Intereses!$Y$3:$Y$26</c:f>
              <c:numCache>
                <c:formatCode>0.0%</c:formatCode>
                <c:ptCount val="24"/>
                <c:pt idx="0">
                  <c:v>0.127606030541739</c:v>
                </c:pt>
                <c:pt idx="1">
                  <c:v>0.267159591150948</c:v>
                </c:pt>
                <c:pt idx="2">
                  <c:v>0.192740619436914</c:v>
                </c:pt>
                <c:pt idx="3">
                  <c:v>0.263816929637597</c:v>
                </c:pt>
                <c:pt idx="4">
                  <c:v>0.228726093638232</c:v>
                </c:pt>
                <c:pt idx="5">
                  <c:v>0.223353419796466</c:v>
                </c:pt>
                <c:pt idx="6">
                  <c:v>0.204117151732383</c:v>
                </c:pt>
                <c:pt idx="7">
                  <c:v>0.184424177169884</c:v>
                </c:pt>
                <c:pt idx="8">
                  <c:v>0.141169090980122</c:v>
                </c:pt>
                <c:pt idx="9">
                  <c:v>0.17715348229995</c:v>
                </c:pt>
                <c:pt idx="10">
                  <c:v>0.0948020366343788</c:v>
                </c:pt>
                <c:pt idx="11">
                  <c:v>0.0754123259713624</c:v>
                </c:pt>
                <c:pt idx="12">
                  <c:v>0.0669148584050844</c:v>
                </c:pt>
                <c:pt idx="13">
                  <c:v>0.0658031303639842</c:v>
                </c:pt>
                <c:pt idx="14">
                  <c:v>0.0918451570390849</c:v>
                </c:pt>
                <c:pt idx="15">
                  <c:v>0.0694697291536507</c:v>
                </c:pt>
                <c:pt idx="16">
                  <c:v>0.174220418387144</c:v>
                </c:pt>
                <c:pt idx="17">
                  <c:v>0.242859915687705</c:v>
                </c:pt>
                <c:pt idx="18">
                  <c:v>0.168866883581007</c:v>
                </c:pt>
                <c:pt idx="19">
                  <c:v>0.146701456224925</c:v>
                </c:pt>
                <c:pt idx="20">
                  <c:v>0.2327864334912</c:v>
                </c:pt>
                <c:pt idx="21">
                  <c:v>0.21851338737518</c:v>
                </c:pt>
                <c:pt idx="22">
                  <c:v>0.139052130014641</c:v>
                </c:pt>
                <c:pt idx="23">
                  <c:v>0.145496737517696</c:v>
                </c:pt>
              </c:numCache>
            </c:numRef>
          </c:val>
          <c:smooth val="1"/>
        </c:ser>
        <c:ser>
          <c:idx val="1"/>
          <c:order val="1"/>
          <c:tx>
            <c:strRef>
              <c:f>Intereses!$AB$2</c:f>
              <c:strCache>
                <c:ptCount val="1"/>
                <c:pt idx="0">
                  <c:v>Tasa de ganancia PN (sobre capital fijo menos endeudamiento)</c:v>
                </c:pt>
              </c:strCache>
            </c:strRef>
          </c:tx>
          <c:spPr>
            <a:solidFill>
              <a:srgbClr val="002060"/>
            </a:solidFill>
            <a:ln cap="rnd" w="28440">
              <a:solidFill>
                <a:srgbClr val="002060"/>
              </a:solidFill>
              <a:round/>
            </a:ln>
          </c:spPr>
          <c:marker>
            <c:symbol val="none"/>
          </c:marker>
          <c:dPt>
            <c:idx val="6"/>
            <c:marker>
              <c:symbol val="none"/>
            </c:marker>
          </c:dPt>
          <c:dPt>
            <c:idx val="17"/>
            <c:marker>
              <c:symbol val="none"/>
            </c:marker>
          </c:dPt>
          <c:dPt>
            <c:idx val="23"/>
            <c:marker>
              <c:symbol val="none"/>
            </c:marker>
          </c:dPt>
          <c:dLbls>
            <c:dLbl>
              <c:idx val="6"/>
              <c:numFmt formatCode="General" sourceLinked="1"/>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17"/>
              <c:numFmt formatCode="General" sourceLinked="1"/>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23"/>
              <c:numFmt formatCode="General" sourceLinked="1"/>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txPr>
              <a:bodyPr wrap="square"/>
              <a:lstStyle/>
              <a:p>
                <a:pPr>
                  <a:defRPr b="1" sz="900" spc="-1" strike="noStrike">
                    <a:solidFill>
                      <a:srgbClr val="00206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Intereses!$A$3:$A$26</c:f>
              <c:strCach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strCache>
            </c:strRef>
          </c:cat>
          <c:val>
            <c:numRef>
              <c:f>Intereses!$AB$3:$AB$26</c:f>
              <c:numCache>
                <c:formatCode>0\ %</c:formatCode>
                <c:ptCount val="24"/>
                <c:pt idx="6">
                  <c:v>0.463479446726967</c:v>
                </c:pt>
                <c:pt idx="7">
                  <c:v>0.350891973750345</c:v>
                </c:pt>
                <c:pt idx="8">
                  <c:v>0.286176692215228</c:v>
                </c:pt>
                <c:pt idx="9">
                  <c:v>0.360370700287082</c:v>
                </c:pt>
                <c:pt idx="11">
                  <c:v>0.146258464670389</c:v>
                </c:pt>
                <c:pt idx="12">
                  <c:v>0.120107298649334</c:v>
                </c:pt>
                <c:pt idx="13">
                  <c:v>0.0968857345758827</c:v>
                </c:pt>
                <c:pt idx="14">
                  <c:v>0.152770444868289</c:v>
                </c:pt>
                <c:pt idx="15">
                  <c:v>0.109324855409344</c:v>
                </c:pt>
                <c:pt idx="16">
                  <c:v>0.300568404370824</c:v>
                </c:pt>
                <c:pt idx="17">
                  <c:v>0.446708244829846</c:v>
                </c:pt>
                <c:pt idx="18">
                  <c:v>0.289801482157335</c:v>
                </c:pt>
                <c:pt idx="19">
                  <c:v>0.247381510430848</c:v>
                </c:pt>
                <c:pt idx="20">
                  <c:v>0.377066491200364</c:v>
                </c:pt>
                <c:pt idx="21">
                  <c:v>0.364510940710403</c:v>
                </c:pt>
                <c:pt idx="22">
                  <c:v>0.214718571694347</c:v>
                </c:pt>
                <c:pt idx="23">
                  <c:v>0.219769122510554</c:v>
                </c:pt>
              </c:numCache>
            </c:numRef>
          </c:val>
          <c:smooth val="1"/>
        </c:ser>
        <c:hiLowLines>
          <c:spPr>
            <a:ln w="0">
              <a:noFill/>
            </a:ln>
          </c:spPr>
        </c:hiLowLines>
        <c:marker val="0"/>
        <c:axId val="58519847"/>
        <c:axId val="66462426"/>
      </c:lineChart>
      <c:catAx>
        <c:axId val="58519847"/>
        <c:scaling>
          <c:orientation val="minMax"/>
        </c:scaling>
        <c:delete val="0"/>
        <c:axPos val="b"/>
        <c:numFmt formatCode="General" sourceLinked="0"/>
        <c:majorTickMark val="none"/>
        <c:minorTickMark val="none"/>
        <c:tickLblPos val="nextTo"/>
        <c:spPr>
          <a:ln w="9360">
            <a:noFill/>
          </a:ln>
        </c:spPr>
        <c:txPr>
          <a:bodyPr rot="-5400000"/>
          <a:lstStyle/>
          <a:p>
            <a:pPr>
              <a:defRPr b="0" sz="900" spc="-1" strike="noStrike">
                <a:solidFill>
                  <a:srgbClr val="595959"/>
                </a:solidFill>
                <a:latin typeface="Cambria"/>
                <a:ea typeface="Cambria"/>
              </a:defRPr>
            </a:pPr>
          </a:p>
        </c:txPr>
        <c:crossAx val="66462426"/>
        <c:crosses val="autoZero"/>
        <c:auto val="1"/>
        <c:lblAlgn val="ctr"/>
        <c:lblOffset val="100"/>
        <c:noMultiLvlLbl val="0"/>
      </c:catAx>
      <c:valAx>
        <c:axId val="66462426"/>
        <c:scaling>
          <c:orientation val="minMax"/>
        </c:scaling>
        <c:delete val="0"/>
        <c:axPos val="l"/>
        <c:numFmt formatCode="0.0%" sourceLinked="0"/>
        <c:majorTickMark val="none"/>
        <c:minorTickMark val="none"/>
        <c:tickLblPos val="nextTo"/>
        <c:spPr>
          <a:ln w="6480">
            <a:noFill/>
          </a:ln>
        </c:spPr>
        <c:txPr>
          <a:bodyPr/>
          <a:lstStyle/>
          <a:p>
            <a:pPr>
              <a:defRPr b="0" sz="900" spc="-1" strike="noStrike">
                <a:solidFill>
                  <a:srgbClr val="ffffff"/>
                </a:solidFill>
                <a:latin typeface="Cambria"/>
                <a:ea typeface="Cambria"/>
              </a:defRPr>
            </a:pPr>
          </a:p>
        </c:txPr>
        <c:crossAx val="58519847"/>
        <c:crosses val="autoZero"/>
        <c:crossBetween val="between"/>
      </c:valAx>
      <c:spPr>
        <a:noFill/>
        <a:ln w="0">
          <a:noFill/>
        </a:ln>
      </c:spPr>
    </c:plotArea>
    <c:legend>
      <c:legendPos val="r"/>
      <c:layout>
        <c:manualLayout>
          <c:xMode val="edge"/>
          <c:yMode val="edge"/>
          <c:x val="0"/>
          <c:y val="0.0827669007590268"/>
          <c:w val="0.852959755030621"/>
          <c:h val="0.142641696814925"/>
        </c:manualLayout>
      </c:layout>
      <c:overlay val="0"/>
      <c:spPr>
        <a:noFill/>
        <a:ln w="0">
          <a:noFill/>
        </a:ln>
      </c:spPr>
      <c:txPr>
        <a:bodyPr/>
        <a:lstStyle/>
        <a:p>
          <a:pPr>
            <a:defRPr b="0" sz="900" spc="-1" strike="noStrike">
              <a:solidFill>
                <a:srgbClr val="595959"/>
              </a:solidFill>
              <a:latin typeface="Cambria"/>
              <a:ea typeface="Cambria"/>
            </a:defRPr>
          </a:pPr>
        </a:p>
      </c:txPr>
    </c:legend>
    <c:plotVisOnly val="1"/>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AR" sz="1400" spc="-1" strike="noStrike">
                <a:solidFill>
                  <a:srgbClr val="002060"/>
                </a:solidFill>
                <a:latin typeface="Cambria"/>
                <a:ea typeface="Cambria"/>
              </a:defRPr>
            </a:pPr>
            <a:r>
              <a:rPr b="1" lang="es-AR" sz="1400" spc="-1" strike="noStrike">
                <a:solidFill>
                  <a:srgbClr val="002060"/>
                </a:solidFill>
                <a:latin typeface="Cambria"/>
                <a:ea typeface="Cambria"/>
              </a:rPr>
              <a:t>Abaratamiento por tc sobre ganancia desp de impuestos</a:t>
            </a:r>
          </a:p>
        </c:rich>
      </c:tx>
      <c:layout>
        <c:manualLayout>
          <c:xMode val="edge"/>
          <c:yMode val="edge"/>
          <c:x val="0.149628783552256"/>
          <c:y val="0.000131233595800525"/>
        </c:manualLayout>
      </c:layout>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Pt>
            <c:idx val="0"/>
            <c:marker>
              <c:symbol val="none"/>
            </c:marker>
          </c:dPt>
          <c:dPt>
            <c:idx val="7"/>
            <c:marker>
              <c:symbol val="none"/>
            </c:marker>
          </c:dPt>
          <c:dPt>
            <c:idx val="13"/>
            <c:marker>
              <c:symbol val="none"/>
            </c:marker>
          </c:dPt>
          <c:dPt>
            <c:idx val="17"/>
            <c:marker>
              <c:symbol val="none"/>
            </c:marker>
          </c:dPt>
          <c:dLbls>
            <c:dLbl>
              <c:idx val="0"/>
              <c:layout>
                <c:manualLayout>
                  <c:x val="-0.0527777777777778"/>
                  <c:y val="-0.0765765765765766"/>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7"/>
              <c:layout>
                <c:manualLayout>
                  <c:x val="-0.0750000000000001"/>
                  <c:y val="-0.0694444444444445"/>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3"/>
              <c:layout>
                <c:manualLayout>
                  <c:x val="-0.0750000000000001"/>
                  <c:y val="-0.0462962962962963"/>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7"/>
              <c:layout>
                <c:manualLayout>
                  <c:x val="0"/>
                  <c:y val="-0.0555555555555556"/>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Intereses!$A$9:$A$26</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Intereses!$AI$8:$AI$26</c:f>
              <c:numCache>
                <c:formatCode>0\ %</c:formatCode>
                <c:ptCount val="19"/>
                <c:pt idx="0">
                  <c:v>0.0246339903102448</c:v>
                </c:pt>
                <c:pt idx="1">
                  <c:v>0.0245629459643124</c:v>
                </c:pt>
                <c:pt idx="2">
                  <c:v>0.0296539691379916</c:v>
                </c:pt>
                <c:pt idx="3">
                  <c:v>0.045406057435521</c:v>
                </c:pt>
                <c:pt idx="4">
                  <c:v>0.0349922567297061</c:v>
                </c:pt>
                <c:pt idx="5">
                  <c:v>0.0752858855035657</c:v>
                </c:pt>
                <c:pt idx="6">
                  <c:v>0.108491762001879</c:v>
                </c:pt>
                <c:pt idx="7">
                  <c:v>0.130990060632867</c:v>
                </c:pt>
                <c:pt idx="8">
                  <c:v>0.0944127959568107</c:v>
                </c:pt>
                <c:pt idx="9">
                  <c:v>0.0553078148624797</c:v>
                </c:pt>
                <c:pt idx="10">
                  <c:v>0.0740816697487676</c:v>
                </c:pt>
                <c:pt idx="11">
                  <c:v>0.0329140227091664</c:v>
                </c:pt>
                <c:pt idx="12">
                  <c:v>0.0242842322831089</c:v>
                </c:pt>
                <c:pt idx="13">
                  <c:v>0.0293802159357834</c:v>
                </c:pt>
                <c:pt idx="14">
                  <c:v>0.0270861480418508</c:v>
                </c:pt>
                <c:pt idx="15">
                  <c:v>0.0110364338556793</c:v>
                </c:pt>
                <c:pt idx="16">
                  <c:v>0.0155516665872921</c:v>
                </c:pt>
                <c:pt idx="17">
                  <c:v>0.0432703644509066</c:v>
                </c:pt>
                <c:pt idx="18">
                  <c:v>0.0379776350584704</c:v>
                </c:pt>
              </c:numCache>
            </c:numRef>
          </c:val>
          <c:smooth val="1"/>
        </c:ser>
        <c:hiLowLines>
          <c:spPr>
            <a:ln w="0">
              <a:noFill/>
            </a:ln>
          </c:spPr>
        </c:hiLowLines>
        <c:marker val="0"/>
        <c:axId val="17986879"/>
        <c:axId val="9444154"/>
      </c:lineChart>
      <c:catAx>
        <c:axId val="17986879"/>
        <c:scaling>
          <c:orientation val="minMax"/>
        </c:scaling>
        <c:delete val="0"/>
        <c:axPos val="b"/>
        <c:numFmt formatCode="General" sourceLinked="0"/>
        <c:majorTickMark val="none"/>
        <c:minorTickMark val="none"/>
        <c:tickLblPos val="nextTo"/>
        <c:spPr>
          <a:ln w="9360">
            <a:noFill/>
          </a:ln>
        </c:spPr>
        <c:txPr>
          <a:bodyPr rot="-5400000"/>
          <a:lstStyle/>
          <a:p>
            <a:pPr>
              <a:defRPr b="0" sz="900" spc="-1" strike="noStrike">
                <a:solidFill>
                  <a:srgbClr val="595959"/>
                </a:solidFill>
                <a:latin typeface="Cambria"/>
                <a:ea typeface="Cambria"/>
              </a:defRPr>
            </a:pPr>
          </a:p>
        </c:txPr>
        <c:crossAx val="9444154"/>
        <c:crosses val="autoZero"/>
        <c:auto val="1"/>
        <c:lblAlgn val="ctr"/>
        <c:lblOffset val="100"/>
        <c:noMultiLvlLbl val="0"/>
      </c:catAx>
      <c:valAx>
        <c:axId val="9444154"/>
        <c:scaling>
          <c:orientation val="minMax"/>
        </c:scaling>
        <c:delete val="0"/>
        <c:axPos val="l"/>
        <c:numFmt formatCode="0%" sourceLinked="0"/>
        <c:majorTickMark val="none"/>
        <c:minorTickMark val="none"/>
        <c:tickLblPos val="nextTo"/>
        <c:spPr>
          <a:ln w="6480">
            <a:noFill/>
          </a:ln>
        </c:spPr>
        <c:txPr>
          <a:bodyPr/>
          <a:lstStyle/>
          <a:p>
            <a:pPr>
              <a:defRPr b="0" sz="900" spc="-1" strike="noStrike">
                <a:solidFill>
                  <a:srgbClr val="ffffff"/>
                </a:solidFill>
                <a:latin typeface="Cambria"/>
                <a:ea typeface="Cambria"/>
              </a:defRPr>
            </a:pPr>
          </a:p>
        </c:txPr>
        <c:crossAx val="17986879"/>
        <c:crosses val="autoZero"/>
        <c:crossBetween val="between"/>
      </c:valAx>
      <c:spPr>
        <a:noFill/>
        <a:ln w="0">
          <a:noFill/>
        </a:ln>
      </c:spPr>
    </c:plotArea>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609480</xdr:colOff>
      <xdr:row>0</xdr:row>
      <xdr:rowOff>0</xdr:rowOff>
    </xdr:from>
    <xdr:to>
      <xdr:col>9</xdr:col>
      <xdr:colOff>552600</xdr:colOff>
      <xdr:row>3</xdr:row>
      <xdr:rowOff>158400</xdr:rowOff>
    </xdr:to>
    <xdr:pic>
      <xdr:nvPicPr>
        <xdr:cNvPr id="0" name="Imagen 1" descr=""/>
        <xdr:cNvPicPr/>
      </xdr:nvPicPr>
      <xdr:blipFill>
        <a:blip r:embed="rId1"/>
        <a:stretch/>
      </xdr:blipFill>
      <xdr:spPr>
        <a:xfrm>
          <a:off x="12348000" y="0"/>
          <a:ext cx="4046760" cy="7999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676440</xdr:colOff>
      <xdr:row>23</xdr:row>
      <xdr:rowOff>174600</xdr:rowOff>
    </xdr:from>
    <xdr:to>
      <xdr:col>4</xdr:col>
      <xdr:colOff>1180800</xdr:colOff>
      <xdr:row>37</xdr:row>
      <xdr:rowOff>17280</xdr:rowOff>
    </xdr:to>
    <xdr:graphicFrame>
      <xdr:nvGraphicFramePr>
        <xdr:cNvPr id="1" name="Gráfico 1"/>
        <xdr:cNvGraphicFramePr/>
      </xdr:nvGraphicFramePr>
      <xdr:xfrm>
        <a:off x="676440" y="5400720"/>
        <a:ext cx="6550920" cy="22237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314280</xdr:colOff>
      <xdr:row>38</xdr:row>
      <xdr:rowOff>31680</xdr:rowOff>
    </xdr:from>
    <xdr:to>
      <xdr:col>4</xdr:col>
      <xdr:colOff>818640</xdr:colOff>
      <xdr:row>51</xdr:row>
      <xdr:rowOff>150480</xdr:rowOff>
    </xdr:to>
    <xdr:graphicFrame>
      <xdr:nvGraphicFramePr>
        <xdr:cNvPr id="2" name="Gráfico 2"/>
        <xdr:cNvGraphicFramePr/>
      </xdr:nvGraphicFramePr>
      <xdr:xfrm>
        <a:off x="314280" y="7800840"/>
        <a:ext cx="6550920" cy="22237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53</xdr:row>
      <xdr:rowOff>3240</xdr:rowOff>
    </xdr:from>
    <xdr:to>
      <xdr:col>4</xdr:col>
      <xdr:colOff>761760</xdr:colOff>
      <xdr:row>69</xdr:row>
      <xdr:rowOff>155160</xdr:rowOff>
    </xdr:to>
    <xdr:graphicFrame>
      <xdr:nvGraphicFramePr>
        <xdr:cNvPr id="3" name="Gráfico 3"/>
        <xdr:cNvGraphicFramePr/>
      </xdr:nvGraphicFramePr>
      <xdr:xfrm>
        <a:off x="0" y="10201320"/>
        <a:ext cx="6808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71</xdr:row>
      <xdr:rowOff>3240</xdr:rowOff>
    </xdr:from>
    <xdr:to>
      <xdr:col>4</xdr:col>
      <xdr:colOff>761760</xdr:colOff>
      <xdr:row>87</xdr:row>
      <xdr:rowOff>155160</xdr:rowOff>
    </xdr:to>
    <xdr:graphicFrame>
      <xdr:nvGraphicFramePr>
        <xdr:cNvPr id="4" name="Gráfico 4"/>
        <xdr:cNvGraphicFramePr/>
      </xdr:nvGraphicFramePr>
      <xdr:xfrm>
        <a:off x="0" y="13115880"/>
        <a:ext cx="680832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89</xdr:row>
      <xdr:rowOff>2880</xdr:rowOff>
    </xdr:from>
    <xdr:to>
      <xdr:col>4</xdr:col>
      <xdr:colOff>761760</xdr:colOff>
      <xdr:row>105</xdr:row>
      <xdr:rowOff>155160</xdr:rowOff>
    </xdr:to>
    <xdr:graphicFrame>
      <xdr:nvGraphicFramePr>
        <xdr:cNvPr id="5" name="Gráfico 5"/>
        <xdr:cNvGraphicFramePr/>
      </xdr:nvGraphicFramePr>
      <xdr:xfrm>
        <a:off x="0" y="16030440"/>
        <a:ext cx="680832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107</xdr:row>
      <xdr:rowOff>3240</xdr:rowOff>
    </xdr:from>
    <xdr:to>
      <xdr:col>4</xdr:col>
      <xdr:colOff>761760</xdr:colOff>
      <xdr:row>123</xdr:row>
      <xdr:rowOff>155160</xdr:rowOff>
    </xdr:to>
    <xdr:graphicFrame>
      <xdr:nvGraphicFramePr>
        <xdr:cNvPr id="6" name="Gráfico 6"/>
        <xdr:cNvGraphicFramePr/>
      </xdr:nvGraphicFramePr>
      <xdr:xfrm>
        <a:off x="0" y="18945360"/>
        <a:ext cx="6808320" cy="27424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0</xdr:colOff>
      <xdr:row>24</xdr:row>
      <xdr:rowOff>88920</xdr:rowOff>
    </xdr:from>
    <xdr:to>
      <xdr:col>10</xdr:col>
      <xdr:colOff>428400</xdr:colOff>
      <xdr:row>40</xdr:row>
      <xdr:rowOff>155160</xdr:rowOff>
    </xdr:to>
    <xdr:graphicFrame>
      <xdr:nvGraphicFramePr>
        <xdr:cNvPr id="7" name="Gráfico 7"/>
        <xdr:cNvGraphicFramePr/>
      </xdr:nvGraphicFramePr>
      <xdr:xfrm>
        <a:off x="7612560" y="5505480"/>
        <a:ext cx="630324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Descargas/TG%20PN.%20Uruguay.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Descargas/Exportaciones/Exportaciones.Uruguay.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Gráficos"/>
      <sheetName val="Fuentes"/>
      <sheetName val="TG PN"/>
      <sheetName val="metodología"/>
      <sheetName val="eaae"/>
      <sheetName val="rama-C"/>
      <sheetName val="check-calidad-C"/>
      <sheetName val="economia_total"/>
      <sheetName val="check-calidad-total"/>
      <sheetName val="resultados-total-corrientes"/>
      <sheetName val="resultados-industrial-corriente"/>
      <sheetName val="resultados-total-constante"/>
      <sheetName val="resultados-industrial-constante"/>
      <sheetName val="resultados-total-var-pct"/>
      <sheetName val="resultados-industrial-var-pct"/>
      <sheetName val="resultados-total-ind-2005"/>
      <sheetName val="resultados-industrial-ind-2005"/>
    </sheetNames>
    <sheetDataSet>
      <sheetData sheetId="0"/>
      <sheetData sheetId="1"/>
      <sheetData sheetId="2"/>
      <sheetData sheetId="3"/>
      <sheetData sheetId="4"/>
      <sheetData sheetId="5">
        <row r="2">
          <cell r="AD2">
            <v>0.127606030541739</v>
          </cell>
        </row>
        <row r="3">
          <cell r="AD3">
            <v>0.267159591150948</v>
          </cell>
        </row>
        <row r="4">
          <cell r="AD4">
            <v>0.192740619436914</v>
          </cell>
        </row>
        <row r="5">
          <cell r="AD5">
            <v>0.263816929637597</v>
          </cell>
        </row>
        <row r="6">
          <cell r="AD6">
            <v>0.228726093638232</v>
          </cell>
        </row>
        <row r="7">
          <cell r="AD7">
            <v>0.223353419796466</v>
          </cell>
        </row>
        <row r="8">
          <cell r="AD8">
            <v>0.204117151732383</v>
          </cell>
        </row>
        <row r="9">
          <cell r="AD9">
            <v>0.184424177169884</v>
          </cell>
        </row>
        <row r="10">
          <cell r="AD10">
            <v>0.141169090980122</v>
          </cell>
        </row>
        <row r="11">
          <cell r="AD11">
            <v>0.17715348229995</v>
          </cell>
        </row>
        <row r="12">
          <cell r="AD12">
            <v>0.0948020366343788</v>
          </cell>
        </row>
        <row r="13">
          <cell r="AD13">
            <v>0.0754123259713624</v>
          </cell>
        </row>
        <row r="14">
          <cell r="AD14">
            <v>0.0669148584050844</v>
          </cell>
        </row>
        <row r="15">
          <cell r="AD15">
            <v>0.0658031303639842</v>
          </cell>
        </row>
        <row r="16">
          <cell r="AD16">
            <v>0.0918451570390849</v>
          </cell>
        </row>
        <row r="17">
          <cell r="AD17">
            <v>0.0694697291536507</v>
          </cell>
        </row>
        <row r="18">
          <cell r="AD18">
            <v>0.174220418387144</v>
          </cell>
        </row>
        <row r="19">
          <cell r="AD19">
            <v>0.242859915687705</v>
          </cell>
        </row>
        <row r="20">
          <cell r="AD20">
            <v>0.168866883581007</v>
          </cell>
        </row>
        <row r="21">
          <cell r="AD21">
            <v>0.146701456224925</v>
          </cell>
        </row>
        <row r="22">
          <cell r="AD22">
            <v>0.2327864334912</v>
          </cell>
        </row>
        <row r="23">
          <cell r="AD23">
            <v>0.21851338737518</v>
          </cell>
        </row>
        <row r="24">
          <cell r="AD24">
            <v>0.139052130014641</v>
          </cell>
        </row>
        <row r="25">
          <cell r="AD25">
            <v>0.145496737517696</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ase"/>
      <sheetName val="ZF"/>
      <sheetName val="Gráficos"/>
      <sheetName val="Eventual devaluación"/>
      <sheetName val="Exp-VBP"/>
    </sheetNames>
    <sheetDataSet>
      <sheetData sheetId="0">
        <row r="3">
          <cell r="AU3">
            <v>2161817</v>
          </cell>
        </row>
        <row r="4">
          <cell r="AU4">
            <v>1894160</v>
          </cell>
        </row>
        <row r="5">
          <cell r="AU5">
            <v>1693280</v>
          </cell>
        </row>
        <row r="6">
          <cell r="AU6">
            <v>2005751</v>
          </cell>
        </row>
        <row r="7">
          <cell r="AU7">
            <v>2752231</v>
          </cell>
        </row>
        <row r="8">
          <cell r="AU8">
            <v>3288799</v>
          </cell>
        </row>
        <row r="9">
          <cell r="AU9">
            <v>3843115</v>
          </cell>
        </row>
        <row r="10">
          <cell r="AU10">
            <v>4255335</v>
          </cell>
        </row>
        <row r="11">
          <cell r="AU11">
            <v>5966085</v>
          </cell>
        </row>
        <row r="12">
          <cell r="AU12">
            <v>5101669</v>
          </cell>
        </row>
        <row r="13">
          <cell r="AU13">
            <v>6236366</v>
          </cell>
        </row>
        <row r="14">
          <cell r="AU14">
            <v>7334170</v>
          </cell>
        </row>
        <row r="15">
          <cell r="AU15">
            <v>7387626</v>
          </cell>
        </row>
        <row r="16">
          <cell r="AU16">
            <v>7440534</v>
          </cell>
        </row>
        <row r="17">
          <cell r="AU17">
            <v>7750681</v>
          </cell>
        </row>
        <row r="18">
          <cell r="AU18">
            <v>7332807</v>
          </cell>
        </row>
        <row r="19">
          <cell r="AU19">
            <v>6881861</v>
          </cell>
        </row>
        <row r="20">
          <cell r="AU20">
            <v>7269212</v>
          </cell>
        </row>
        <row r="21">
          <cell r="AU21">
            <v>7870612</v>
          </cell>
        </row>
        <row r="22">
          <cell r="AU22">
            <v>7619202</v>
          </cell>
        </row>
        <row r="23">
          <cell r="AU23">
            <v>6584112</v>
          </cell>
        </row>
        <row r="24">
          <cell r="AU24">
            <v>8900035</v>
          </cell>
        </row>
        <row r="25">
          <cell r="AU25">
            <v>10237765</v>
          </cell>
        </row>
        <row r="26">
          <cell r="AU26">
            <v>9667693</v>
          </cell>
        </row>
        <row r="27">
          <cell r="AU27">
            <v>10308558</v>
          </cell>
        </row>
      </sheetData>
      <sheetData sheetId="1"/>
      <sheetData sheetId="2"/>
      <sheetData sheetId="3"/>
      <sheetData sheetId="4"/>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docs.google.com/spreadsheets/d/1mxvi1bIWz5WpHcGaBE-OJZTV5XA-hqzD5fn_03F-LMw/edit?gid=1825138045" TargetMode="External"/><Relationship Id="rId2" Type="http://schemas.openxmlformats.org/officeDocument/2006/relationships/hyperlink" Target="https://docs.google.com/spreadsheets/d/1EjWnRovNLRfISF26lYHPvSVCcWHPUdPtjIY-m_xft28/edit?gid=1371237672"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docs.google.com/spreadsheets/d/1nC7Wt3_sS_Ov6XZY0KzrMMU95c3EsMciThLac86e-kU/edit?gid=133251357" TargetMode="Externa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51"/>
  <sheetViews>
    <sheetView showFormulas="false" showGridLines="false" showRowColHeaders="true" showZeros="true" rightToLeft="false" tabSelected="false" showOutlineSymbols="true" defaultGridColor="true" view="normal" topLeftCell="A4" colorId="64" zoomScale="100" zoomScaleNormal="100" zoomScalePageLayoutView="100" workbookViewId="0">
      <selection pane="topLeft" activeCell="B21" activeCellId="0" sqref="B21"/>
    </sheetView>
  </sheetViews>
  <sheetFormatPr defaultColWidth="11.4296875" defaultRowHeight="14.25" zeroHeight="false" outlineLevelRow="0" outlineLevelCol="0"/>
  <cols>
    <col collapsed="false" customWidth="false" hidden="false" outlineLevel="0" max="1" min="1" style="1" width="11.43"/>
    <col collapsed="false" customWidth="true" hidden="false" outlineLevel="0" max="2" min="2" style="1" width="23"/>
    <col collapsed="false" customWidth="true" hidden="false" outlineLevel="0" max="3" min="3" style="1" width="11.15"/>
    <col collapsed="false" customWidth="true" hidden="false" outlineLevel="0" max="4" min="4" style="1" width="12"/>
    <col collapsed="false" customWidth="true" hidden="false" outlineLevel="0" max="5" min="5" style="1" width="34.71"/>
    <col collapsed="false" customWidth="true" hidden="false" outlineLevel="0" max="6" min="6" style="1" width="54.43"/>
    <col collapsed="false" customWidth="true" hidden="false" outlineLevel="0" max="7" min="7" style="1" width="28.43"/>
    <col collapsed="false" customWidth="false" hidden="false" outlineLevel="0" max="16384" min="8" style="1" width="11.43"/>
  </cols>
  <sheetData>
    <row r="2" customFormat="false" ht="20" hidden="false" customHeight="false" outlineLevel="0" collapsed="false">
      <c r="B2" s="2" t="s">
        <v>0</v>
      </c>
    </row>
    <row r="3" customFormat="false" ht="16.25" hidden="false" customHeight="false" outlineLevel="0" collapsed="false">
      <c r="B3" s="3" t="s">
        <v>1</v>
      </c>
    </row>
    <row r="5" customFormat="false" ht="14.25" hidden="false" customHeight="false" outlineLevel="0" collapsed="false">
      <c r="B5" s="1" t="s">
        <v>2</v>
      </c>
    </row>
    <row r="6" customFormat="false" ht="14.25" hidden="false" customHeight="false" outlineLevel="0" collapsed="false">
      <c r="B6" s="4" t="s">
        <v>3</v>
      </c>
      <c r="C6" s="4" t="s">
        <v>4</v>
      </c>
      <c r="D6" s="4" t="s">
        <v>5</v>
      </c>
      <c r="E6" s="4" t="s">
        <v>6</v>
      </c>
      <c r="F6" s="4" t="s">
        <v>7</v>
      </c>
      <c r="G6" s="4" t="s">
        <v>8</v>
      </c>
    </row>
    <row r="8" customFormat="false" ht="21.75" hidden="false" customHeight="true" outlineLevel="0" collapsed="false">
      <c r="B8" s="5" t="s">
        <v>9</v>
      </c>
      <c r="C8" s="6" t="n">
        <v>0.189</v>
      </c>
      <c r="D8" s="7" t="s">
        <v>10</v>
      </c>
      <c r="E8" s="8" t="s">
        <v>11</v>
      </c>
      <c r="F8" s="9" t="s">
        <v>12</v>
      </c>
      <c r="G8" s="1" t="s">
        <v>13</v>
      </c>
    </row>
    <row r="9" customFormat="false" ht="16.25" hidden="false" customHeight="false" outlineLevel="0" collapsed="false">
      <c r="B9" s="1" t="s">
        <v>14</v>
      </c>
      <c r="C9" s="6" t="n">
        <v>0.093</v>
      </c>
      <c r="D9" s="10" t="s">
        <v>10</v>
      </c>
      <c r="E9" s="10"/>
      <c r="F9" s="11" t="s">
        <v>15</v>
      </c>
      <c r="G9" s="1" t="s">
        <v>13</v>
      </c>
    </row>
    <row r="10" customFormat="false" ht="16.25" hidden="false" customHeight="false" outlineLevel="0" collapsed="false">
      <c r="B10" s="1" t="s">
        <v>16</v>
      </c>
      <c r="C10" s="6" t="n">
        <v>0.0847</v>
      </c>
      <c r="D10" s="10" t="s">
        <v>10</v>
      </c>
      <c r="E10" s="10"/>
      <c r="F10" s="11" t="s">
        <v>17</v>
      </c>
      <c r="G10" s="1" t="s">
        <v>18</v>
      </c>
    </row>
    <row r="11" customFormat="false" ht="16.25" hidden="false" customHeight="false" outlineLevel="0" collapsed="false">
      <c r="B11" s="1" t="s">
        <v>19</v>
      </c>
      <c r="C11" s="6" t="n">
        <v>0.395</v>
      </c>
      <c r="D11" s="10" t="s">
        <v>20</v>
      </c>
      <c r="E11" s="10"/>
      <c r="F11" s="11" t="s">
        <v>21</v>
      </c>
      <c r="G11" s="1" t="s">
        <v>22</v>
      </c>
    </row>
    <row r="12" customFormat="false" ht="16.25" hidden="false" customHeight="false" outlineLevel="0" collapsed="false">
      <c r="B12" s="1" t="s">
        <v>23</v>
      </c>
      <c r="C12" s="12" t="n">
        <v>0.017</v>
      </c>
      <c r="D12" s="10" t="s">
        <v>10</v>
      </c>
      <c r="E12" s="10"/>
      <c r="F12" s="11" t="s">
        <v>24</v>
      </c>
      <c r="G12" s="1" t="s">
        <v>25</v>
      </c>
    </row>
    <row r="13" customFormat="false" ht="16.25" hidden="false" customHeight="false" outlineLevel="0" collapsed="false">
      <c r="B13" s="1" t="s">
        <v>26</v>
      </c>
      <c r="C13" s="12" t="n">
        <v>0.037</v>
      </c>
      <c r="D13" s="10" t="s">
        <v>10</v>
      </c>
      <c r="F13" s="11" t="s">
        <v>27</v>
      </c>
      <c r="G13" s="1" t="s">
        <v>28</v>
      </c>
    </row>
    <row r="15" customFormat="false" ht="20" hidden="false" customHeight="false" outlineLevel="0" collapsed="false">
      <c r="B15" s="2" t="s">
        <v>0</v>
      </c>
    </row>
    <row r="16" customFormat="false" ht="16.25" hidden="false" customHeight="false" outlineLevel="0" collapsed="false">
      <c r="B16" s="3" t="s">
        <v>29</v>
      </c>
    </row>
    <row r="18" customFormat="false" ht="14.25" hidden="false" customHeight="false" outlineLevel="0" collapsed="false">
      <c r="B18" s="4" t="s">
        <v>3</v>
      </c>
      <c r="C18" s="4" t="s">
        <v>30</v>
      </c>
      <c r="D18" s="4" t="s">
        <v>5</v>
      </c>
      <c r="E18" s="4"/>
      <c r="F18" s="4" t="s">
        <v>7</v>
      </c>
      <c r="G18" s="4" t="s">
        <v>8</v>
      </c>
    </row>
    <row r="20" customFormat="false" ht="14.25" hidden="false" customHeight="false" outlineLevel="0" collapsed="false">
      <c r="B20" s="1" t="s">
        <v>9</v>
      </c>
      <c r="C20" s="12" t="n">
        <v>0.812</v>
      </c>
      <c r="D20" s="10" t="s">
        <v>10</v>
      </c>
      <c r="E20" s="10" t="s">
        <v>31</v>
      </c>
      <c r="F20" s="1" t="s">
        <v>32</v>
      </c>
      <c r="G20" s="1" t="s">
        <v>13</v>
      </c>
    </row>
    <row r="21" customFormat="false" ht="14.25" hidden="false" customHeight="false" outlineLevel="0" collapsed="false">
      <c r="B21" s="1" t="s">
        <v>14</v>
      </c>
      <c r="C21" s="12" t="n">
        <v>0.453</v>
      </c>
      <c r="D21" s="10" t="s">
        <v>10</v>
      </c>
      <c r="E21" s="10"/>
      <c r="F21" s="1" t="s">
        <v>33</v>
      </c>
      <c r="G21" s="1" t="s">
        <v>13</v>
      </c>
    </row>
    <row r="22" customFormat="false" ht="14.25" hidden="false" customHeight="false" outlineLevel="0" collapsed="false">
      <c r="B22" s="1" t="s">
        <v>16</v>
      </c>
      <c r="C22" s="6" t="n">
        <v>0.0847</v>
      </c>
      <c r="D22" s="10" t="s">
        <v>10</v>
      </c>
      <c r="E22" s="10"/>
      <c r="F22" s="1" t="s">
        <v>17</v>
      </c>
      <c r="G22" s="1" t="s">
        <v>18</v>
      </c>
    </row>
    <row r="23" customFormat="false" ht="14.25" hidden="false" customHeight="false" outlineLevel="0" collapsed="false">
      <c r="B23" s="1" t="s">
        <v>19</v>
      </c>
      <c r="C23" s="6" t="n">
        <v>0.333</v>
      </c>
      <c r="D23" s="10" t="s">
        <v>20</v>
      </c>
      <c r="E23" s="10"/>
      <c r="F23" s="1" t="s">
        <v>21</v>
      </c>
      <c r="G23" s="1" t="s">
        <v>22</v>
      </c>
    </row>
    <row r="24" customFormat="false" ht="14.25" hidden="false" customHeight="false" outlineLevel="0" collapsed="false">
      <c r="B24" s="1" t="s">
        <v>23</v>
      </c>
      <c r="C24" s="12" t="n">
        <v>0.017</v>
      </c>
      <c r="D24" s="10" t="s">
        <v>10</v>
      </c>
      <c r="E24" s="10"/>
      <c r="F24" s="1" t="s">
        <v>24</v>
      </c>
    </row>
    <row r="25" customFormat="false" ht="14.25" hidden="false" customHeight="false" outlineLevel="0" collapsed="false">
      <c r="B25" s="1" t="s">
        <v>26</v>
      </c>
      <c r="C25" s="12" t="n">
        <v>0.025</v>
      </c>
      <c r="F25" s="1" t="s">
        <v>27</v>
      </c>
    </row>
    <row r="27" customFormat="false" ht="14.25" hidden="false" customHeight="false" outlineLevel="0" collapsed="false">
      <c r="B27" s="1" t="s">
        <v>34</v>
      </c>
    </row>
    <row r="28" customFormat="false" ht="16.25" hidden="false" customHeight="false" outlineLevel="0" collapsed="false">
      <c r="B28" s="13" t="s">
        <v>35</v>
      </c>
      <c r="C28" s="14"/>
    </row>
    <row r="29" customFormat="false" ht="14.25" hidden="false" customHeight="false" outlineLevel="0" collapsed="false">
      <c r="C29" s="14"/>
    </row>
    <row r="30" customFormat="false" ht="14.25" hidden="false" customHeight="false" outlineLevel="0" collapsed="false">
      <c r="C30" s="14"/>
    </row>
    <row r="31" customFormat="false" ht="14.25" hidden="false" customHeight="false" outlineLevel="0" collapsed="false">
      <c r="C31" s="14"/>
    </row>
    <row r="32" customFormat="false" ht="14.25" hidden="false" customHeight="false" outlineLevel="0" collapsed="false">
      <c r="C32" s="14"/>
    </row>
    <row r="33" customFormat="false" ht="14.25" hidden="false" customHeight="false" outlineLevel="0" collapsed="false">
      <c r="C33" s="14"/>
    </row>
    <row r="34" customFormat="false" ht="14.25" hidden="false" customHeight="false" outlineLevel="0" collapsed="false">
      <c r="C34" s="14"/>
    </row>
    <row r="35" customFormat="false" ht="14.25" hidden="false" customHeight="false" outlineLevel="0" collapsed="false">
      <c r="C35" s="14"/>
    </row>
    <row r="36" customFormat="false" ht="14.25" hidden="false" customHeight="false" outlineLevel="0" collapsed="false">
      <c r="C36" s="14"/>
    </row>
    <row r="37" customFormat="false" ht="14.25" hidden="false" customHeight="false" outlineLevel="0" collapsed="false">
      <c r="C37" s="14"/>
    </row>
    <row r="38" customFormat="false" ht="14.25" hidden="false" customHeight="false" outlineLevel="0" collapsed="false">
      <c r="C38" s="14"/>
    </row>
    <row r="39" customFormat="false" ht="14.25" hidden="false" customHeight="false" outlineLevel="0" collapsed="false">
      <c r="C39" s="14"/>
    </row>
    <row r="40" customFormat="false" ht="14.25" hidden="false" customHeight="false" outlineLevel="0" collapsed="false">
      <c r="C40" s="14"/>
    </row>
    <row r="41" customFormat="false" ht="14.25" hidden="false" customHeight="false" outlineLevel="0" collapsed="false">
      <c r="C41" s="14"/>
    </row>
    <row r="42" customFormat="false" ht="14.25" hidden="false" customHeight="false" outlineLevel="0" collapsed="false">
      <c r="C42" s="14"/>
    </row>
    <row r="43" customFormat="false" ht="14.25" hidden="false" customHeight="false" outlineLevel="0" collapsed="false">
      <c r="C43" s="14"/>
    </row>
    <row r="44" customFormat="false" ht="14.25" hidden="false" customHeight="false" outlineLevel="0" collapsed="false">
      <c r="C44" s="14"/>
    </row>
    <row r="45" customFormat="false" ht="14.25" hidden="false" customHeight="false" outlineLevel="0" collapsed="false">
      <c r="C45" s="14"/>
    </row>
    <row r="46" customFormat="false" ht="14.25" hidden="false" customHeight="false" outlineLevel="0" collapsed="false">
      <c r="C46" s="14"/>
    </row>
    <row r="47" customFormat="false" ht="14.25" hidden="false" customHeight="false" outlineLevel="0" collapsed="false">
      <c r="C47" s="14"/>
    </row>
    <row r="48" customFormat="false" ht="14.25" hidden="false" customHeight="false" outlineLevel="0" collapsed="false">
      <c r="C48" s="14"/>
    </row>
    <row r="49" customFormat="false" ht="14.25" hidden="false" customHeight="false" outlineLevel="0" collapsed="false">
      <c r="C49" s="14"/>
    </row>
    <row r="50" customFormat="false" ht="14.25" hidden="false" customHeight="false" outlineLevel="0" collapsed="false">
      <c r="C50" s="14"/>
    </row>
    <row r="51" customFormat="false" ht="14.25" hidden="false" customHeight="false" outlineLevel="0" collapsed="false">
      <c r="C51" s="14"/>
    </row>
  </sheetData>
  <hyperlinks>
    <hyperlink ref="B2" location="'TCC - TCP'!A1" display="Modelo de impacto de la depreciación del tipo de cambio en la tasa de ganancia del capital manufacturero uruguayo"/>
    <hyperlink ref="F9" location="'Masa salarial'!A1" display="Importado / masa salarial manufacturera"/>
    <hyperlink ref="F10" location="Intereses!A1" display="Intereses pagados / VBP"/>
    <hyperlink ref="F11" location="Exportaciones!A1" display="Exportaciones / VBP"/>
    <hyperlink ref="F12" location="'Importación Maquinaria'!A1" display="Efecto aumento consumo capital fijo maquinaria importada / consumo de capital fijo"/>
    <hyperlink ref="F13" location="'Importación Maquinaria'!A1" display="Aumento stock respecto del stock de maquinaria"/>
    <hyperlink ref="B15" location="'TCC - TCP'!A1" display="Modelo de impacto de la depreciación del tipo de cambio en la tasa de ganancia del capital manufacturero uruguayo"/>
    <hyperlink ref="B28" location="'Diferencia MIP - COU'!A1" display="Diferencia MIP - COU"/>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17" activeCellId="0" sqref="C17"/>
    </sheetView>
  </sheetViews>
  <sheetFormatPr defaultColWidth="10.50390625" defaultRowHeight="15" zeroHeight="false" outlineLevelRow="0" outlineLevelCol="0"/>
  <cols>
    <col collapsed="false" customWidth="true" hidden="false" outlineLevel="0" max="2" min="2" style="0" width="29.86"/>
    <col collapsed="false" customWidth="true" hidden="false" outlineLevel="0" max="3" min="3" style="0" width="19.43"/>
  </cols>
  <sheetData>
    <row r="2" customFormat="false" ht="15" hidden="false" customHeight="false" outlineLevel="0" collapsed="false">
      <c r="B2" s="15" t="s">
        <v>36</v>
      </c>
      <c r="C2" s="15"/>
      <c r="D2" s="15"/>
      <c r="E2" s="15"/>
      <c r="F2" s="15"/>
    </row>
    <row r="3" customFormat="false" ht="15" hidden="false" customHeight="false" outlineLevel="0" collapsed="false">
      <c r="B3" s="4" t="s">
        <v>3</v>
      </c>
      <c r="C3" s="4" t="s">
        <v>4</v>
      </c>
      <c r="D3" s="4" t="s">
        <v>5</v>
      </c>
      <c r="E3" s="4" t="s">
        <v>6</v>
      </c>
      <c r="F3" s="4" t="s">
        <v>7</v>
      </c>
    </row>
    <row r="4" customFormat="false" ht="22.5" hidden="false" customHeight="true" outlineLevel="0" collapsed="false">
      <c r="B4" s="5" t="s">
        <v>9</v>
      </c>
      <c r="C4" s="6" t="n">
        <v>0.181</v>
      </c>
      <c r="D4" s="7" t="s">
        <v>10</v>
      </c>
      <c r="E4" s="8" t="s">
        <v>11</v>
      </c>
      <c r="F4" s="9" t="s">
        <v>12</v>
      </c>
    </row>
    <row r="5" customFormat="false" ht="16.25" hidden="false" customHeight="false" outlineLevel="0" collapsed="false">
      <c r="B5" s="1" t="s">
        <v>14</v>
      </c>
      <c r="C5" s="6" t="n">
        <v>0.093</v>
      </c>
      <c r="D5" s="10" t="s">
        <v>10</v>
      </c>
      <c r="E5" s="10"/>
      <c r="F5" s="11" t="s">
        <v>15</v>
      </c>
    </row>
    <row r="6" customFormat="false" ht="16.25" hidden="false" customHeight="false" outlineLevel="0" collapsed="false">
      <c r="B6" s="1" t="s">
        <v>16</v>
      </c>
      <c r="C6" s="6" t="n">
        <v>0.0847</v>
      </c>
      <c r="D6" s="10" t="s">
        <v>10</v>
      </c>
      <c r="E6" s="10"/>
      <c r="F6" s="11" t="s">
        <v>17</v>
      </c>
    </row>
    <row r="7" customFormat="false" ht="16.25" hidden="false" customHeight="false" outlineLevel="0" collapsed="false">
      <c r="B7" s="1" t="s">
        <v>19</v>
      </c>
      <c r="C7" s="6" t="n">
        <v>0.42</v>
      </c>
      <c r="D7" s="10" t="s">
        <v>20</v>
      </c>
      <c r="E7" s="10"/>
      <c r="F7" s="11" t="s">
        <v>21</v>
      </c>
    </row>
    <row r="8" customFormat="false" ht="16.25" hidden="false" customHeight="false" outlineLevel="0" collapsed="false">
      <c r="B8" s="1" t="s">
        <v>23</v>
      </c>
      <c r="C8" s="6" t="n">
        <v>0.0077</v>
      </c>
      <c r="D8" s="10" t="s">
        <v>10</v>
      </c>
      <c r="E8" s="10"/>
      <c r="F8" s="11" t="s">
        <v>24</v>
      </c>
    </row>
    <row r="9" customFormat="false" ht="16.25" hidden="false" customHeight="false" outlineLevel="0" collapsed="false">
      <c r="B9" s="1" t="s">
        <v>26</v>
      </c>
      <c r="C9" s="6" t="n">
        <v>0.0085</v>
      </c>
      <c r="D9" s="10" t="s">
        <v>10</v>
      </c>
      <c r="E9" s="1"/>
      <c r="F9" s="11" t="s">
        <v>27</v>
      </c>
    </row>
    <row r="14" customFormat="false" ht="15" hidden="false" customHeight="false" outlineLevel="0" collapsed="false">
      <c r="B14" s="15" t="s">
        <v>37</v>
      </c>
      <c r="C14" s="15"/>
      <c r="D14" s="15"/>
      <c r="E14" s="15"/>
      <c r="F14" s="15"/>
    </row>
    <row r="15" customFormat="false" ht="15" hidden="false" customHeight="false" outlineLevel="0" collapsed="false">
      <c r="B15" s="4" t="s">
        <v>3</v>
      </c>
      <c r="C15" s="4" t="s">
        <v>4</v>
      </c>
      <c r="D15" s="4" t="s">
        <v>5</v>
      </c>
      <c r="E15" s="4" t="s">
        <v>6</v>
      </c>
      <c r="F15" s="4" t="s">
        <v>7</v>
      </c>
    </row>
    <row r="16" customFormat="false" ht="18.75" hidden="false" customHeight="true" outlineLevel="0" collapsed="false">
      <c r="B16" s="5" t="s">
        <v>9</v>
      </c>
      <c r="C16" s="6" t="n">
        <v>0.227</v>
      </c>
      <c r="D16" s="7" t="s">
        <v>10</v>
      </c>
      <c r="E16" s="8" t="s">
        <v>11</v>
      </c>
      <c r="F16" s="9" t="s">
        <v>12</v>
      </c>
    </row>
    <row r="17" customFormat="false" ht="16.25" hidden="false" customHeight="false" outlineLevel="0" collapsed="false">
      <c r="B17" s="1" t="s">
        <v>14</v>
      </c>
      <c r="C17" s="6" t="n">
        <v>0.093</v>
      </c>
      <c r="D17" s="10" t="s">
        <v>10</v>
      </c>
      <c r="E17" s="10"/>
      <c r="F17" s="11" t="s">
        <v>15</v>
      </c>
    </row>
    <row r="18" customFormat="false" ht="16.25" hidden="false" customHeight="false" outlineLevel="0" collapsed="false">
      <c r="B18" s="1" t="s">
        <v>16</v>
      </c>
      <c r="C18" s="6" t="n">
        <v>0.0847</v>
      </c>
      <c r="D18" s="10" t="s">
        <v>10</v>
      </c>
      <c r="E18" s="10"/>
      <c r="F18" s="11" t="s">
        <v>17</v>
      </c>
    </row>
    <row r="19" customFormat="false" ht="16.25" hidden="false" customHeight="false" outlineLevel="0" collapsed="false">
      <c r="B19" s="1" t="s">
        <v>19</v>
      </c>
      <c r="C19" s="6" t="n">
        <v>0.107</v>
      </c>
      <c r="D19" s="10" t="s">
        <v>20</v>
      </c>
      <c r="E19" s="10"/>
      <c r="F19" s="11" t="s">
        <v>21</v>
      </c>
    </row>
    <row r="20" customFormat="false" ht="16.25" hidden="false" customHeight="false" outlineLevel="0" collapsed="false">
      <c r="B20" s="1" t="s">
        <v>23</v>
      </c>
      <c r="C20" s="6" t="n">
        <v>0.0106</v>
      </c>
      <c r="D20" s="10" t="s">
        <v>10</v>
      </c>
      <c r="E20" s="10"/>
      <c r="F20" s="11" t="s">
        <v>24</v>
      </c>
    </row>
    <row r="21" customFormat="false" ht="16.25" hidden="false" customHeight="false" outlineLevel="0" collapsed="false">
      <c r="B21" s="1" t="s">
        <v>26</v>
      </c>
      <c r="C21" s="6" t="n">
        <v>0.0181</v>
      </c>
      <c r="D21" s="10" t="s">
        <v>10</v>
      </c>
      <c r="E21" s="1"/>
      <c r="F21" s="11" t="s">
        <v>27</v>
      </c>
    </row>
  </sheetData>
  <hyperlinks>
    <hyperlink ref="F5" location="'Masa salarial'!A1" display="Importado / masa salarial manufacturera"/>
    <hyperlink ref="F6" location="Intereses!A1" display="Intereses pagados / VBP"/>
    <hyperlink ref="F7" location="Exportaciones!A1" display="Exportaciones / VBP"/>
    <hyperlink ref="F8" location="'Importación Maquinaria'!A1" display="Efecto aumento consumo capital fijo maquinaria importada / consumo de capital fijo"/>
    <hyperlink ref="F9" location="'Importación Maquinaria'!A1" display="Aumento stock respecto del stock de maquinaria"/>
    <hyperlink ref="F17" location="'Masa salarial'!A1" display="Importado / masa salarial manufacturera"/>
    <hyperlink ref="F18" location="Intereses!A1" display="Intereses pagados / VBP"/>
    <hyperlink ref="F19" location="Exportaciones!A1" display="Exportaciones / VBP"/>
    <hyperlink ref="F20" location="'Importación Maquinaria'!A1" display="Efecto aumento consumo capital fijo maquinaria importada / consumo de capital fijo"/>
    <hyperlink ref="F21" location="'Importación Maquinaria'!A1" display="Aumento stock respecto del stock de maquinaria"/>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C11" activeCellId="0" sqref="C11"/>
    </sheetView>
  </sheetViews>
  <sheetFormatPr defaultColWidth="10.50390625" defaultRowHeight="15" zeroHeight="false" outlineLevelRow="0" outlineLevelCol="0"/>
  <cols>
    <col collapsed="false" customWidth="true" hidden="false" outlineLevel="0" max="2" min="2" style="0" width="29.86"/>
    <col collapsed="false" customWidth="true" hidden="false" outlineLevel="0" max="3" min="3" style="0" width="19.43"/>
  </cols>
  <sheetData>
    <row r="2" customFormat="false" ht="15" hidden="false" customHeight="false" outlineLevel="0" collapsed="false">
      <c r="B2" s="15" t="s">
        <v>36</v>
      </c>
      <c r="C2" s="15"/>
      <c r="D2" s="15"/>
      <c r="E2" s="15"/>
      <c r="F2" s="15"/>
    </row>
    <row r="3" customFormat="false" ht="15" hidden="false" customHeight="false" outlineLevel="0" collapsed="false">
      <c r="B3" s="4" t="s">
        <v>3</v>
      </c>
      <c r="C3" s="4" t="s">
        <v>4</v>
      </c>
      <c r="D3" s="4" t="s">
        <v>5</v>
      </c>
      <c r="E3" s="4" t="s">
        <v>6</v>
      </c>
      <c r="F3" s="4" t="s">
        <v>7</v>
      </c>
      <c r="G3" s="4" t="s">
        <v>8</v>
      </c>
    </row>
    <row r="4" customFormat="false" ht="22.5" hidden="false" customHeight="true" outlineLevel="0" collapsed="false">
      <c r="B4" s="5" t="s">
        <v>9</v>
      </c>
      <c r="C4" s="6" t="n">
        <v>0.82</v>
      </c>
      <c r="D4" s="7" t="s">
        <v>10</v>
      </c>
      <c r="E4" s="8" t="s">
        <v>11</v>
      </c>
      <c r="F4" s="9" t="s">
        <v>12</v>
      </c>
    </row>
    <row r="5" customFormat="false" ht="16.25" hidden="false" customHeight="false" outlineLevel="0" collapsed="false">
      <c r="B5" s="1" t="s">
        <v>14</v>
      </c>
      <c r="C5" s="6" t="n">
        <v>0.133</v>
      </c>
      <c r="D5" s="10" t="s">
        <v>10</v>
      </c>
      <c r="E5" s="10"/>
      <c r="F5" s="11" t="s">
        <v>33</v>
      </c>
    </row>
    <row r="6" customFormat="false" ht="16.25" hidden="false" customHeight="false" outlineLevel="0" collapsed="false">
      <c r="B6" s="1" t="s">
        <v>16</v>
      </c>
      <c r="C6" s="6" t="n">
        <v>0.0847</v>
      </c>
      <c r="D6" s="10" t="s">
        <v>10</v>
      </c>
      <c r="E6" s="10"/>
      <c r="F6" s="11" t="s">
        <v>17</v>
      </c>
    </row>
    <row r="7" customFormat="false" ht="16.25" hidden="false" customHeight="false" outlineLevel="0" collapsed="false">
      <c r="B7" s="1" t="s">
        <v>19</v>
      </c>
      <c r="C7" s="6" t="n">
        <v>0.42</v>
      </c>
      <c r="D7" s="10" t="s">
        <v>20</v>
      </c>
      <c r="E7" s="10"/>
      <c r="F7" s="11" t="s">
        <v>21</v>
      </c>
    </row>
    <row r="8" customFormat="false" ht="16.25" hidden="false" customHeight="false" outlineLevel="0" collapsed="false">
      <c r="B8" s="1" t="s">
        <v>23</v>
      </c>
      <c r="C8" s="6" t="n">
        <v>0.0077</v>
      </c>
      <c r="D8" s="10" t="s">
        <v>10</v>
      </c>
      <c r="E8" s="10"/>
      <c r="F8" s="11" t="s">
        <v>24</v>
      </c>
    </row>
    <row r="9" customFormat="false" ht="16.25" hidden="false" customHeight="false" outlineLevel="0" collapsed="false">
      <c r="B9" s="1" t="s">
        <v>26</v>
      </c>
      <c r="C9" s="6" t="n">
        <v>0.0085</v>
      </c>
      <c r="D9" s="10" t="s">
        <v>10</v>
      </c>
      <c r="E9" s="1"/>
      <c r="F9" s="11" t="s">
        <v>27</v>
      </c>
    </row>
    <row r="14" customFormat="false" ht="15" hidden="false" customHeight="false" outlineLevel="0" collapsed="false">
      <c r="B14" s="15" t="s">
        <v>37</v>
      </c>
      <c r="C14" s="15"/>
      <c r="D14" s="15"/>
      <c r="E14" s="15"/>
      <c r="F14" s="15"/>
    </row>
    <row r="15" customFormat="false" ht="15" hidden="false" customHeight="false" outlineLevel="0" collapsed="false">
      <c r="B15" s="4" t="s">
        <v>3</v>
      </c>
      <c r="C15" s="4" t="s">
        <v>4</v>
      </c>
      <c r="D15" s="4" t="s">
        <v>5</v>
      </c>
      <c r="E15" s="4" t="s">
        <v>6</v>
      </c>
      <c r="F15" s="4" t="s">
        <v>7</v>
      </c>
    </row>
    <row r="16" customFormat="false" ht="18.75" hidden="false" customHeight="true" outlineLevel="0" collapsed="false">
      <c r="B16" s="5" t="s">
        <v>9</v>
      </c>
      <c r="C16" s="6" t="n">
        <v>0.764</v>
      </c>
      <c r="D16" s="7" t="s">
        <v>10</v>
      </c>
      <c r="E16" s="8" t="s">
        <v>11</v>
      </c>
      <c r="F16" s="9" t="s">
        <v>12</v>
      </c>
    </row>
    <row r="17" customFormat="false" ht="16.25" hidden="false" customHeight="false" outlineLevel="0" collapsed="false">
      <c r="B17" s="1" t="s">
        <v>14</v>
      </c>
      <c r="C17" s="6" t="n">
        <v>0.083</v>
      </c>
      <c r="D17" s="10" t="s">
        <v>10</v>
      </c>
      <c r="E17" s="10"/>
      <c r="F17" s="11" t="s">
        <v>33</v>
      </c>
    </row>
    <row r="18" customFormat="false" ht="16.25" hidden="false" customHeight="false" outlineLevel="0" collapsed="false">
      <c r="B18" s="1" t="s">
        <v>16</v>
      </c>
      <c r="C18" s="6" t="n">
        <v>0.0847</v>
      </c>
      <c r="D18" s="10" t="s">
        <v>10</v>
      </c>
      <c r="E18" s="10"/>
      <c r="F18" s="11" t="s">
        <v>17</v>
      </c>
    </row>
    <row r="19" customFormat="false" ht="16.25" hidden="false" customHeight="false" outlineLevel="0" collapsed="false">
      <c r="B19" s="1" t="s">
        <v>19</v>
      </c>
      <c r="C19" s="6" t="n">
        <v>0.107</v>
      </c>
      <c r="D19" s="10" t="s">
        <v>20</v>
      </c>
      <c r="E19" s="10"/>
      <c r="F19" s="11" t="s">
        <v>21</v>
      </c>
    </row>
    <row r="20" customFormat="false" ht="16.25" hidden="false" customHeight="false" outlineLevel="0" collapsed="false">
      <c r="B20" s="1" t="s">
        <v>23</v>
      </c>
      <c r="C20" s="6" t="n">
        <v>0.0106</v>
      </c>
      <c r="D20" s="10" t="s">
        <v>10</v>
      </c>
      <c r="E20" s="10"/>
      <c r="F20" s="11" t="s">
        <v>24</v>
      </c>
    </row>
    <row r="21" customFormat="false" ht="16.25" hidden="false" customHeight="false" outlineLevel="0" collapsed="false">
      <c r="B21" s="1" t="s">
        <v>26</v>
      </c>
      <c r="C21" s="6" t="n">
        <v>0.0181</v>
      </c>
      <c r="D21" s="10" t="s">
        <v>10</v>
      </c>
      <c r="E21" s="1"/>
      <c r="F21" s="11" t="s">
        <v>27</v>
      </c>
    </row>
    <row r="26" customFormat="false" ht="15" hidden="false" customHeight="false" outlineLevel="0" collapsed="false">
      <c r="B26" s="0" t="s">
        <v>38</v>
      </c>
    </row>
    <row r="27" customFormat="false" ht="15" hidden="false" customHeight="false" outlineLevel="0" collapsed="false">
      <c r="B27" s="0" t="s">
        <v>14</v>
      </c>
    </row>
    <row r="28" customFormat="false" ht="16.25" hidden="false" customHeight="false" outlineLevel="0" collapsed="false">
      <c r="B28" s="16" t="s">
        <v>39</v>
      </c>
    </row>
    <row r="29" customFormat="false" ht="15" hidden="false" customHeight="false" outlineLevel="0" collapsed="false">
      <c r="B29" s="0" t="s">
        <v>9</v>
      </c>
    </row>
    <row r="30" customFormat="false" ht="16.25" hidden="false" customHeight="false" outlineLevel="0" collapsed="false">
      <c r="B30" s="16" t="s">
        <v>40</v>
      </c>
    </row>
  </sheetData>
  <hyperlinks>
    <hyperlink ref="F5" location="'Masa salarial'!A1" display="Transable / masa salarial manufacturera"/>
    <hyperlink ref="F6" location="Intereses!A1" display="Intereses pagados / VBP"/>
    <hyperlink ref="F7" location="Exportaciones!A1" display="Exportaciones / VBP"/>
    <hyperlink ref="F8" location="'Importación Maquinaria'!A1" display="Efecto aumento consumo capital fijo maquinaria importada / consumo de capital fijo"/>
    <hyperlink ref="F9" location="'Importación Maquinaria'!A1" display="Aumento stock respecto del stock de maquinaria"/>
    <hyperlink ref="F17" location="'Masa salarial'!A1" display="Transable / masa salarial manufacturera"/>
    <hyperlink ref="F18" location="Intereses!A1" display="Intereses pagados / VBP"/>
    <hyperlink ref="F19" location="Exportaciones!A1" display="Exportaciones / VBP"/>
    <hyperlink ref="F20" location="'Importación Maquinaria'!A1" display="Efecto aumento consumo capital fijo maquinaria importada / consumo de capital fijo"/>
    <hyperlink ref="F21" location="'Importación Maquinaria'!A1" display="Aumento stock respecto del stock de maquinaria"/>
    <hyperlink ref="B28" r:id="rId1" location="gid=1825138045%20" display="https://docs.google.com/spreadsheets/d/1mxvi1bIWz5WpHcGaBE-OJZTV5XA-hqzD5fn_03F-LMw/edit?gid=1825138045#gid=1825138045 "/>
    <hyperlink ref="B30" r:id="rId2" location="gid=1371237672%20" display="https://docs.google.com/spreadsheets/d/1EjWnRovNLRfISF26lYHPvSVCcWHPUdPtjIY-m_xft28/edit?gid=1371237672#gid=1371237672 "/>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F20" activeCellId="0" sqref="F20"/>
    </sheetView>
  </sheetViews>
  <sheetFormatPr defaultColWidth="10.50390625" defaultRowHeight="15" zeroHeight="false" outlineLevelRow="0" outlineLevelCol="0"/>
  <sheetData>
    <row r="1" customFormat="false" ht="17.35" hidden="false" customHeight="false" outlineLevel="0" collapsed="false">
      <c r="C1" s="17" t="s">
        <v>41</v>
      </c>
    </row>
    <row r="3" customFormat="false" ht="15" hidden="false" customHeight="false" outlineLevel="0" collapsed="false">
      <c r="C3" s="18" t="s">
        <v>42</v>
      </c>
      <c r="D3" s="18" t="s">
        <v>43</v>
      </c>
      <c r="E3" s="18" t="s">
        <v>44</v>
      </c>
      <c r="F3" s="19" t="s">
        <v>45</v>
      </c>
      <c r="G3" s="19" t="s">
        <v>46</v>
      </c>
      <c r="H3" s="19"/>
      <c r="I3" s="19"/>
      <c r="J3" s="19" t="s">
        <v>47</v>
      </c>
    </row>
    <row r="4" customFormat="false" ht="15" hidden="false" customHeight="false" outlineLevel="0" collapsed="false">
      <c r="B4" s="20" t="n">
        <v>2000</v>
      </c>
      <c r="C4" s="21" t="n">
        <v>12.114925</v>
      </c>
      <c r="D4" s="21" t="n">
        <v>17.830572</v>
      </c>
      <c r="E4" s="22" t="n">
        <f aca="false">D4/C4-1</f>
        <v>0.471785586786546</v>
      </c>
      <c r="F4" s="23" t="n">
        <f aca="false">D4/C4</f>
        <v>1.47178558678655</v>
      </c>
      <c r="G4" s="23"/>
      <c r="H4" s="23"/>
      <c r="I4" s="23"/>
      <c r="J4" s="24" t="n">
        <f aca="false">C4*E4</f>
        <v>5.715647</v>
      </c>
      <c r="K4" s="24" t="n">
        <f aca="false">J4+C4</f>
        <v>17.830572</v>
      </c>
      <c r="M4" s="24" t="n">
        <f aca="false">C4*F4</f>
        <v>17.830572</v>
      </c>
    </row>
    <row r="5" customFormat="false" ht="15" hidden="false" customHeight="false" outlineLevel="0" collapsed="false">
      <c r="B5" s="20" t="n">
        <v>2001</v>
      </c>
      <c r="C5" s="21" t="n">
        <v>13.408852</v>
      </c>
      <c r="D5" s="21" t="n">
        <v>19.078999</v>
      </c>
      <c r="E5" s="22" t="n">
        <f aca="false">D5/C5-1</f>
        <v>0.422865954520193</v>
      </c>
      <c r="F5" s="23" t="n">
        <f aca="false">D5/C5</f>
        <v>1.42286595452019</v>
      </c>
      <c r="G5" s="25" t="n">
        <v>0.284608358511014</v>
      </c>
      <c r="H5" s="23"/>
      <c r="I5" s="23"/>
    </row>
    <row r="6" customFormat="false" ht="15" hidden="false" customHeight="false" outlineLevel="0" collapsed="false">
      <c r="B6" s="20" t="n">
        <v>2002</v>
      </c>
      <c r="C6" s="21" t="n">
        <v>21.587268</v>
      </c>
      <c r="D6" s="21" t="n">
        <v>22.652647</v>
      </c>
      <c r="E6" s="22" t="n">
        <f aca="false">D6/C6-1</f>
        <v>0.0493521922273814</v>
      </c>
      <c r="F6" s="23" t="n">
        <f aca="false">D6/C6</f>
        <v>1.04935219222738</v>
      </c>
      <c r="G6" s="25" t="n">
        <v>0.348342590744388</v>
      </c>
      <c r="H6" s="23"/>
      <c r="I6" s="23"/>
    </row>
    <row r="7" customFormat="false" ht="15" hidden="false" customHeight="false" outlineLevel="0" collapsed="false">
      <c r="B7" s="20" t="n">
        <v>2003</v>
      </c>
      <c r="C7" s="21" t="n">
        <v>28.369939</v>
      </c>
      <c r="D7" s="21" t="n">
        <v>26.367312</v>
      </c>
      <c r="E7" s="22" t="n">
        <f aca="false">D7/C7-1</f>
        <v>-0.0705897534710949</v>
      </c>
      <c r="F7" s="23" t="n">
        <f aca="false">D7/C7</f>
        <v>0.929410246528905</v>
      </c>
      <c r="G7" s="25" t="n">
        <v>0.408346289539898</v>
      </c>
      <c r="H7" s="23"/>
      <c r="I7" s="23"/>
    </row>
    <row r="8" customFormat="false" ht="15" hidden="false" customHeight="false" outlineLevel="0" collapsed="false">
      <c r="B8" s="20" t="n">
        <v>2004</v>
      </c>
      <c r="C8" s="21" t="n">
        <v>28.703792</v>
      </c>
      <c r="D8" s="21" t="n">
        <v>29.122846</v>
      </c>
      <c r="E8" s="22" t="n">
        <f aca="false">D8/C8-1</f>
        <v>0.0145992557359669</v>
      </c>
      <c r="F8" s="23" t="n">
        <f aca="false">D8/C8</f>
        <v>1.01459925573597</v>
      </c>
      <c r="G8" s="25" t="n">
        <v>0.441312037199924</v>
      </c>
      <c r="H8" s="23"/>
      <c r="I8" s="23"/>
    </row>
    <row r="9" customFormat="false" ht="15" hidden="false" customHeight="false" outlineLevel="0" collapsed="false">
      <c r="B9" s="20" t="n">
        <v>2005</v>
      </c>
      <c r="C9" s="21" t="n">
        <v>24.478579</v>
      </c>
      <c r="D9" s="21" t="n">
        <v>28.325217</v>
      </c>
      <c r="E9" s="22" t="n">
        <f aca="false">D9/C9-1</f>
        <v>0.157143026970642</v>
      </c>
      <c r="F9" s="23" t="n">
        <f aca="false">D9/C9</f>
        <v>1.15714302697064</v>
      </c>
      <c r="G9" s="25" t="n">
        <v>0.348896233827132</v>
      </c>
      <c r="H9" s="23"/>
      <c r="I9" s="23"/>
    </row>
    <row r="10" customFormat="false" ht="15" hidden="false" customHeight="false" outlineLevel="0" collapsed="false">
      <c r="B10" s="20" t="n">
        <v>2006</v>
      </c>
      <c r="C10" s="21" t="n">
        <v>24.073374</v>
      </c>
      <c r="D10" s="21" t="n">
        <v>29.954262</v>
      </c>
      <c r="E10" s="22" t="n">
        <f aca="false">D10/C10-1</f>
        <v>0.244290143957386</v>
      </c>
      <c r="F10" s="23" t="n">
        <f aca="false">D10/C10</f>
        <v>1.24429014395739</v>
      </c>
      <c r="G10" s="25" t="n">
        <v>0.49998349460013</v>
      </c>
      <c r="H10" s="23"/>
      <c r="I10" s="23"/>
    </row>
    <row r="11" customFormat="false" ht="15" hidden="false" customHeight="false" outlineLevel="0" collapsed="false">
      <c r="B11" s="20" t="n">
        <v>2007</v>
      </c>
      <c r="C11" s="21" t="n">
        <v>23.471036</v>
      </c>
      <c r="D11" s="21" t="n">
        <v>30.861639</v>
      </c>
      <c r="E11" s="22" t="n">
        <f aca="false">D11/C11-1</f>
        <v>0.314881839898332</v>
      </c>
      <c r="F11" s="23" t="n">
        <f aca="false">D11/C11</f>
        <v>1.31488183989833</v>
      </c>
      <c r="G11" s="25" t="n">
        <v>0.424297647865639</v>
      </c>
      <c r="H11" s="23"/>
      <c r="I11" s="23"/>
    </row>
    <row r="12" customFormat="false" ht="15" hidden="false" customHeight="false" outlineLevel="0" collapsed="false">
      <c r="B12" s="20" t="n">
        <v>2008</v>
      </c>
      <c r="C12" s="21" t="n">
        <v>20.949345</v>
      </c>
      <c r="D12" s="21" t="n">
        <v>30.471964</v>
      </c>
      <c r="E12" s="22" t="n">
        <f aca="false">D12/C12-1</f>
        <v>0.454554498004591</v>
      </c>
      <c r="F12" s="23" t="n">
        <f aca="false">D12/C12</f>
        <v>1.45455449800459</v>
      </c>
      <c r="G12" s="25" t="n">
        <v>0.43855249708647</v>
      </c>
      <c r="H12" s="23"/>
      <c r="I12" s="23"/>
    </row>
    <row r="13" customFormat="false" ht="15" hidden="false" customHeight="false" outlineLevel="0" collapsed="false">
      <c r="B13" s="20" t="n">
        <v>2009</v>
      </c>
      <c r="C13" s="21" t="n">
        <v>22.567971</v>
      </c>
      <c r="D13" s="21" t="n">
        <v>32.276463</v>
      </c>
      <c r="E13" s="22" t="n">
        <f aca="false">D13/C13-1</f>
        <v>0.43018896116093</v>
      </c>
      <c r="F13" s="23" t="n">
        <f aca="false">D13/C13</f>
        <v>1.43018896116093</v>
      </c>
      <c r="G13" s="25" t="n">
        <v>0.438862452620925</v>
      </c>
      <c r="H13" s="23"/>
      <c r="I13" s="23"/>
    </row>
    <row r="14" customFormat="false" ht="15" hidden="false" customHeight="false" outlineLevel="0" collapsed="false">
      <c r="B14" s="20" t="n">
        <v>2010</v>
      </c>
      <c r="C14" s="21" t="n">
        <v>20.059238</v>
      </c>
      <c r="D14" s="21" t="n">
        <v>32.828748</v>
      </c>
      <c r="E14" s="22" t="n">
        <f aca="false">D14/C14-1</f>
        <v>0.636589984126017</v>
      </c>
      <c r="F14" s="23" t="n">
        <f aca="false">D14/C14</f>
        <v>1.63658998412602</v>
      </c>
      <c r="G14" s="25" t="n">
        <v>0.418923636662539</v>
      </c>
      <c r="H14" s="23"/>
      <c r="I14" s="23"/>
    </row>
    <row r="15" customFormat="false" ht="15" hidden="false" customHeight="false" outlineLevel="0" collapsed="false">
      <c r="B15" s="20" t="n">
        <v>2011</v>
      </c>
      <c r="C15" s="21" t="n">
        <v>19.314209</v>
      </c>
      <c r="D15" s="21" t="n">
        <v>34.651025</v>
      </c>
      <c r="E15" s="22" t="n">
        <f aca="false">D15/C15-1</f>
        <v>0.794069071117538</v>
      </c>
      <c r="F15" s="23" t="n">
        <f aca="false">D15/C15</f>
        <v>1.79406907111754</v>
      </c>
      <c r="G15" s="25" t="n">
        <v>0.438936674533218</v>
      </c>
      <c r="H15" s="23"/>
      <c r="I15" s="23"/>
    </row>
    <row r="16" customFormat="false" ht="15" hidden="false" customHeight="false" outlineLevel="0" collapsed="false">
      <c r="B16" s="20" t="n">
        <v>2012</v>
      </c>
      <c r="C16" s="21" t="n">
        <v>20.310164</v>
      </c>
      <c r="D16" s="21" t="n">
        <v>35.243068</v>
      </c>
      <c r="E16" s="22" t="n">
        <f aca="false">D16/C16-1</f>
        <v>0.735242905965703</v>
      </c>
      <c r="F16" s="23" t="n">
        <f aca="false">D16/C16</f>
        <v>1.7352429059657</v>
      </c>
      <c r="G16" s="25" t="n">
        <v>0.409401766036517</v>
      </c>
      <c r="H16" s="23"/>
      <c r="I16" s="23"/>
    </row>
    <row r="17" customFormat="false" ht="15" hidden="false" customHeight="false" outlineLevel="0" collapsed="false">
      <c r="B17" s="20" t="n">
        <v>2013</v>
      </c>
      <c r="C17" s="21" t="n">
        <v>20.481618</v>
      </c>
      <c r="D17" s="21" t="n">
        <v>35.991435</v>
      </c>
      <c r="E17" s="22" t="n">
        <f aca="false">D17/C17-1</f>
        <v>0.757255457063988</v>
      </c>
      <c r="F17" s="23" t="n">
        <f aca="false">D17/C17</f>
        <v>1.75725545706399</v>
      </c>
      <c r="G17" s="25" t="n">
        <v>0.387283066880807</v>
      </c>
      <c r="H17" s="23"/>
      <c r="I17" s="23"/>
    </row>
    <row r="18" customFormat="false" ht="15" hidden="false" customHeight="false" outlineLevel="0" collapsed="false">
      <c r="B18" s="20" t="n">
        <v>2014</v>
      </c>
      <c r="C18" s="21" t="n">
        <v>23.246061</v>
      </c>
      <c r="D18" s="21" t="n">
        <v>38.372773</v>
      </c>
      <c r="E18" s="22" t="n">
        <f aca="false">D18/C18-1</f>
        <v>0.650721513636224</v>
      </c>
      <c r="F18" s="23" t="n">
        <f aca="false">D18/C18</f>
        <v>1.65072151363622</v>
      </c>
      <c r="G18" s="25" t="n">
        <v>0.39717052779537</v>
      </c>
      <c r="H18" s="23"/>
      <c r="I18" s="23"/>
    </row>
    <row r="19" customFormat="false" ht="15" hidden="false" customHeight="false" outlineLevel="0" collapsed="false">
      <c r="B19" s="20" t="n">
        <v>2015</v>
      </c>
      <c r="C19" s="21" t="n">
        <v>27.327226</v>
      </c>
      <c r="D19" s="21" t="n">
        <v>41.149156</v>
      </c>
      <c r="E19" s="22" t="n">
        <f aca="false">D19/C19-1</f>
        <v>0.505793379832991</v>
      </c>
      <c r="F19" s="23" t="n">
        <f aca="false">D19/C19</f>
        <v>1.50579337983299</v>
      </c>
      <c r="G19" s="25" t="n">
        <v>0.419132783777974</v>
      </c>
      <c r="H19" s="23"/>
      <c r="I19" s="23"/>
    </row>
    <row r="20" customFormat="false" ht="15" hidden="false" customHeight="false" outlineLevel="0" collapsed="false">
      <c r="B20" s="20" t="n">
        <v>2016</v>
      </c>
      <c r="C20" s="21" t="n">
        <v>30.1626</v>
      </c>
      <c r="D20" s="21" t="n">
        <v>44.043941</v>
      </c>
      <c r="E20" s="22" t="n">
        <f aca="false">D20/C20-1</f>
        <v>0.460216990577735</v>
      </c>
      <c r="F20" s="23" t="n">
        <f aca="false">D20/C20</f>
        <v>1.46021699057774</v>
      </c>
      <c r="G20" s="25" t="n">
        <v>0.42511183352414</v>
      </c>
      <c r="H20" s="23"/>
      <c r="I20" s="23"/>
    </row>
    <row r="21" customFormat="false" ht="15" hidden="false" customHeight="false" outlineLevel="0" collapsed="false">
      <c r="B21" s="20" t="n">
        <v>2017</v>
      </c>
      <c r="C21" s="21" t="n">
        <v>28.65</v>
      </c>
      <c r="D21" s="21" t="n">
        <v>44.520022</v>
      </c>
      <c r="E21" s="22" t="n">
        <f aca="false">D21/C21-1</f>
        <v>0.553927469458988</v>
      </c>
      <c r="F21" s="23" t="n">
        <f aca="false">D21/C21</f>
        <v>1.55392746945899</v>
      </c>
      <c r="G21" s="25" t="n">
        <v>0.430169512150113</v>
      </c>
      <c r="H21" s="23"/>
      <c r="I21" s="23"/>
    </row>
    <row r="22" customFormat="false" ht="15" hidden="false" customHeight="false" outlineLevel="0" collapsed="false">
      <c r="B22" s="20" t="n">
        <v>2018</v>
      </c>
      <c r="C22" s="21" t="n">
        <v>30.77</v>
      </c>
      <c r="D22" s="21" t="n">
        <v>47.58936</v>
      </c>
      <c r="E22" s="22" t="n">
        <f aca="false">D22/C22-1</f>
        <v>0.546615534611635</v>
      </c>
      <c r="F22" s="23" t="n">
        <f aca="false">D22/C22</f>
        <v>1.54661553461163</v>
      </c>
      <c r="G22" s="25" t="n">
        <v>0.424847501415742</v>
      </c>
      <c r="H22" s="23"/>
      <c r="I22" s="23"/>
    </row>
    <row r="23" customFormat="false" ht="15" hidden="false" customHeight="false" outlineLevel="0" collapsed="false">
      <c r="B23" s="20" t="n">
        <v>2019</v>
      </c>
      <c r="C23" s="21" t="n">
        <v>35.3</v>
      </c>
      <c r="D23" s="21" t="n">
        <v>50.391059</v>
      </c>
      <c r="E23" s="22" t="n">
        <f aca="false">D23/C23-1</f>
        <v>0.427508753541077</v>
      </c>
      <c r="F23" s="23" t="n">
        <f aca="false">D23/C23</f>
        <v>1.42750875354108</v>
      </c>
      <c r="G23" s="25" t="n">
        <v>0.447032649885035</v>
      </c>
      <c r="H23" s="23"/>
      <c r="I23" s="23"/>
    </row>
    <row r="24" customFormat="false" ht="15" hidden="false" customHeight="false" outlineLevel="0" collapsed="false">
      <c r="B24" s="20" t="n">
        <v>2020</v>
      </c>
      <c r="C24" s="21" t="n">
        <v>42</v>
      </c>
      <c r="D24" s="21" t="n">
        <v>57.605681</v>
      </c>
      <c r="E24" s="22" t="n">
        <f aca="false">D24/C24-1</f>
        <v>0.371563833333333</v>
      </c>
      <c r="F24" s="23" t="n">
        <f aca="false">D24/C24</f>
        <v>1.37156383333333</v>
      </c>
      <c r="G24" s="25" t="n">
        <v>0.460260712999386</v>
      </c>
      <c r="H24" s="23"/>
      <c r="I24" s="23"/>
    </row>
    <row r="25" customFormat="false" ht="15" hidden="false" customHeight="false" outlineLevel="0" collapsed="false">
      <c r="B25" s="20" t="n">
        <v>2021</v>
      </c>
      <c r="C25" s="21" t="n">
        <v>43.56</v>
      </c>
      <c r="D25" s="21" t="n">
        <v>58.976208</v>
      </c>
      <c r="E25" s="22" t="n">
        <f aca="false">D25/C25-1</f>
        <v>0.353907438016529</v>
      </c>
      <c r="F25" s="23" t="n">
        <f aca="false">D25/C25</f>
        <v>1.35390743801653</v>
      </c>
      <c r="G25" s="25" t="n">
        <v>0.523579973441658</v>
      </c>
      <c r="H25" s="23"/>
      <c r="I25" s="23"/>
    </row>
    <row r="26" customFormat="false" ht="15" hidden="false" customHeight="false" outlineLevel="0" collapsed="false">
      <c r="B26" s="20" t="n">
        <v>2022</v>
      </c>
      <c r="C26" s="21" t="n">
        <v>41.3</v>
      </c>
      <c r="D26" s="21" t="n">
        <v>58.134197</v>
      </c>
      <c r="E26" s="22" t="n">
        <f aca="false">D26/C26-1</f>
        <v>0.407607675544794</v>
      </c>
      <c r="F26" s="23" t="n">
        <f aca="false">D26/C26</f>
        <v>1.40760767554479</v>
      </c>
      <c r="G26" s="25" t="n">
        <v>0.476444414036497</v>
      </c>
      <c r="H26" s="23"/>
      <c r="I26" s="23"/>
    </row>
    <row r="27" customFormat="false" ht="15" hidden="false" customHeight="false" outlineLevel="0" collapsed="false">
      <c r="B27" s="20" t="n">
        <v>2023</v>
      </c>
      <c r="C27" s="21" t="n">
        <v>38.695</v>
      </c>
      <c r="D27" s="21" t="n">
        <v>60.006461</v>
      </c>
      <c r="E27" s="22" t="n">
        <f aca="false">D27/C27-1</f>
        <v>0.550754903734333</v>
      </c>
      <c r="F27" s="23" t="n">
        <f aca="false">D27/C27</f>
        <v>1.55075490373433</v>
      </c>
      <c r="G27" s="25" t="n">
        <v>0.462073672138656</v>
      </c>
      <c r="H27" s="23"/>
      <c r="I27" s="23"/>
    </row>
    <row r="28" customFormat="false" ht="15" hidden="false" customHeight="false" outlineLevel="0" collapsed="false">
      <c r="B28" s="20" t="n">
        <v>2024</v>
      </c>
      <c r="C28" s="21" t="n">
        <v>40.235</v>
      </c>
      <c r="D28" s="21" t="n">
        <v>61.848214</v>
      </c>
      <c r="E28" s="22" t="n">
        <f aca="false">D28/C28-1</f>
        <v>0.53717445010563</v>
      </c>
      <c r="F28" s="23" t="n">
        <f aca="false">D28/C28</f>
        <v>1.53717445010563</v>
      </c>
      <c r="G28" s="25" t="n">
        <v>0.483368552741275</v>
      </c>
      <c r="H28" s="23"/>
      <c r="I28" s="23"/>
    </row>
    <row r="30" customFormat="false" ht="15" hidden="false" customHeight="false" outlineLevel="0" collapsed="false">
      <c r="C30" s="0" t="s">
        <v>48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E10" activePane="bottomRight" state="frozen"/>
      <selection pane="topLeft" activeCell="A1" activeCellId="0" sqref="A1"/>
      <selection pane="topRight" activeCell="E1" activeCellId="0" sqref="E1"/>
      <selection pane="bottomLeft" activeCell="A10" activeCellId="0" sqref="A10"/>
      <selection pane="bottomRight" activeCell="B26" activeCellId="0" sqref="B26"/>
    </sheetView>
  </sheetViews>
  <sheetFormatPr defaultColWidth="14.4296875" defaultRowHeight="15" zeroHeight="false" outlineLevelRow="0" outlineLevelCol="0"/>
  <cols>
    <col collapsed="false" customWidth="true" hidden="false" outlineLevel="0" max="2" min="2" style="0" width="46.29"/>
    <col collapsed="false" customWidth="true" hidden="false" outlineLevel="0" max="3" min="3" style="0" width="17.43"/>
    <col collapsed="false" customWidth="true" hidden="false" outlineLevel="0" max="4" min="4" style="0" width="24.29"/>
    <col collapsed="false" customWidth="true" hidden="false" outlineLevel="0" max="5" min="5" style="0" width="26.57"/>
    <col collapsed="false" customWidth="true" hidden="false" outlineLevel="0" max="6" min="6" style="0" width="34.29"/>
    <col collapsed="false" customWidth="true" hidden="false" outlineLevel="0" max="7" min="7" style="0" width="41.43"/>
  </cols>
  <sheetData>
    <row r="1" customFormat="false" ht="17.35" hidden="false" customHeight="false" outlineLevel="0" collapsed="false">
      <c r="A1" s="17" t="s">
        <v>49</v>
      </c>
      <c r="B1" s="26"/>
      <c r="C1" s="26"/>
      <c r="D1" s="26"/>
      <c r="E1" s="26"/>
      <c r="F1" s="26"/>
      <c r="G1" s="26"/>
    </row>
    <row r="2" customFormat="false" ht="15" hidden="false" customHeight="false" outlineLevel="0" collapsed="false">
      <c r="A2" s="27" t="s">
        <v>50</v>
      </c>
      <c r="B2" s="26"/>
      <c r="C2" s="26"/>
      <c r="D2" s="26"/>
      <c r="E2" s="26"/>
      <c r="F2" s="26"/>
      <c r="G2" s="26"/>
    </row>
    <row r="3" customFormat="false" ht="16.25" hidden="false" customHeight="false" outlineLevel="0" collapsed="false">
      <c r="A3" s="28" t="s">
        <v>51</v>
      </c>
      <c r="B3" s="26"/>
      <c r="C3" s="26"/>
      <c r="D3" s="26"/>
      <c r="E3" s="26"/>
      <c r="F3" s="26"/>
      <c r="G3" s="26"/>
    </row>
    <row r="4" customFormat="false" ht="15" hidden="false" customHeight="false" outlineLevel="0" collapsed="false">
      <c r="A4" s="26"/>
      <c r="B4" s="26"/>
      <c r="C4" s="26"/>
      <c r="D4" s="26"/>
      <c r="E4" s="26"/>
      <c r="F4" s="26"/>
      <c r="G4" s="26"/>
    </row>
    <row r="5" s="30" customFormat="true" ht="69" hidden="false" customHeight="true" outlineLevel="0" collapsed="false">
      <c r="A5" s="29" t="s">
        <v>8</v>
      </c>
      <c r="B5" s="29" t="s">
        <v>52</v>
      </c>
      <c r="C5" s="29" t="s">
        <v>53</v>
      </c>
      <c r="D5" s="29" t="s">
        <v>54</v>
      </c>
      <c r="E5" s="29" t="s">
        <v>55</v>
      </c>
      <c r="F5" s="29" t="s">
        <v>56</v>
      </c>
      <c r="G5" s="29" t="s">
        <v>57</v>
      </c>
    </row>
    <row r="6" customFormat="false" ht="15" hidden="false" customHeight="false" outlineLevel="0" collapsed="false">
      <c r="A6" s="31" t="s">
        <v>58</v>
      </c>
      <c r="B6" s="31" t="s">
        <v>59</v>
      </c>
      <c r="C6" s="32"/>
      <c r="D6" s="32"/>
      <c r="E6" s="32"/>
      <c r="F6" s="32"/>
      <c r="G6" s="32"/>
    </row>
    <row r="7" customFormat="false" ht="15" hidden="false" customHeight="false" outlineLevel="0" collapsed="false">
      <c r="A7" s="33"/>
      <c r="B7" s="34" t="s">
        <v>14</v>
      </c>
      <c r="C7" s="35"/>
      <c r="D7" s="36" t="n">
        <v>721193</v>
      </c>
      <c r="E7" s="36" t="n">
        <v>65854</v>
      </c>
      <c r="F7" s="36" t="n">
        <v>42302</v>
      </c>
      <c r="G7" s="36" t="n">
        <v>19854</v>
      </c>
    </row>
    <row r="8" customFormat="false" ht="15" hidden="false" customHeight="false" outlineLevel="0" collapsed="false">
      <c r="A8" s="33"/>
      <c r="B8" s="33" t="s">
        <v>60</v>
      </c>
      <c r="C8" s="37" t="n">
        <v>0.088</v>
      </c>
      <c r="D8" s="38" t="n">
        <v>63452</v>
      </c>
      <c r="E8" s="38" t="n">
        <v>5794</v>
      </c>
      <c r="F8" s="38" t="n">
        <v>3722</v>
      </c>
      <c r="G8" s="38" t="n">
        <v>1747</v>
      </c>
    </row>
    <row r="9" customFormat="false" ht="15" hidden="false" customHeight="false" outlineLevel="0" collapsed="false">
      <c r="A9" s="33"/>
      <c r="B9" s="33" t="s">
        <v>61</v>
      </c>
      <c r="C9" s="37" t="n">
        <v>0.044</v>
      </c>
      <c r="D9" s="38" t="n">
        <v>31591</v>
      </c>
      <c r="E9" s="38" t="n">
        <v>2885</v>
      </c>
      <c r="F9" s="38" t="n">
        <v>1853</v>
      </c>
      <c r="G9" s="39" t="n">
        <v>870</v>
      </c>
    </row>
    <row r="10" customFormat="false" ht="15" hidden="false" customHeight="false" outlineLevel="0" collapsed="false">
      <c r="A10" s="33"/>
      <c r="B10" s="33" t="s">
        <v>62</v>
      </c>
      <c r="C10" s="37" t="n">
        <v>0.326</v>
      </c>
      <c r="D10" s="38" t="n">
        <v>235362</v>
      </c>
      <c r="E10" s="38" t="n">
        <v>21492</v>
      </c>
      <c r="F10" s="38" t="n">
        <v>13805</v>
      </c>
      <c r="G10" s="38" t="n">
        <v>6479</v>
      </c>
    </row>
    <row r="11" customFormat="false" ht="15" hidden="false" customHeight="false" outlineLevel="0" collapsed="false">
      <c r="A11" s="33"/>
      <c r="B11" s="33" t="s">
        <v>63</v>
      </c>
      <c r="C11" s="37" t="n">
        <v>0.088</v>
      </c>
      <c r="D11" s="38" t="n">
        <v>63452</v>
      </c>
      <c r="E11" s="38" t="n">
        <v>5794</v>
      </c>
      <c r="F11" s="38" t="n">
        <v>3722</v>
      </c>
      <c r="G11" s="38" t="n">
        <v>1747</v>
      </c>
    </row>
    <row r="12" customFormat="false" ht="15" hidden="false" customHeight="false" outlineLevel="0" collapsed="false">
      <c r="A12" s="33"/>
      <c r="B12" s="34" t="s">
        <v>64</v>
      </c>
      <c r="C12" s="37" t="n">
        <v>0.458</v>
      </c>
      <c r="D12" s="36" t="n">
        <v>330405</v>
      </c>
      <c r="E12" s="36" t="n">
        <v>30170</v>
      </c>
      <c r="F12" s="36" t="n">
        <v>19380</v>
      </c>
      <c r="G12" s="36" t="n">
        <v>9096</v>
      </c>
    </row>
    <row r="13" customFormat="false" ht="15" hidden="false" customHeight="false" outlineLevel="0" collapsed="false">
      <c r="A13" s="33"/>
      <c r="B13" s="33" t="s">
        <v>65</v>
      </c>
      <c r="C13" s="37" t="n">
        <v>0.029</v>
      </c>
      <c r="D13" s="38" t="n">
        <v>20773</v>
      </c>
      <c r="E13" s="38" t="n">
        <v>1897</v>
      </c>
      <c r="F13" s="38" t="n">
        <v>1218</v>
      </c>
      <c r="G13" s="39" t="n">
        <v>572</v>
      </c>
    </row>
    <row r="14" customFormat="false" ht="15" hidden="false" customHeight="false" outlineLevel="0" collapsed="false">
      <c r="A14" s="33"/>
      <c r="B14" s="33" t="s">
        <v>66</v>
      </c>
      <c r="C14" s="37" t="n">
        <v>0</v>
      </c>
      <c r="D14" s="39" t="n">
        <v>0</v>
      </c>
      <c r="E14" s="39" t="n">
        <v>0</v>
      </c>
      <c r="F14" s="39" t="n">
        <v>0</v>
      </c>
      <c r="G14" s="39" t="n">
        <v>0</v>
      </c>
    </row>
    <row r="15" customFormat="false" ht="15" hidden="false" customHeight="false" outlineLevel="0" collapsed="false">
      <c r="A15" s="33"/>
      <c r="B15" s="33" t="s">
        <v>67</v>
      </c>
      <c r="C15" s="37" t="n">
        <v>0.513</v>
      </c>
      <c r="D15" s="38" t="n">
        <v>370015</v>
      </c>
      <c r="E15" s="38" t="n">
        <v>33787</v>
      </c>
      <c r="F15" s="38" t="n">
        <v>21704</v>
      </c>
      <c r="G15" s="38" t="n">
        <v>10186</v>
      </c>
    </row>
    <row r="16" customFormat="false" ht="15" hidden="false" customHeight="false" outlineLevel="0" collapsed="false">
      <c r="A16" s="33"/>
      <c r="B16" s="34" t="s">
        <v>68</v>
      </c>
      <c r="C16" s="37" t="n">
        <v>0.542</v>
      </c>
      <c r="D16" s="36" t="n">
        <v>390788</v>
      </c>
      <c r="E16" s="36" t="n">
        <v>35684</v>
      </c>
      <c r="F16" s="36" t="n">
        <v>22922</v>
      </c>
      <c r="G16" s="36" t="n">
        <v>10758</v>
      </c>
    </row>
    <row r="17" customFormat="false" ht="15" hidden="false" customHeight="false" outlineLevel="0" collapsed="false">
      <c r="A17" s="33"/>
      <c r="B17" s="33" t="s">
        <v>69</v>
      </c>
      <c r="C17" s="37" t="n">
        <v>0.032</v>
      </c>
      <c r="D17" s="38" t="n">
        <v>23382</v>
      </c>
      <c r="E17" s="38" t="n">
        <v>2135</v>
      </c>
      <c r="F17" s="38" t="n">
        <v>1371</v>
      </c>
      <c r="G17" s="39" t="n">
        <v>644</v>
      </c>
    </row>
    <row r="18" customFormat="false" ht="15" hidden="false" customHeight="false" outlineLevel="0" collapsed="false">
      <c r="A18" s="31" t="s">
        <v>58</v>
      </c>
      <c r="B18" s="31" t="s">
        <v>70</v>
      </c>
      <c r="C18" s="32"/>
      <c r="D18" s="32"/>
      <c r="E18" s="32"/>
      <c r="F18" s="32"/>
      <c r="G18" s="32"/>
    </row>
    <row r="19" customFormat="false" ht="15" hidden="false" customHeight="false" outlineLevel="0" collapsed="false">
      <c r="A19" s="33"/>
      <c r="B19" s="34" t="s">
        <v>14</v>
      </c>
      <c r="C19" s="35"/>
      <c r="D19" s="36" t="n">
        <v>786593</v>
      </c>
      <c r="E19" s="36" t="n">
        <v>70585</v>
      </c>
      <c r="F19" s="36" t="n">
        <v>46277</v>
      </c>
      <c r="G19" s="36" t="n">
        <v>20558</v>
      </c>
    </row>
    <row r="20" customFormat="false" ht="15" hidden="false" customHeight="false" outlineLevel="0" collapsed="false">
      <c r="A20" s="33"/>
      <c r="B20" s="33" t="s">
        <v>60</v>
      </c>
      <c r="C20" s="37" t="n">
        <v>0.089</v>
      </c>
      <c r="D20" s="38" t="n">
        <v>69887</v>
      </c>
      <c r="E20" s="38" t="n">
        <v>6271</v>
      </c>
      <c r="F20" s="38" t="n">
        <v>4112</v>
      </c>
      <c r="G20" s="38" t="n">
        <v>1827</v>
      </c>
    </row>
    <row r="21" customFormat="false" ht="15" hidden="false" customHeight="false" outlineLevel="0" collapsed="false">
      <c r="A21" s="33"/>
      <c r="B21" s="33" t="s">
        <v>61</v>
      </c>
      <c r="C21" s="37" t="n">
        <v>0.041</v>
      </c>
      <c r="D21" s="38" t="n">
        <v>32259</v>
      </c>
      <c r="E21" s="38" t="n">
        <v>2895</v>
      </c>
      <c r="F21" s="38" t="n">
        <v>1898</v>
      </c>
      <c r="G21" s="39" t="n">
        <v>843</v>
      </c>
    </row>
    <row r="22" customFormat="false" ht="15" hidden="false" customHeight="false" outlineLevel="0" collapsed="false">
      <c r="A22" s="33"/>
      <c r="B22" s="33" t="s">
        <v>62</v>
      </c>
      <c r="C22" s="37" t="n">
        <v>0.318</v>
      </c>
      <c r="D22" s="38" t="n">
        <v>250458</v>
      </c>
      <c r="E22" s="38" t="n">
        <v>22475</v>
      </c>
      <c r="F22" s="38" t="n">
        <v>14735</v>
      </c>
      <c r="G22" s="38" t="n">
        <v>6546</v>
      </c>
    </row>
    <row r="23" customFormat="false" ht="15" hidden="false" customHeight="false" outlineLevel="0" collapsed="false">
      <c r="A23" s="33"/>
      <c r="B23" s="33" t="s">
        <v>63</v>
      </c>
      <c r="C23" s="37" t="n">
        <v>0.089</v>
      </c>
      <c r="D23" s="38" t="n">
        <v>69887</v>
      </c>
      <c r="E23" s="38" t="n">
        <v>6271</v>
      </c>
      <c r="F23" s="38" t="n">
        <v>4112</v>
      </c>
      <c r="G23" s="38" t="n">
        <v>1827</v>
      </c>
    </row>
    <row r="24" customFormat="false" ht="15" hidden="false" customHeight="false" outlineLevel="0" collapsed="false">
      <c r="A24" s="33" t="n">
        <f aca="false">(C24+C12)/2</f>
        <v>0.453</v>
      </c>
      <c r="B24" s="40" t="s">
        <v>64</v>
      </c>
      <c r="C24" s="41" t="n">
        <v>0.448</v>
      </c>
      <c r="D24" s="36" t="n">
        <v>352605</v>
      </c>
      <c r="E24" s="36" t="n">
        <v>31641</v>
      </c>
      <c r="F24" s="36" t="n">
        <v>20744</v>
      </c>
      <c r="G24" s="36" t="n">
        <v>9215</v>
      </c>
    </row>
    <row r="25" customFormat="false" ht="15" hidden="false" customHeight="false" outlineLevel="0" collapsed="false">
      <c r="A25" s="33"/>
      <c r="B25" s="33" t="s">
        <v>65</v>
      </c>
      <c r="C25" s="37" t="n">
        <v>0.029</v>
      </c>
      <c r="D25" s="38" t="n">
        <v>22574</v>
      </c>
      <c r="E25" s="38" t="n">
        <v>2026</v>
      </c>
      <c r="F25" s="38" t="n">
        <v>1328</v>
      </c>
      <c r="G25" s="39" t="n">
        <v>590</v>
      </c>
    </row>
    <row r="26" customFormat="false" ht="15" hidden="false" customHeight="false" outlineLevel="0" collapsed="false">
      <c r="A26" s="33"/>
      <c r="B26" s="33" t="s">
        <v>66</v>
      </c>
      <c r="C26" s="37" t="n">
        <v>0</v>
      </c>
      <c r="D26" s="39" t="n">
        <v>0</v>
      </c>
      <c r="E26" s="39" t="n">
        <v>0</v>
      </c>
      <c r="F26" s="39" t="n">
        <v>0</v>
      </c>
      <c r="G26" s="39" t="n">
        <v>0</v>
      </c>
    </row>
    <row r="27" customFormat="false" ht="15" hidden="false" customHeight="false" outlineLevel="0" collapsed="false">
      <c r="A27" s="33"/>
      <c r="B27" s="33" t="s">
        <v>67</v>
      </c>
      <c r="C27" s="37" t="n">
        <v>0.523</v>
      </c>
      <c r="D27" s="38" t="n">
        <v>411414</v>
      </c>
      <c r="E27" s="38" t="n">
        <v>36918</v>
      </c>
      <c r="F27" s="38" t="n">
        <v>24204</v>
      </c>
      <c r="G27" s="38" t="n">
        <v>10752</v>
      </c>
    </row>
    <row r="28" customFormat="false" ht="15" hidden="false" customHeight="false" outlineLevel="0" collapsed="false">
      <c r="A28" s="33"/>
      <c r="B28" s="34" t="s">
        <v>68</v>
      </c>
      <c r="C28" s="37" t="n">
        <v>0.552</v>
      </c>
      <c r="D28" s="36" t="n">
        <v>433988</v>
      </c>
      <c r="E28" s="36" t="n">
        <v>38944</v>
      </c>
      <c r="F28" s="36" t="n">
        <v>25532</v>
      </c>
      <c r="G28" s="36" t="n">
        <v>11342</v>
      </c>
    </row>
    <row r="29" customFormat="false" ht="15" hidden="false" customHeight="false" outlineLevel="0" collapsed="false">
      <c r="A29" s="33"/>
      <c r="B29" s="33" t="s">
        <v>69</v>
      </c>
      <c r="C29" s="37" t="n">
        <v>0.034</v>
      </c>
      <c r="D29" s="38" t="n">
        <v>26597</v>
      </c>
      <c r="E29" s="38" t="n">
        <v>2387</v>
      </c>
      <c r="F29" s="38" t="n">
        <v>1565</v>
      </c>
      <c r="G29" s="39" t="n">
        <v>695</v>
      </c>
    </row>
    <row r="30" customFormat="false" ht="15" hidden="false" customHeight="false" outlineLevel="0" collapsed="false">
      <c r="A30" s="31" t="s">
        <v>71</v>
      </c>
      <c r="B30" s="31" t="s">
        <v>72</v>
      </c>
      <c r="C30" s="32"/>
      <c r="D30" s="32"/>
      <c r="E30" s="32"/>
      <c r="F30" s="32"/>
      <c r="G30" s="32"/>
    </row>
    <row r="31" customFormat="false" ht="15" hidden="false" customHeight="false" outlineLevel="0" collapsed="false">
      <c r="A31" s="33"/>
      <c r="B31" s="34" t="s">
        <v>14</v>
      </c>
      <c r="C31" s="35"/>
      <c r="D31" s="36" t="n">
        <v>721193</v>
      </c>
      <c r="E31" s="36" t="n">
        <v>75585</v>
      </c>
      <c r="F31" s="36" t="n">
        <v>42637</v>
      </c>
      <c r="G31" s="36" t="n">
        <v>31079</v>
      </c>
    </row>
    <row r="32" customFormat="false" ht="15" hidden="false" customHeight="false" outlineLevel="0" collapsed="false">
      <c r="A32" s="33"/>
      <c r="B32" s="42" t="s">
        <v>60</v>
      </c>
      <c r="C32" s="41" t="n">
        <v>0.093</v>
      </c>
      <c r="D32" s="38" t="n">
        <v>67012</v>
      </c>
      <c r="E32" s="38" t="n">
        <v>7023</v>
      </c>
      <c r="F32" s="38" t="n">
        <v>3962</v>
      </c>
      <c r="G32" s="38" t="n">
        <v>2888</v>
      </c>
    </row>
    <row r="33" customFormat="false" ht="15" hidden="false" customHeight="false" outlineLevel="0" collapsed="false">
      <c r="A33" s="33"/>
      <c r="B33" s="33" t="s">
        <v>61</v>
      </c>
      <c r="C33" s="37" t="n">
        <v>0.025</v>
      </c>
      <c r="D33" s="38" t="n">
        <v>18153</v>
      </c>
      <c r="E33" s="38" t="n">
        <v>1903</v>
      </c>
      <c r="F33" s="38" t="n">
        <v>1073</v>
      </c>
      <c r="G33" s="39" t="n">
        <v>782</v>
      </c>
    </row>
    <row r="34" customFormat="false" ht="15" hidden="false" customHeight="false" outlineLevel="0" collapsed="false">
      <c r="A34" s="33" t="s">
        <v>73</v>
      </c>
      <c r="B34" s="33" t="s">
        <v>62</v>
      </c>
      <c r="C34" s="37" t="n">
        <v>0.14</v>
      </c>
      <c r="D34" s="38" t="n">
        <v>100885</v>
      </c>
      <c r="E34" s="38" t="n">
        <v>10573</v>
      </c>
      <c r="F34" s="38" t="n">
        <v>5964</v>
      </c>
      <c r="G34" s="38" t="n">
        <v>4347</v>
      </c>
    </row>
    <row r="35" customFormat="false" ht="15" hidden="false" customHeight="false" outlineLevel="0" collapsed="false">
      <c r="A35" s="33"/>
      <c r="B35" s="33" t="s">
        <v>63</v>
      </c>
      <c r="C35" s="37" t="n">
        <v>0.093</v>
      </c>
      <c r="D35" s="38" t="n">
        <v>67012</v>
      </c>
      <c r="E35" s="38" t="n">
        <v>7023</v>
      </c>
      <c r="F35" s="38" t="n">
        <v>3962</v>
      </c>
      <c r="G35" s="38" t="n">
        <v>2888</v>
      </c>
    </row>
    <row r="36" customFormat="false" ht="15" hidden="false" customHeight="false" outlineLevel="0" collapsed="false">
      <c r="A36" s="43" t="n">
        <f aca="false">C36+C24</f>
        <v>0.706</v>
      </c>
      <c r="B36" s="40" t="s">
        <v>64</v>
      </c>
      <c r="C36" s="41" t="n">
        <v>0.258</v>
      </c>
      <c r="D36" s="36" t="n">
        <v>186050</v>
      </c>
      <c r="E36" s="36" t="n">
        <v>19499</v>
      </c>
      <c r="F36" s="36" t="n">
        <v>10999</v>
      </c>
      <c r="G36" s="36" t="n">
        <v>8018</v>
      </c>
    </row>
    <row r="37" customFormat="false" ht="15" hidden="false" customHeight="false" outlineLevel="0" collapsed="false">
      <c r="A37" s="33"/>
      <c r="B37" s="33" t="s">
        <v>65</v>
      </c>
      <c r="C37" s="37" t="n">
        <v>0.031</v>
      </c>
      <c r="D37" s="38" t="n">
        <v>22268</v>
      </c>
      <c r="E37" s="38" t="n">
        <v>2334</v>
      </c>
      <c r="F37" s="38" t="n">
        <v>1316</v>
      </c>
      <c r="G37" s="39" t="n">
        <v>960</v>
      </c>
    </row>
    <row r="38" customFormat="false" ht="15" hidden="false" customHeight="false" outlineLevel="0" collapsed="false">
      <c r="A38" s="33"/>
      <c r="B38" s="33" t="s">
        <v>66</v>
      </c>
      <c r="C38" s="37" t="n">
        <v>0</v>
      </c>
      <c r="D38" s="39" t="n">
        <v>0</v>
      </c>
      <c r="E38" s="39" t="n">
        <v>0</v>
      </c>
      <c r="F38" s="39" t="n">
        <v>0</v>
      </c>
      <c r="G38" s="39" t="n">
        <v>0</v>
      </c>
    </row>
    <row r="39" customFormat="false" ht="15" hidden="false" customHeight="false" outlineLevel="0" collapsed="false">
      <c r="A39" s="33"/>
      <c r="B39" s="33" t="s">
        <v>67</v>
      </c>
      <c r="C39" s="37" t="n">
        <v>0.711</v>
      </c>
      <c r="D39" s="38" t="n">
        <v>512874</v>
      </c>
      <c r="E39" s="38" t="n">
        <v>53752</v>
      </c>
      <c r="F39" s="38" t="n">
        <v>30321</v>
      </c>
      <c r="G39" s="38" t="n">
        <v>22102</v>
      </c>
    </row>
    <row r="40" customFormat="false" ht="15" hidden="false" customHeight="false" outlineLevel="0" collapsed="false">
      <c r="A40" s="33"/>
      <c r="B40" s="34" t="s">
        <v>68</v>
      </c>
      <c r="C40" s="37" t="n">
        <v>0.742</v>
      </c>
      <c r="D40" s="36" t="n">
        <v>535143</v>
      </c>
      <c r="E40" s="36" t="n">
        <v>56086</v>
      </c>
      <c r="F40" s="36" t="n">
        <v>31637</v>
      </c>
      <c r="G40" s="36" t="n">
        <v>23061</v>
      </c>
    </row>
    <row r="41" customFormat="false" ht="15" hidden="false" customHeight="false" outlineLevel="0" collapsed="false">
      <c r="A41" s="33"/>
      <c r="B41" s="33" t="s">
        <v>69</v>
      </c>
      <c r="C41" s="37" t="n">
        <v>0.016</v>
      </c>
      <c r="D41" s="38" t="n">
        <v>11484</v>
      </c>
      <c r="E41" s="38" t="n">
        <v>1204</v>
      </c>
      <c r="F41" s="39" t="n">
        <v>679</v>
      </c>
      <c r="G41" s="39" t="n">
        <v>495</v>
      </c>
    </row>
    <row r="42" customFormat="false" ht="15" hidden="false" customHeight="false" outlineLevel="0" collapsed="false">
      <c r="A42" s="26"/>
      <c r="B42" s="26"/>
      <c r="C42" s="26"/>
      <c r="D42" s="26"/>
      <c r="E42" s="26"/>
      <c r="F42" s="26"/>
      <c r="G42" s="26"/>
    </row>
    <row r="43" customFormat="false" ht="15" hidden="false" customHeight="false" outlineLevel="0" collapsed="false">
      <c r="A43" s="26"/>
      <c r="B43" s="26"/>
      <c r="C43" s="26"/>
      <c r="D43" s="26"/>
      <c r="E43" s="26"/>
      <c r="F43" s="26"/>
      <c r="G43" s="26"/>
    </row>
    <row r="44" customFormat="false" ht="15" hidden="false" customHeight="false" outlineLevel="0" collapsed="false">
      <c r="A44" s="26"/>
      <c r="B44" s="26"/>
      <c r="C44" s="26"/>
      <c r="D44" s="26"/>
      <c r="E44" s="26"/>
      <c r="F44" s="26"/>
      <c r="G44" s="26"/>
    </row>
    <row r="45" customFormat="false" ht="15" hidden="false" customHeight="false" outlineLevel="0" collapsed="false">
      <c r="A45" s="26"/>
      <c r="B45" s="26"/>
      <c r="C45" s="26"/>
      <c r="D45" s="26"/>
      <c r="E45" s="26"/>
      <c r="F45" s="26"/>
      <c r="G45" s="26"/>
    </row>
    <row r="46" customFormat="false" ht="15" hidden="false" customHeight="false" outlineLevel="0" collapsed="false">
      <c r="A46" s="26"/>
      <c r="B46" s="26"/>
      <c r="C46" s="26"/>
      <c r="D46" s="26"/>
      <c r="E46" s="26"/>
      <c r="F46" s="26"/>
      <c r="G46" s="26"/>
    </row>
    <row r="47" customFormat="false" ht="15" hidden="false" customHeight="false" outlineLevel="0" collapsed="false">
      <c r="A47" s="26"/>
      <c r="B47" s="26"/>
      <c r="C47" s="26"/>
      <c r="D47" s="26"/>
      <c r="E47" s="26"/>
      <c r="F47" s="26"/>
      <c r="G47" s="26"/>
    </row>
    <row r="48" customFormat="false" ht="15" hidden="false" customHeight="false" outlineLevel="0" collapsed="false">
      <c r="A48" s="26"/>
      <c r="B48" s="26"/>
      <c r="C48" s="26"/>
      <c r="D48" s="26"/>
      <c r="E48" s="26"/>
      <c r="F48" s="26"/>
      <c r="G48" s="26"/>
    </row>
    <row r="49" customFormat="false" ht="15" hidden="false" customHeight="false" outlineLevel="0" collapsed="false">
      <c r="A49" s="26"/>
      <c r="B49" s="26"/>
      <c r="C49" s="26"/>
      <c r="D49" s="26"/>
      <c r="E49" s="26"/>
      <c r="F49" s="26"/>
      <c r="G49" s="26"/>
    </row>
    <row r="50" customFormat="false" ht="15" hidden="false" customHeight="false" outlineLevel="0" collapsed="false">
      <c r="A50" s="26"/>
      <c r="B50" s="26"/>
      <c r="C50" s="26"/>
      <c r="D50" s="26"/>
      <c r="E50" s="26"/>
      <c r="F50" s="26"/>
      <c r="G50" s="26"/>
    </row>
    <row r="51" customFormat="false" ht="15" hidden="false" customHeight="false" outlineLevel="0" collapsed="false">
      <c r="A51" s="26"/>
      <c r="B51" s="26"/>
      <c r="C51" s="26"/>
      <c r="D51" s="26"/>
      <c r="E51" s="26"/>
      <c r="F51" s="26"/>
      <c r="G51" s="26"/>
    </row>
    <row r="52" customFormat="false" ht="15" hidden="false" customHeight="false" outlineLevel="0" collapsed="false">
      <c r="A52" s="26"/>
      <c r="B52" s="26"/>
      <c r="C52" s="26"/>
      <c r="D52" s="26"/>
      <c r="E52" s="26"/>
      <c r="F52" s="26"/>
      <c r="G52" s="26"/>
    </row>
    <row r="53" customFormat="false" ht="15" hidden="false" customHeight="false" outlineLevel="0" collapsed="false">
      <c r="A53" s="26"/>
      <c r="B53" s="26"/>
      <c r="C53" s="26"/>
      <c r="D53" s="26"/>
      <c r="E53" s="26"/>
      <c r="F53" s="26"/>
      <c r="G53" s="26"/>
    </row>
    <row r="54" customFormat="false" ht="15" hidden="false" customHeight="false" outlineLevel="0" collapsed="false">
      <c r="A54" s="26"/>
      <c r="B54" s="26"/>
      <c r="C54" s="26"/>
      <c r="D54" s="26"/>
      <c r="E54" s="26"/>
      <c r="F54" s="26"/>
      <c r="G54" s="26"/>
    </row>
    <row r="55" customFormat="false" ht="15" hidden="false" customHeight="false" outlineLevel="0" collapsed="false">
      <c r="A55" s="26"/>
      <c r="B55" s="26"/>
      <c r="C55" s="26"/>
      <c r="D55" s="26"/>
      <c r="E55" s="26"/>
      <c r="F55" s="26"/>
      <c r="G55" s="26"/>
    </row>
    <row r="56" customFormat="false" ht="15" hidden="false" customHeight="false" outlineLevel="0" collapsed="false">
      <c r="A56" s="26"/>
      <c r="B56" s="26"/>
      <c r="C56" s="26"/>
      <c r="D56" s="26"/>
      <c r="E56" s="26"/>
      <c r="F56" s="26"/>
      <c r="G56" s="26"/>
    </row>
    <row r="57" customFormat="false" ht="15" hidden="false" customHeight="false" outlineLevel="0" collapsed="false">
      <c r="A57" s="26"/>
      <c r="B57" s="26"/>
      <c r="C57" s="26"/>
      <c r="D57" s="26"/>
      <c r="E57" s="26"/>
      <c r="F57" s="26"/>
      <c r="G57" s="26"/>
    </row>
    <row r="58" customFormat="false" ht="15" hidden="false" customHeight="false" outlineLevel="0" collapsed="false">
      <c r="A58" s="26"/>
      <c r="B58" s="26"/>
      <c r="C58" s="26"/>
      <c r="D58" s="26"/>
      <c r="E58" s="26"/>
      <c r="F58" s="26"/>
      <c r="G58" s="26"/>
    </row>
    <row r="59" customFormat="false" ht="15" hidden="false" customHeight="false" outlineLevel="0" collapsed="false">
      <c r="A59" s="26"/>
      <c r="B59" s="26"/>
      <c r="C59" s="26"/>
      <c r="D59" s="26"/>
      <c r="E59" s="26"/>
      <c r="F59" s="26"/>
      <c r="G59" s="26"/>
    </row>
    <row r="60" customFormat="false" ht="15" hidden="false" customHeight="false" outlineLevel="0" collapsed="false">
      <c r="A60" s="26"/>
      <c r="B60" s="26"/>
      <c r="C60" s="26"/>
      <c r="D60" s="26"/>
      <c r="E60" s="26"/>
      <c r="F60" s="26"/>
      <c r="G60" s="26"/>
    </row>
    <row r="61" customFormat="false" ht="15" hidden="false" customHeight="false" outlineLevel="0" collapsed="false">
      <c r="A61" s="26"/>
      <c r="B61" s="26"/>
      <c r="C61" s="26"/>
      <c r="D61" s="26"/>
      <c r="E61" s="26"/>
      <c r="F61" s="26"/>
      <c r="G61" s="26"/>
    </row>
    <row r="62" customFormat="false" ht="15" hidden="false" customHeight="false" outlineLevel="0" collapsed="false">
      <c r="A62" s="26"/>
      <c r="B62" s="26"/>
      <c r="C62" s="26"/>
      <c r="D62" s="26"/>
      <c r="E62" s="26"/>
      <c r="F62" s="26"/>
      <c r="G62" s="26"/>
    </row>
    <row r="63" customFormat="false" ht="15" hidden="false" customHeight="false" outlineLevel="0" collapsed="false">
      <c r="A63" s="26"/>
      <c r="B63" s="26"/>
      <c r="C63" s="26"/>
      <c r="D63" s="26"/>
      <c r="E63" s="26"/>
      <c r="F63" s="26"/>
      <c r="G63" s="26"/>
    </row>
    <row r="64" customFormat="false" ht="15" hidden="false" customHeight="false" outlineLevel="0" collapsed="false">
      <c r="A64" s="26"/>
      <c r="B64" s="26"/>
      <c r="C64" s="26"/>
      <c r="D64" s="26"/>
      <c r="E64" s="26"/>
      <c r="F64" s="26"/>
      <c r="G64" s="26"/>
    </row>
    <row r="65" customFormat="false" ht="15" hidden="false" customHeight="false" outlineLevel="0" collapsed="false">
      <c r="A65" s="26"/>
      <c r="B65" s="26"/>
      <c r="C65" s="26"/>
      <c r="D65" s="26"/>
      <c r="E65" s="26"/>
      <c r="F65" s="26"/>
      <c r="G65" s="26"/>
    </row>
    <row r="66" customFormat="false" ht="15" hidden="false" customHeight="false" outlineLevel="0" collapsed="false">
      <c r="A66" s="26"/>
      <c r="B66" s="26"/>
      <c r="C66" s="26"/>
      <c r="D66" s="26"/>
      <c r="E66" s="26"/>
      <c r="F66" s="26"/>
      <c r="G66" s="26"/>
    </row>
    <row r="67" customFormat="false" ht="15" hidden="false" customHeight="false" outlineLevel="0" collapsed="false">
      <c r="A67" s="26"/>
      <c r="B67" s="26"/>
      <c r="C67" s="26"/>
      <c r="D67" s="26"/>
      <c r="E67" s="26"/>
      <c r="F67" s="26"/>
      <c r="G67" s="26"/>
    </row>
    <row r="68" customFormat="false" ht="15" hidden="false" customHeight="false" outlineLevel="0" collapsed="false">
      <c r="A68" s="26"/>
      <c r="B68" s="26"/>
      <c r="C68" s="26"/>
      <c r="D68" s="26"/>
      <c r="E68" s="26"/>
      <c r="F68" s="26"/>
      <c r="G68" s="26"/>
    </row>
    <row r="69" customFormat="false" ht="15" hidden="false" customHeight="false" outlineLevel="0" collapsed="false">
      <c r="A69" s="26"/>
      <c r="B69" s="26"/>
      <c r="C69" s="26"/>
      <c r="D69" s="26"/>
      <c r="E69" s="26"/>
      <c r="F69" s="26"/>
      <c r="G69" s="26"/>
    </row>
    <row r="70" customFormat="false" ht="15" hidden="false" customHeight="false" outlineLevel="0" collapsed="false">
      <c r="A70" s="26"/>
      <c r="B70" s="26"/>
      <c r="C70" s="26"/>
      <c r="D70" s="26"/>
      <c r="E70" s="26"/>
      <c r="F70" s="26"/>
      <c r="G70" s="26"/>
    </row>
    <row r="71" customFormat="false" ht="15" hidden="false" customHeight="false" outlineLevel="0" collapsed="false">
      <c r="A71" s="26"/>
      <c r="B71" s="26"/>
      <c r="C71" s="26"/>
      <c r="D71" s="26"/>
      <c r="E71" s="26"/>
      <c r="F71" s="26"/>
      <c r="G71" s="26"/>
    </row>
    <row r="72" customFormat="false" ht="15" hidden="false" customHeight="false" outlineLevel="0" collapsed="false">
      <c r="A72" s="26"/>
      <c r="B72" s="26"/>
      <c r="C72" s="26"/>
      <c r="D72" s="26"/>
      <c r="E72" s="26"/>
      <c r="F72" s="26"/>
      <c r="G72" s="26"/>
    </row>
    <row r="73" customFormat="false" ht="15" hidden="false" customHeight="false" outlineLevel="0" collapsed="false">
      <c r="A73" s="26"/>
      <c r="B73" s="26"/>
      <c r="C73" s="26"/>
      <c r="D73" s="26"/>
      <c r="E73" s="26"/>
      <c r="F73" s="26"/>
      <c r="G73" s="26"/>
    </row>
    <row r="74" customFormat="false" ht="15" hidden="false" customHeight="false" outlineLevel="0" collapsed="false">
      <c r="A74" s="26"/>
      <c r="B74" s="26"/>
      <c r="C74" s="26"/>
      <c r="D74" s="26"/>
      <c r="E74" s="26"/>
      <c r="F74" s="26"/>
      <c r="G74" s="26"/>
    </row>
    <row r="75" customFormat="false" ht="15" hidden="false" customHeight="false" outlineLevel="0" collapsed="false">
      <c r="A75" s="26"/>
      <c r="B75" s="26"/>
      <c r="C75" s="26"/>
      <c r="D75" s="26"/>
      <c r="E75" s="26"/>
      <c r="F75" s="26"/>
      <c r="G75" s="26"/>
    </row>
    <row r="76" customFormat="false" ht="15" hidden="false" customHeight="false" outlineLevel="0" collapsed="false">
      <c r="A76" s="26"/>
      <c r="B76" s="26"/>
      <c r="C76" s="26"/>
      <c r="D76" s="26"/>
      <c r="E76" s="26"/>
      <c r="F76" s="26"/>
      <c r="G76" s="26"/>
    </row>
    <row r="77" customFormat="false" ht="15" hidden="false" customHeight="false" outlineLevel="0" collapsed="false">
      <c r="A77" s="26"/>
      <c r="B77" s="26"/>
      <c r="C77" s="26"/>
      <c r="D77" s="26"/>
      <c r="E77" s="26"/>
      <c r="F77" s="26"/>
      <c r="G77" s="26"/>
    </row>
    <row r="78" customFormat="false" ht="15" hidden="false" customHeight="false" outlineLevel="0" collapsed="false">
      <c r="A78" s="26"/>
      <c r="B78" s="26"/>
      <c r="C78" s="26"/>
      <c r="D78" s="26"/>
      <c r="E78" s="26"/>
      <c r="F78" s="26"/>
      <c r="G78" s="26"/>
    </row>
    <row r="79" customFormat="false" ht="15" hidden="false" customHeight="false" outlineLevel="0" collapsed="false">
      <c r="A79" s="26"/>
      <c r="B79" s="26"/>
      <c r="C79" s="26"/>
      <c r="D79" s="26"/>
      <c r="E79" s="26"/>
      <c r="F79" s="26"/>
      <c r="G79" s="26"/>
    </row>
    <row r="80" customFormat="false" ht="15" hidden="false" customHeight="false" outlineLevel="0" collapsed="false">
      <c r="A80" s="26"/>
      <c r="B80" s="26"/>
      <c r="C80" s="26"/>
      <c r="D80" s="26"/>
      <c r="E80" s="26"/>
      <c r="F80" s="26"/>
      <c r="G80" s="26"/>
    </row>
    <row r="81" customFormat="false" ht="15" hidden="false" customHeight="false" outlineLevel="0" collapsed="false">
      <c r="A81" s="26"/>
      <c r="B81" s="26"/>
      <c r="C81" s="26"/>
      <c r="D81" s="26"/>
      <c r="E81" s="26"/>
      <c r="F81" s="26"/>
      <c r="G81" s="26"/>
    </row>
    <row r="82" customFormat="false" ht="15" hidden="false" customHeight="false" outlineLevel="0" collapsed="false">
      <c r="A82" s="26"/>
      <c r="B82" s="26"/>
      <c r="C82" s="26"/>
      <c r="D82" s="26"/>
      <c r="E82" s="26"/>
      <c r="F82" s="26"/>
      <c r="G82" s="26"/>
    </row>
    <row r="83" customFormat="false" ht="15" hidden="false" customHeight="false" outlineLevel="0" collapsed="false">
      <c r="A83" s="26"/>
      <c r="B83" s="26"/>
      <c r="C83" s="26"/>
      <c r="D83" s="26"/>
      <c r="E83" s="26"/>
      <c r="F83" s="26"/>
      <c r="G83" s="26"/>
    </row>
    <row r="84" customFormat="false" ht="15" hidden="false" customHeight="false" outlineLevel="0" collapsed="false">
      <c r="A84" s="26"/>
      <c r="B84" s="26"/>
      <c r="C84" s="26"/>
      <c r="D84" s="26"/>
      <c r="E84" s="26"/>
      <c r="F84" s="26"/>
      <c r="G84" s="26"/>
    </row>
    <row r="85" customFormat="false" ht="15" hidden="false" customHeight="false" outlineLevel="0" collapsed="false">
      <c r="A85" s="26"/>
      <c r="B85" s="26"/>
      <c r="C85" s="26"/>
      <c r="D85" s="26"/>
      <c r="E85" s="26"/>
      <c r="F85" s="26"/>
      <c r="G85" s="26"/>
    </row>
    <row r="86" customFormat="false" ht="15" hidden="false" customHeight="false" outlineLevel="0" collapsed="false">
      <c r="A86" s="26"/>
      <c r="B86" s="26"/>
      <c r="C86" s="26"/>
      <c r="D86" s="26"/>
      <c r="E86" s="26"/>
      <c r="F86" s="26"/>
      <c r="G86" s="26"/>
    </row>
    <row r="87" customFormat="false" ht="15" hidden="false" customHeight="false" outlineLevel="0" collapsed="false">
      <c r="A87" s="26"/>
      <c r="B87" s="26"/>
      <c r="C87" s="26"/>
      <c r="D87" s="26"/>
      <c r="E87" s="26"/>
      <c r="F87" s="26"/>
      <c r="G87" s="26"/>
    </row>
    <row r="88" customFormat="false" ht="15" hidden="false" customHeight="false" outlineLevel="0" collapsed="false">
      <c r="A88" s="26"/>
      <c r="B88" s="26"/>
      <c r="C88" s="26"/>
      <c r="D88" s="26"/>
      <c r="E88" s="26"/>
      <c r="F88" s="26"/>
      <c r="G88" s="26"/>
    </row>
    <row r="89" customFormat="false" ht="15" hidden="false" customHeight="false" outlineLevel="0" collapsed="false">
      <c r="A89" s="26"/>
      <c r="B89" s="26"/>
      <c r="C89" s="26"/>
      <c r="D89" s="26"/>
      <c r="E89" s="26"/>
      <c r="F89" s="26"/>
      <c r="G89" s="26"/>
    </row>
    <row r="90" customFormat="false" ht="15" hidden="false" customHeight="false" outlineLevel="0" collapsed="false">
      <c r="A90" s="26"/>
      <c r="B90" s="26"/>
      <c r="C90" s="26"/>
      <c r="D90" s="26"/>
      <c r="E90" s="26"/>
      <c r="F90" s="26"/>
      <c r="G90" s="26"/>
    </row>
    <row r="91" customFormat="false" ht="15" hidden="false" customHeight="false" outlineLevel="0" collapsed="false">
      <c r="A91" s="26"/>
      <c r="B91" s="26"/>
      <c r="C91" s="26"/>
      <c r="D91" s="26"/>
      <c r="E91" s="26"/>
      <c r="F91" s="26"/>
      <c r="G91" s="26"/>
    </row>
    <row r="92" customFormat="false" ht="15" hidden="false" customHeight="false" outlineLevel="0" collapsed="false">
      <c r="A92" s="26"/>
      <c r="B92" s="26"/>
      <c r="C92" s="26"/>
      <c r="D92" s="26"/>
      <c r="E92" s="26"/>
      <c r="F92" s="26"/>
      <c r="G92" s="26"/>
    </row>
    <row r="93" customFormat="false" ht="15" hidden="false" customHeight="false" outlineLevel="0" collapsed="false">
      <c r="A93" s="26"/>
      <c r="B93" s="26"/>
      <c r="C93" s="26"/>
      <c r="D93" s="26"/>
      <c r="E93" s="26"/>
      <c r="F93" s="26"/>
      <c r="G93" s="26"/>
    </row>
    <row r="94" customFormat="false" ht="15" hidden="false" customHeight="false" outlineLevel="0" collapsed="false">
      <c r="A94" s="26"/>
      <c r="B94" s="26"/>
      <c r="C94" s="26"/>
      <c r="D94" s="26"/>
      <c r="E94" s="26"/>
      <c r="F94" s="26"/>
      <c r="G94" s="26"/>
    </row>
    <row r="95" customFormat="false" ht="15" hidden="false" customHeight="false" outlineLevel="0" collapsed="false">
      <c r="A95" s="26"/>
      <c r="B95" s="26"/>
      <c r="C95" s="26"/>
      <c r="D95" s="26"/>
      <c r="E95" s="26"/>
      <c r="F95" s="26"/>
      <c r="G95" s="26"/>
    </row>
    <row r="96" customFormat="false" ht="15" hidden="false" customHeight="false" outlineLevel="0" collapsed="false">
      <c r="A96" s="26"/>
      <c r="B96" s="26"/>
      <c r="C96" s="26"/>
      <c r="D96" s="26"/>
      <c r="E96" s="26"/>
      <c r="F96" s="26"/>
      <c r="G96" s="26"/>
    </row>
    <row r="97" customFormat="false" ht="15" hidden="false" customHeight="false" outlineLevel="0" collapsed="false">
      <c r="A97" s="26"/>
      <c r="B97" s="26"/>
      <c r="C97" s="26"/>
      <c r="D97" s="26"/>
      <c r="E97" s="26"/>
      <c r="F97" s="26"/>
      <c r="G97" s="26"/>
    </row>
    <row r="98" customFormat="false" ht="15" hidden="false" customHeight="false" outlineLevel="0" collapsed="false">
      <c r="A98" s="26"/>
      <c r="B98" s="26"/>
      <c r="C98" s="26"/>
      <c r="D98" s="26"/>
      <c r="E98" s="26"/>
      <c r="F98" s="26"/>
      <c r="G98" s="26"/>
    </row>
    <row r="99" customFormat="false" ht="15" hidden="false" customHeight="false" outlineLevel="0" collapsed="false">
      <c r="A99" s="26"/>
      <c r="B99" s="26"/>
      <c r="C99" s="26"/>
      <c r="D99" s="26"/>
      <c r="E99" s="26"/>
      <c r="F99" s="26"/>
      <c r="G99" s="26"/>
    </row>
    <row r="100" customFormat="false" ht="15" hidden="false" customHeight="false" outlineLevel="0" collapsed="false">
      <c r="A100" s="26"/>
      <c r="B100" s="26"/>
      <c r="C100" s="26"/>
      <c r="D100" s="26"/>
      <c r="E100" s="26"/>
      <c r="F100" s="26"/>
      <c r="G100" s="26"/>
    </row>
    <row r="101" customFormat="false" ht="15" hidden="false" customHeight="false" outlineLevel="0" collapsed="false">
      <c r="A101" s="26"/>
      <c r="B101" s="26"/>
      <c r="C101" s="26"/>
      <c r="D101" s="26"/>
      <c r="E101" s="26"/>
      <c r="F101" s="26"/>
      <c r="G101" s="26"/>
    </row>
    <row r="102" customFormat="false" ht="15" hidden="false" customHeight="false" outlineLevel="0" collapsed="false">
      <c r="A102" s="26"/>
      <c r="B102" s="26"/>
      <c r="C102" s="26"/>
      <c r="D102" s="26"/>
      <c r="E102" s="26"/>
      <c r="F102" s="26"/>
      <c r="G102" s="26"/>
    </row>
    <row r="103" customFormat="false" ht="15" hidden="false" customHeight="false" outlineLevel="0" collapsed="false">
      <c r="A103" s="26"/>
      <c r="B103" s="26"/>
      <c r="C103" s="26"/>
      <c r="D103" s="26"/>
      <c r="E103" s="26"/>
      <c r="F103" s="26"/>
      <c r="G103" s="26"/>
    </row>
    <row r="104" customFormat="false" ht="15" hidden="false" customHeight="false" outlineLevel="0" collapsed="false">
      <c r="A104" s="26"/>
      <c r="B104" s="26"/>
      <c r="C104" s="26"/>
      <c r="D104" s="26"/>
      <c r="E104" s="26"/>
      <c r="F104" s="26"/>
      <c r="G104" s="26"/>
    </row>
    <row r="105" customFormat="false" ht="15" hidden="false" customHeight="false" outlineLevel="0" collapsed="false">
      <c r="A105" s="26"/>
      <c r="B105" s="26"/>
      <c r="C105" s="26"/>
      <c r="D105" s="26"/>
      <c r="E105" s="26"/>
      <c r="F105" s="26"/>
      <c r="G105" s="26"/>
    </row>
    <row r="106" customFormat="false" ht="15" hidden="false" customHeight="false" outlineLevel="0" collapsed="false">
      <c r="A106" s="26"/>
      <c r="B106" s="26"/>
      <c r="C106" s="26"/>
      <c r="D106" s="26"/>
      <c r="E106" s="26"/>
      <c r="F106" s="26"/>
      <c r="G106" s="26"/>
    </row>
    <row r="107" customFormat="false" ht="15" hidden="false" customHeight="false" outlineLevel="0" collapsed="false">
      <c r="A107" s="26"/>
      <c r="B107" s="26"/>
      <c r="C107" s="26"/>
      <c r="D107" s="26"/>
      <c r="E107" s="26"/>
      <c r="F107" s="26"/>
      <c r="G107" s="26"/>
    </row>
    <row r="108" customFormat="false" ht="15" hidden="false" customHeight="false" outlineLevel="0" collapsed="false">
      <c r="A108" s="26"/>
      <c r="B108" s="26"/>
      <c r="C108" s="26"/>
      <c r="D108" s="26"/>
      <c r="E108" s="26"/>
      <c r="F108" s="26"/>
      <c r="G108" s="26"/>
    </row>
    <row r="109" customFormat="false" ht="15" hidden="false" customHeight="false" outlineLevel="0" collapsed="false">
      <c r="A109" s="26"/>
      <c r="B109" s="26"/>
      <c r="C109" s="26"/>
      <c r="D109" s="26"/>
      <c r="E109" s="26"/>
      <c r="F109" s="26"/>
      <c r="G109" s="26"/>
    </row>
    <row r="110" customFormat="false" ht="15" hidden="false" customHeight="false" outlineLevel="0" collapsed="false">
      <c r="A110" s="26"/>
      <c r="B110" s="26"/>
      <c r="C110" s="26"/>
      <c r="D110" s="26"/>
      <c r="E110" s="26"/>
      <c r="F110" s="26"/>
      <c r="G110" s="26"/>
    </row>
    <row r="111" customFormat="false" ht="15" hidden="false" customHeight="false" outlineLevel="0" collapsed="false">
      <c r="A111" s="26"/>
      <c r="B111" s="26"/>
      <c r="C111" s="26"/>
      <c r="D111" s="26"/>
      <c r="E111" s="26"/>
      <c r="F111" s="26"/>
      <c r="G111" s="26"/>
    </row>
    <row r="112" customFormat="false" ht="15" hidden="false" customHeight="false" outlineLevel="0" collapsed="false">
      <c r="A112" s="26"/>
      <c r="B112" s="26"/>
      <c r="C112" s="26"/>
      <c r="D112" s="26"/>
      <c r="E112" s="26"/>
      <c r="F112" s="26"/>
      <c r="G112" s="26"/>
    </row>
    <row r="113" customFormat="false" ht="15" hidden="false" customHeight="false" outlineLevel="0" collapsed="false">
      <c r="A113" s="26"/>
      <c r="B113" s="26"/>
      <c r="C113" s="26"/>
      <c r="D113" s="26"/>
      <c r="E113" s="26"/>
      <c r="F113" s="26"/>
      <c r="G113" s="26"/>
    </row>
    <row r="114" customFormat="false" ht="15" hidden="false" customHeight="false" outlineLevel="0" collapsed="false">
      <c r="A114" s="26"/>
      <c r="B114" s="26"/>
      <c r="C114" s="26"/>
      <c r="D114" s="26"/>
      <c r="E114" s="26"/>
      <c r="F114" s="26"/>
      <c r="G114" s="26"/>
    </row>
    <row r="115" customFormat="false" ht="15" hidden="false" customHeight="false" outlineLevel="0" collapsed="false">
      <c r="A115" s="26"/>
      <c r="B115" s="26"/>
      <c r="C115" s="26"/>
      <c r="D115" s="26"/>
      <c r="E115" s="26"/>
      <c r="F115" s="26"/>
      <c r="G115" s="26"/>
    </row>
    <row r="116" customFormat="false" ht="15" hidden="false" customHeight="false" outlineLevel="0" collapsed="false">
      <c r="A116" s="26"/>
      <c r="B116" s="26"/>
      <c r="C116" s="26"/>
      <c r="D116" s="26"/>
      <c r="E116" s="26"/>
      <c r="F116" s="26"/>
      <c r="G116" s="26"/>
    </row>
    <row r="117" customFormat="false" ht="15" hidden="false" customHeight="false" outlineLevel="0" collapsed="false">
      <c r="A117" s="26"/>
      <c r="B117" s="26"/>
      <c r="C117" s="26"/>
      <c r="D117" s="26"/>
      <c r="E117" s="26"/>
      <c r="F117" s="26"/>
      <c r="G117" s="26"/>
    </row>
    <row r="118" customFormat="false" ht="15" hidden="false" customHeight="false" outlineLevel="0" collapsed="false">
      <c r="A118" s="26"/>
      <c r="B118" s="26"/>
      <c r="C118" s="26"/>
      <c r="D118" s="26"/>
      <c r="E118" s="26"/>
      <c r="F118" s="26"/>
      <c r="G118" s="26"/>
    </row>
    <row r="119" customFormat="false" ht="15" hidden="false" customHeight="false" outlineLevel="0" collapsed="false">
      <c r="A119" s="26"/>
      <c r="B119" s="26"/>
      <c r="C119" s="26"/>
      <c r="D119" s="26"/>
      <c r="E119" s="26"/>
      <c r="F119" s="26"/>
      <c r="G119" s="26"/>
    </row>
    <row r="120" customFormat="false" ht="15" hidden="false" customHeight="false" outlineLevel="0" collapsed="false">
      <c r="A120" s="26"/>
      <c r="B120" s="26"/>
      <c r="C120" s="26"/>
      <c r="D120" s="26"/>
      <c r="E120" s="26"/>
      <c r="F120" s="26"/>
      <c r="G120" s="26"/>
    </row>
    <row r="121" customFormat="false" ht="15" hidden="false" customHeight="false" outlineLevel="0" collapsed="false">
      <c r="A121" s="26"/>
      <c r="B121" s="26"/>
      <c r="C121" s="26"/>
      <c r="D121" s="26"/>
      <c r="E121" s="26"/>
      <c r="F121" s="26"/>
      <c r="G121" s="26"/>
    </row>
    <row r="122" customFormat="false" ht="15" hidden="false" customHeight="false" outlineLevel="0" collapsed="false">
      <c r="A122" s="26"/>
      <c r="B122" s="26"/>
      <c r="C122" s="26"/>
      <c r="D122" s="26"/>
      <c r="E122" s="26"/>
      <c r="F122" s="26"/>
      <c r="G122" s="26"/>
    </row>
    <row r="123" customFormat="false" ht="15" hidden="false" customHeight="false" outlineLevel="0" collapsed="false">
      <c r="A123" s="26"/>
      <c r="B123" s="26"/>
      <c r="C123" s="26"/>
      <c r="D123" s="26"/>
      <c r="E123" s="26"/>
      <c r="F123" s="26"/>
      <c r="G123" s="26"/>
    </row>
    <row r="124" customFormat="false" ht="15" hidden="false" customHeight="false" outlineLevel="0" collapsed="false">
      <c r="A124" s="26"/>
      <c r="B124" s="26"/>
      <c r="C124" s="26"/>
      <c r="D124" s="26"/>
      <c r="E124" s="26"/>
      <c r="F124" s="26"/>
      <c r="G124" s="26"/>
    </row>
    <row r="125" customFormat="false" ht="15" hidden="false" customHeight="false" outlineLevel="0" collapsed="false">
      <c r="A125" s="26"/>
      <c r="B125" s="26"/>
      <c r="C125" s="26"/>
      <c r="D125" s="26"/>
      <c r="E125" s="26"/>
      <c r="F125" s="26"/>
      <c r="G125" s="26"/>
    </row>
    <row r="126" customFormat="false" ht="15" hidden="false" customHeight="false" outlineLevel="0" collapsed="false">
      <c r="A126" s="26"/>
      <c r="B126" s="26"/>
      <c r="C126" s="26"/>
      <c r="D126" s="26"/>
      <c r="E126" s="26"/>
      <c r="F126" s="26"/>
      <c r="G126" s="26"/>
    </row>
    <row r="127" customFormat="false" ht="15" hidden="false" customHeight="false" outlineLevel="0" collapsed="false">
      <c r="A127" s="26"/>
      <c r="B127" s="26"/>
      <c r="C127" s="26"/>
      <c r="D127" s="26"/>
      <c r="E127" s="26"/>
      <c r="F127" s="26"/>
      <c r="G127" s="26"/>
    </row>
    <row r="128" customFormat="false" ht="15" hidden="false" customHeight="false" outlineLevel="0" collapsed="false">
      <c r="A128" s="26"/>
      <c r="B128" s="26"/>
      <c r="C128" s="26"/>
      <c r="D128" s="26"/>
      <c r="E128" s="26"/>
      <c r="F128" s="26"/>
      <c r="G128" s="26"/>
    </row>
    <row r="129" customFormat="false" ht="15" hidden="false" customHeight="false" outlineLevel="0" collapsed="false">
      <c r="A129" s="26"/>
      <c r="B129" s="26"/>
      <c r="C129" s="26"/>
      <c r="D129" s="26"/>
      <c r="E129" s="26"/>
      <c r="F129" s="26"/>
      <c r="G129" s="26"/>
    </row>
    <row r="130" customFormat="false" ht="15" hidden="false" customHeight="false" outlineLevel="0" collapsed="false">
      <c r="A130" s="26"/>
      <c r="B130" s="26"/>
      <c r="C130" s="26"/>
      <c r="D130" s="26"/>
      <c r="E130" s="26"/>
      <c r="F130" s="26"/>
      <c r="G130" s="26"/>
    </row>
    <row r="131" customFormat="false" ht="15" hidden="false" customHeight="false" outlineLevel="0" collapsed="false">
      <c r="A131" s="26"/>
      <c r="B131" s="26"/>
      <c r="C131" s="26"/>
      <c r="D131" s="26"/>
      <c r="E131" s="26"/>
      <c r="F131" s="26"/>
      <c r="G131" s="26"/>
    </row>
    <row r="132" customFormat="false" ht="15" hidden="false" customHeight="false" outlineLevel="0" collapsed="false">
      <c r="A132" s="26"/>
      <c r="B132" s="26"/>
      <c r="C132" s="26"/>
      <c r="D132" s="26"/>
      <c r="E132" s="26"/>
      <c r="F132" s="26"/>
      <c r="G132" s="26"/>
    </row>
    <row r="133" customFormat="false" ht="15" hidden="false" customHeight="false" outlineLevel="0" collapsed="false">
      <c r="A133" s="26"/>
      <c r="B133" s="26"/>
      <c r="C133" s="26"/>
      <c r="D133" s="26"/>
      <c r="E133" s="26"/>
      <c r="F133" s="26"/>
      <c r="G133" s="26"/>
    </row>
    <row r="134" customFormat="false" ht="15" hidden="false" customHeight="false" outlineLevel="0" collapsed="false">
      <c r="A134" s="26"/>
      <c r="B134" s="26"/>
      <c r="C134" s="26"/>
      <c r="D134" s="26"/>
      <c r="E134" s="26"/>
      <c r="F134" s="26"/>
      <c r="G134" s="26"/>
    </row>
    <row r="135" customFormat="false" ht="15" hidden="false" customHeight="false" outlineLevel="0" collapsed="false">
      <c r="A135" s="26"/>
      <c r="B135" s="26"/>
      <c r="C135" s="26"/>
      <c r="D135" s="26"/>
      <c r="E135" s="26"/>
      <c r="F135" s="26"/>
      <c r="G135" s="26"/>
    </row>
    <row r="136" customFormat="false" ht="15" hidden="false" customHeight="false" outlineLevel="0" collapsed="false">
      <c r="A136" s="26"/>
      <c r="B136" s="26"/>
      <c r="C136" s="26"/>
      <c r="D136" s="26"/>
      <c r="E136" s="26"/>
      <c r="F136" s="26"/>
      <c r="G136" s="26"/>
    </row>
    <row r="137" customFormat="false" ht="15" hidden="false" customHeight="false" outlineLevel="0" collapsed="false">
      <c r="A137" s="26"/>
      <c r="B137" s="26"/>
      <c r="C137" s="26"/>
      <c r="D137" s="26"/>
      <c r="E137" s="26"/>
      <c r="F137" s="26"/>
      <c r="G137" s="26"/>
    </row>
    <row r="138" customFormat="false" ht="15" hidden="false" customHeight="false" outlineLevel="0" collapsed="false">
      <c r="A138" s="26"/>
      <c r="B138" s="26"/>
      <c r="C138" s="26"/>
      <c r="D138" s="26"/>
      <c r="E138" s="26"/>
      <c r="F138" s="26"/>
      <c r="G138" s="26"/>
    </row>
    <row r="139" customFormat="false" ht="15" hidden="false" customHeight="false" outlineLevel="0" collapsed="false">
      <c r="A139" s="26"/>
      <c r="B139" s="26"/>
      <c r="C139" s="26"/>
      <c r="D139" s="26"/>
      <c r="E139" s="26"/>
      <c r="F139" s="26"/>
      <c r="G139" s="26"/>
    </row>
    <row r="140" customFormat="false" ht="15" hidden="false" customHeight="false" outlineLevel="0" collapsed="false">
      <c r="A140" s="26"/>
      <c r="B140" s="26"/>
      <c r="C140" s="26"/>
      <c r="D140" s="26"/>
      <c r="E140" s="26"/>
      <c r="F140" s="26"/>
      <c r="G140" s="26"/>
    </row>
    <row r="141" customFormat="false" ht="15" hidden="false" customHeight="false" outlineLevel="0" collapsed="false">
      <c r="A141" s="26"/>
      <c r="B141" s="26"/>
      <c r="C141" s="26"/>
      <c r="D141" s="26"/>
      <c r="E141" s="26"/>
      <c r="F141" s="26"/>
      <c r="G141" s="26"/>
    </row>
    <row r="142" customFormat="false" ht="15" hidden="false" customHeight="false" outlineLevel="0" collapsed="false">
      <c r="A142" s="26"/>
      <c r="B142" s="26"/>
      <c r="C142" s="26"/>
      <c r="D142" s="26"/>
      <c r="E142" s="26"/>
      <c r="F142" s="26"/>
      <c r="G142" s="26"/>
    </row>
    <row r="143" customFormat="false" ht="15" hidden="false" customHeight="false" outlineLevel="0" collapsed="false">
      <c r="A143" s="26"/>
      <c r="B143" s="26"/>
      <c r="C143" s="26"/>
      <c r="D143" s="26"/>
      <c r="E143" s="26"/>
      <c r="F143" s="26"/>
      <c r="G143" s="26"/>
    </row>
    <row r="144" customFormat="false" ht="15" hidden="false" customHeight="false" outlineLevel="0" collapsed="false">
      <c r="A144" s="26"/>
      <c r="B144" s="26"/>
      <c r="C144" s="26"/>
      <c r="D144" s="26"/>
      <c r="E144" s="26"/>
      <c r="F144" s="26"/>
      <c r="G144" s="26"/>
    </row>
    <row r="145" customFormat="false" ht="15" hidden="false" customHeight="false" outlineLevel="0" collapsed="false">
      <c r="A145" s="26"/>
      <c r="B145" s="26"/>
      <c r="C145" s="26"/>
      <c r="D145" s="26"/>
      <c r="E145" s="26"/>
      <c r="F145" s="26"/>
      <c r="G145" s="26"/>
    </row>
    <row r="146" customFormat="false" ht="15" hidden="false" customHeight="false" outlineLevel="0" collapsed="false">
      <c r="A146" s="26"/>
      <c r="B146" s="26"/>
      <c r="C146" s="26"/>
      <c r="D146" s="26"/>
      <c r="E146" s="26"/>
      <c r="F146" s="26"/>
      <c r="G146" s="26"/>
    </row>
    <row r="147" customFormat="false" ht="15" hidden="false" customHeight="false" outlineLevel="0" collapsed="false">
      <c r="A147" s="26"/>
      <c r="B147" s="26"/>
      <c r="C147" s="26"/>
      <c r="D147" s="26"/>
      <c r="E147" s="26"/>
      <c r="F147" s="26"/>
      <c r="G147" s="26"/>
    </row>
    <row r="148" customFormat="false" ht="15" hidden="false" customHeight="false" outlineLevel="0" collapsed="false">
      <c r="A148" s="26"/>
      <c r="B148" s="26"/>
      <c r="C148" s="26"/>
      <c r="D148" s="26"/>
      <c r="E148" s="26"/>
      <c r="F148" s="26"/>
      <c r="G148" s="26"/>
    </row>
    <row r="149" customFormat="false" ht="15" hidden="false" customHeight="false" outlineLevel="0" collapsed="false">
      <c r="A149" s="26"/>
      <c r="B149" s="26"/>
      <c r="C149" s="26"/>
      <c r="D149" s="26"/>
      <c r="E149" s="26"/>
      <c r="F149" s="26"/>
      <c r="G149" s="26"/>
    </row>
    <row r="150" customFormat="false" ht="15" hidden="false" customHeight="false" outlineLevel="0" collapsed="false">
      <c r="A150" s="26"/>
      <c r="B150" s="26"/>
      <c r="C150" s="26"/>
      <c r="D150" s="26"/>
      <c r="E150" s="26"/>
      <c r="F150" s="26"/>
      <c r="G150" s="26"/>
    </row>
    <row r="151" customFormat="false" ht="15" hidden="false" customHeight="false" outlineLevel="0" collapsed="false">
      <c r="A151" s="26"/>
      <c r="B151" s="26"/>
      <c r="C151" s="26"/>
      <c r="D151" s="26"/>
      <c r="E151" s="26"/>
      <c r="F151" s="26"/>
      <c r="G151" s="26"/>
    </row>
    <row r="152" customFormat="false" ht="15" hidden="false" customHeight="false" outlineLevel="0" collapsed="false">
      <c r="A152" s="26"/>
      <c r="B152" s="26"/>
      <c r="C152" s="26"/>
      <c r="D152" s="26"/>
      <c r="E152" s="26"/>
      <c r="F152" s="26"/>
      <c r="G152" s="26"/>
    </row>
    <row r="153" customFormat="false" ht="15" hidden="false" customHeight="false" outlineLevel="0" collapsed="false">
      <c r="A153" s="26"/>
      <c r="B153" s="26"/>
      <c r="C153" s="26"/>
      <c r="D153" s="26"/>
      <c r="E153" s="26"/>
      <c r="F153" s="26"/>
      <c r="G153" s="26"/>
    </row>
    <row r="154" customFormat="false" ht="15" hidden="false" customHeight="false" outlineLevel="0" collapsed="false">
      <c r="A154" s="26"/>
      <c r="B154" s="26"/>
      <c r="C154" s="26"/>
      <c r="D154" s="26"/>
      <c r="E154" s="26"/>
      <c r="F154" s="26"/>
      <c r="G154" s="26"/>
    </row>
    <row r="155" customFormat="false" ht="15" hidden="false" customHeight="false" outlineLevel="0" collapsed="false">
      <c r="A155" s="26"/>
      <c r="B155" s="26"/>
      <c r="C155" s="26"/>
      <c r="D155" s="26"/>
      <c r="E155" s="26"/>
      <c r="F155" s="26"/>
      <c r="G155" s="26"/>
    </row>
    <row r="156" customFormat="false" ht="15" hidden="false" customHeight="false" outlineLevel="0" collapsed="false">
      <c r="A156" s="26"/>
      <c r="B156" s="26"/>
      <c r="C156" s="26"/>
      <c r="D156" s="26"/>
      <c r="E156" s="26"/>
      <c r="F156" s="26"/>
      <c r="G156" s="26"/>
    </row>
    <row r="157" customFormat="false" ht="15" hidden="false" customHeight="false" outlineLevel="0" collapsed="false">
      <c r="A157" s="26"/>
      <c r="B157" s="26"/>
      <c r="C157" s="26"/>
      <c r="D157" s="26"/>
      <c r="E157" s="26"/>
      <c r="F157" s="26"/>
      <c r="G157" s="26"/>
    </row>
    <row r="158" customFormat="false" ht="15" hidden="false" customHeight="false" outlineLevel="0" collapsed="false">
      <c r="A158" s="26"/>
      <c r="B158" s="26"/>
      <c r="C158" s="26"/>
      <c r="D158" s="26"/>
      <c r="E158" s="26"/>
      <c r="F158" s="26"/>
      <c r="G158" s="26"/>
    </row>
    <row r="159" customFormat="false" ht="15" hidden="false" customHeight="false" outlineLevel="0" collapsed="false">
      <c r="A159" s="26"/>
      <c r="B159" s="26"/>
      <c r="C159" s="26"/>
      <c r="D159" s="26"/>
      <c r="E159" s="26"/>
      <c r="F159" s="26"/>
      <c r="G159" s="26"/>
    </row>
    <row r="160" customFormat="false" ht="15" hidden="false" customHeight="false" outlineLevel="0" collapsed="false">
      <c r="A160" s="26"/>
      <c r="B160" s="26"/>
      <c r="C160" s="26"/>
      <c r="D160" s="26"/>
      <c r="E160" s="26"/>
      <c r="F160" s="26"/>
      <c r="G160" s="26"/>
    </row>
    <row r="161" customFormat="false" ht="15" hidden="false" customHeight="false" outlineLevel="0" collapsed="false">
      <c r="A161" s="26"/>
      <c r="B161" s="26"/>
      <c r="C161" s="26"/>
      <c r="D161" s="26"/>
      <c r="E161" s="26"/>
      <c r="F161" s="26"/>
      <c r="G161" s="26"/>
    </row>
    <row r="162" customFormat="false" ht="15" hidden="false" customHeight="false" outlineLevel="0" collapsed="false">
      <c r="A162" s="26"/>
      <c r="B162" s="26"/>
      <c r="C162" s="26"/>
      <c r="D162" s="26"/>
      <c r="E162" s="26"/>
      <c r="F162" s="26"/>
      <c r="G162" s="26"/>
    </row>
    <row r="163" customFormat="false" ht="15" hidden="false" customHeight="false" outlineLevel="0" collapsed="false">
      <c r="A163" s="26"/>
      <c r="B163" s="26"/>
      <c r="C163" s="26"/>
      <c r="D163" s="26"/>
      <c r="E163" s="26"/>
      <c r="F163" s="26"/>
      <c r="G163" s="26"/>
    </row>
    <row r="164" customFormat="false" ht="15" hidden="false" customHeight="false" outlineLevel="0" collapsed="false">
      <c r="A164" s="26"/>
      <c r="B164" s="26"/>
      <c r="C164" s="26"/>
      <c r="D164" s="26"/>
      <c r="E164" s="26"/>
      <c r="F164" s="26"/>
      <c r="G164" s="26"/>
    </row>
    <row r="165" customFormat="false" ht="15" hidden="false" customHeight="false" outlineLevel="0" collapsed="false">
      <c r="A165" s="26"/>
      <c r="B165" s="26"/>
      <c r="C165" s="26"/>
      <c r="D165" s="26"/>
      <c r="E165" s="26"/>
      <c r="F165" s="26"/>
      <c r="G165" s="26"/>
    </row>
    <row r="166" customFormat="false" ht="15" hidden="false" customHeight="false" outlineLevel="0" collapsed="false">
      <c r="A166" s="26"/>
      <c r="B166" s="26"/>
      <c r="C166" s="26"/>
      <c r="D166" s="26"/>
      <c r="E166" s="26"/>
      <c r="F166" s="26"/>
      <c r="G166" s="26"/>
    </row>
    <row r="167" customFormat="false" ht="15" hidden="false" customHeight="false" outlineLevel="0" collapsed="false">
      <c r="A167" s="26"/>
      <c r="B167" s="26"/>
      <c r="C167" s="26"/>
      <c r="D167" s="26"/>
      <c r="E167" s="26"/>
      <c r="F167" s="26"/>
      <c r="G167" s="26"/>
    </row>
    <row r="168" customFormat="false" ht="15" hidden="false" customHeight="false" outlineLevel="0" collapsed="false">
      <c r="A168" s="26"/>
      <c r="B168" s="26"/>
      <c r="C168" s="26"/>
      <c r="D168" s="26"/>
      <c r="E168" s="26"/>
      <c r="F168" s="26"/>
      <c r="G168" s="26"/>
    </row>
    <row r="169" customFormat="false" ht="15" hidden="false" customHeight="false" outlineLevel="0" collapsed="false">
      <c r="A169" s="26"/>
      <c r="B169" s="26"/>
      <c r="C169" s="26"/>
      <c r="D169" s="26"/>
      <c r="E169" s="26"/>
      <c r="F169" s="26"/>
      <c r="G169" s="26"/>
    </row>
    <row r="170" customFormat="false" ht="15" hidden="false" customHeight="false" outlineLevel="0" collapsed="false">
      <c r="A170" s="26"/>
      <c r="B170" s="26"/>
      <c r="C170" s="26"/>
      <c r="D170" s="26"/>
      <c r="E170" s="26"/>
      <c r="F170" s="26"/>
      <c r="G170" s="26"/>
    </row>
    <row r="171" customFormat="false" ht="15" hidden="false" customHeight="false" outlineLevel="0" collapsed="false">
      <c r="A171" s="26"/>
      <c r="B171" s="26"/>
      <c r="C171" s="26"/>
      <c r="D171" s="26"/>
      <c r="E171" s="26"/>
      <c r="F171" s="26"/>
      <c r="G171" s="26"/>
    </row>
    <row r="172" customFormat="false" ht="15" hidden="false" customHeight="false" outlineLevel="0" collapsed="false">
      <c r="A172" s="26"/>
      <c r="B172" s="26"/>
      <c r="C172" s="26"/>
      <c r="D172" s="26"/>
      <c r="E172" s="26"/>
      <c r="F172" s="26"/>
      <c r="G172" s="26"/>
    </row>
    <row r="173" customFormat="false" ht="15" hidden="false" customHeight="false" outlineLevel="0" collapsed="false">
      <c r="A173" s="26"/>
      <c r="B173" s="26"/>
      <c r="C173" s="26"/>
      <c r="D173" s="26"/>
      <c r="E173" s="26"/>
      <c r="F173" s="26"/>
      <c r="G173" s="26"/>
    </row>
    <row r="174" customFormat="false" ht="15" hidden="false" customHeight="false" outlineLevel="0" collapsed="false">
      <c r="A174" s="26"/>
      <c r="B174" s="26"/>
      <c r="C174" s="26"/>
      <c r="D174" s="26"/>
      <c r="E174" s="26"/>
      <c r="F174" s="26"/>
      <c r="G174" s="26"/>
    </row>
    <row r="175" customFormat="false" ht="15" hidden="false" customHeight="false" outlineLevel="0" collapsed="false">
      <c r="A175" s="26"/>
      <c r="B175" s="26"/>
      <c r="C175" s="26"/>
      <c r="D175" s="26"/>
      <c r="E175" s="26"/>
      <c r="F175" s="26"/>
      <c r="G175" s="26"/>
    </row>
    <row r="176" customFormat="false" ht="15" hidden="false" customHeight="false" outlineLevel="0" collapsed="false">
      <c r="A176" s="26"/>
      <c r="B176" s="26"/>
      <c r="C176" s="26"/>
      <c r="D176" s="26"/>
      <c r="E176" s="26"/>
      <c r="F176" s="26"/>
      <c r="G176" s="26"/>
    </row>
    <row r="177" customFormat="false" ht="15" hidden="false" customHeight="false" outlineLevel="0" collapsed="false">
      <c r="A177" s="26"/>
      <c r="B177" s="26"/>
      <c r="C177" s="26"/>
      <c r="D177" s="26"/>
      <c r="E177" s="26"/>
      <c r="F177" s="26"/>
      <c r="G177" s="26"/>
    </row>
    <row r="178" customFormat="false" ht="15" hidden="false" customHeight="false" outlineLevel="0" collapsed="false">
      <c r="A178" s="26"/>
      <c r="B178" s="26"/>
      <c r="C178" s="26"/>
      <c r="D178" s="26"/>
      <c r="E178" s="26"/>
      <c r="F178" s="26"/>
      <c r="G178" s="26"/>
    </row>
    <row r="179" customFormat="false" ht="15" hidden="false" customHeight="false" outlineLevel="0" collapsed="false">
      <c r="A179" s="26"/>
      <c r="B179" s="26"/>
      <c r="C179" s="26"/>
      <c r="D179" s="26"/>
      <c r="E179" s="26"/>
      <c r="F179" s="26"/>
      <c r="G179" s="26"/>
    </row>
    <row r="180" customFormat="false" ht="15" hidden="false" customHeight="false" outlineLevel="0" collapsed="false">
      <c r="A180" s="26"/>
      <c r="B180" s="26"/>
      <c r="C180" s="26"/>
      <c r="D180" s="26"/>
      <c r="E180" s="26"/>
      <c r="F180" s="26"/>
      <c r="G180" s="26"/>
    </row>
    <row r="181" customFormat="false" ht="15" hidden="false" customHeight="false" outlineLevel="0" collapsed="false">
      <c r="A181" s="26"/>
      <c r="B181" s="26"/>
      <c r="C181" s="26"/>
      <c r="D181" s="26"/>
      <c r="E181" s="26"/>
      <c r="F181" s="26"/>
      <c r="G181" s="26"/>
    </row>
    <row r="182" customFormat="false" ht="15" hidden="false" customHeight="false" outlineLevel="0" collapsed="false">
      <c r="A182" s="26"/>
      <c r="B182" s="26"/>
      <c r="C182" s="26"/>
      <c r="D182" s="26"/>
      <c r="E182" s="26"/>
      <c r="F182" s="26"/>
      <c r="G182" s="26"/>
    </row>
    <row r="183" customFormat="false" ht="15" hidden="false" customHeight="false" outlineLevel="0" collapsed="false">
      <c r="A183" s="26"/>
      <c r="B183" s="26"/>
      <c r="C183" s="26"/>
      <c r="D183" s="26"/>
      <c r="E183" s="26"/>
      <c r="F183" s="26"/>
      <c r="G183" s="26"/>
    </row>
    <row r="184" customFormat="false" ht="15" hidden="false" customHeight="false" outlineLevel="0" collapsed="false">
      <c r="A184" s="26"/>
      <c r="B184" s="26"/>
      <c r="C184" s="26"/>
      <c r="D184" s="26"/>
      <c r="E184" s="26"/>
      <c r="F184" s="26"/>
      <c r="G184" s="26"/>
    </row>
    <row r="185" customFormat="false" ht="15" hidden="false" customHeight="false" outlineLevel="0" collapsed="false">
      <c r="A185" s="26"/>
      <c r="B185" s="26"/>
      <c r="C185" s="26"/>
      <c r="D185" s="26"/>
      <c r="E185" s="26"/>
      <c r="F185" s="26"/>
      <c r="G185" s="26"/>
    </row>
    <row r="186" customFormat="false" ht="15" hidden="false" customHeight="false" outlineLevel="0" collapsed="false">
      <c r="A186" s="26"/>
      <c r="B186" s="26"/>
      <c r="C186" s="26"/>
      <c r="D186" s="26"/>
      <c r="E186" s="26"/>
      <c r="F186" s="26"/>
      <c r="G186" s="26"/>
    </row>
    <row r="187" customFormat="false" ht="15" hidden="false" customHeight="false" outlineLevel="0" collapsed="false">
      <c r="A187" s="26"/>
      <c r="B187" s="26"/>
      <c r="C187" s="26"/>
      <c r="D187" s="26"/>
      <c r="E187" s="26"/>
      <c r="F187" s="26"/>
      <c r="G187" s="26"/>
    </row>
    <row r="188" customFormat="false" ht="15" hidden="false" customHeight="false" outlineLevel="0" collapsed="false">
      <c r="A188" s="26"/>
      <c r="B188" s="26"/>
      <c r="C188" s="26"/>
      <c r="D188" s="26"/>
      <c r="E188" s="26"/>
      <c r="F188" s="26"/>
      <c r="G188" s="26"/>
    </row>
    <row r="189" customFormat="false" ht="15" hidden="false" customHeight="false" outlineLevel="0" collapsed="false">
      <c r="A189" s="26"/>
      <c r="B189" s="26"/>
      <c r="C189" s="26"/>
      <c r="D189" s="26"/>
      <c r="E189" s="26"/>
      <c r="F189" s="26"/>
      <c r="G189" s="26"/>
    </row>
    <row r="190" customFormat="false" ht="15" hidden="false" customHeight="false" outlineLevel="0" collapsed="false">
      <c r="A190" s="26"/>
      <c r="B190" s="26"/>
      <c r="C190" s="26"/>
      <c r="D190" s="26"/>
      <c r="E190" s="26"/>
      <c r="F190" s="26"/>
      <c r="G190" s="26"/>
    </row>
    <row r="191" customFormat="false" ht="15" hidden="false" customHeight="false" outlineLevel="0" collapsed="false">
      <c r="A191" s="26"/>
      <c r="B191" s="26"/>
      <c r="C191" s="26"/>
      <c r="D191" s="26"/>
      <c r="E191" s="26"/>
      <c r="F191" s="26"/>
      <c r="G191" s="26"/>
    </row>
    <row r="192" customFormat="false" ht="15" hidden="false" customHeight="false" outlineLevel="0" collapsed="false">
      <c r="A192" s="26"/>
      <c r="B192" s="26"/>
      <c r="C192" s="26"/>
      <c r="D192" s="26"/>
      <c r="E192" s="26"/>
      <c r="F192" s="26"/>
      <c r="G192" s="26"/>
    </row>
    <row r="193" customFormat="false" ht="15" hidden="false" customHeight="false" outlineLevel="0" collapsed="false">
      <c r="A193" s="26"/>
      <c r="B193" s="26"/>
      <c r="C193" s="26"/>
      <c r="D193" s="26"/>
      <c r="E193" s="26"/>
      <c r="F193" s="26"/>
      <c r="G193" s="26"/>
    </row>
    <row r="194" customFormat="false" ht="15" hidden="false" customHeight="false" outlineLevel="0" collapsed="false">
      <c r="A194" s="26"/>
      <c r="B194" s="26"/>
      <c r="C194" s="26"/>
      <c r="D194" s="26"/>
      <c r="E194" s="26"/>
      <c r="F194" s="26"/>
      <c r="G194" s="26"/>
    </row>
    <row r="195" customFormat="false" ht="15" hidden="false" customHeight="false" outlineLevel="0" collapsed="false">
      <c r="A195" s="26"/>
      <c r="B195" s="26"/>
      <c r="C195" s="26"/>
      <c r="D195" s="26"/>
      <c r="E195" s="26"/>
      <c r="F195" s="26"/>
      <c r="G195" s="26"/>
    </row>
    <row r="196" customFormat="false" ht="15" hidden="false" customHeight="false" outlineLevel="0" collapsed="false">
      <c r="A196" s="26"/>
      <c r="B196" s="26"/>
      <c r="C196" s="26"/>
      <c r="D196" s="26"/>
      <c r="E196" s="26"/>
      <c r="F196" s="26"/>
      <c r="G196" s="26"/>
    </row>
    <row r="197" customFormat="false" ht="15" hidden="false" customHeight="false" outlineLevel="0" collapsed="false">
      <c r="A197" s="26"/>
      <c r="B197" s="26"/>
      <c r="C197" s="26"/>
      <c r="D197" s="26"/>
      <c r="E197" s="26"/>
      <c r="F197" s="26"/>
      <c r="G197" s="26"/>
    </row>
    <row r="198" customFormat="false" ht="15" hidden="false" customHeight="false" outlineLevel="0" collapsed="false">
      <c r="A198" s="26"/>
      <c r="B198" s="26"/>
      <c r="C198" s="26"/>
      <c r="D198" s="26"/>
      <c r="E198" s="26"/>
      <c r="F198" s="26"/>
      <c r="G198" s="26"/>
    </row>
    <row r="199" customFormat="false" ht="15" hidden="false" customHeight="false" outlineLevel="0" collapsed="false">
      <c r="A199" s="26"/>
      <c r="B199" s="26"/>
      <c r="C199" s="26"/>
      <c r="D199" s="26"/>
      <c r="E199" s="26"/>
      <c r="F199" s="26"/>
      <c r="G199" s="26"/>
    </row>
    <row r="200" customFormat="false" ht="15" hidden="false" customHeight="false" outlineLevel="0" collapsed="false">
      <c r="A200" s="26"/>
      <c r="B200" s="26"/>
      <c r="C200" s="26"/>
      <c r="D200" s="26"/>
      <c r="E200" s="26"/>
      <c r="F200" s="26"/>
      <c r="G200" s="26"/>
    </row>
    <row r="201" customFormat="false" ht="15" hidden="false" customHeight="false" outlineLevel="0" collapsed="false">
      <c r="A201" s="26"/>
      <c r="B201" s="26"/>
      <c r="C201" s="26"/>
      <c r="D201" s="26"/>
      <c r="E201" s="26"/>
      <c r="F201" s="26"/>
      <c r="G201" s="26"/>
    </row>
    <row r="202" customFormat="false" ht="15" hidden="false" customHeight="false" outlineLevel="0" collapsed="false">
      <c r="A202" s="26"/>
      <c r="B202" s="26"/>
      <c r="C202" s="26"/>
      <c r="D202" s="26"/>
      <c r="E202" s="26"/>
      <c r="F202" s="26"/>
      <c r="G202" s="26"/>
    </row>
    <row r="203" customFormat="false" ht="15" hidden="false" customHeight="false" outlineLevel="0" collapsed="false">
      <c r="A203" s="26"/>
      <c r="B203" s="26"/>
      <c r="C203" s="26"/>
      <c r="D203" s="26"/>
      <c r="E203" s="26"/>
      <c r="F203" s="26"/>
      <c r="G203" s="26"/>
    </row>
    <row r="204" customFormat="false" ht="15" hidden="false" customHeight="false" outlineLevel="0" collapsed="false">
      <c r="A204" s="26"/>
      <c r="B204" s="26"/>
      <c r="C204" s="26"/>
      <c r="D204" s="26"/>
      <c r="E204" s="26"/>
      <c r="F204" s="26"/>
      <c r="G204" s="26"/>
    </row>
    <row r="205" customFormat="false" ht="15" hidden="false" customHeight="false" outlineLevel="0" collapsed="false">
      <c r="A205" s="26"/>
      <c r="B205" s="26"/>
      <c r="C205" s="26"/>
      <c r="D205" s="26"/>
      <c r="E205" s="26"/>
      <c r="F205" s="26"/>
      <c r="G205" s="26"/>
    </row>
    <row r="206" customFormat="false" ht="15" hidden="false" customHeight="false" outlineLevel="0" collapsed="false">
      <c r="A206" s="26"/>
      <c r="B206" s="26"/>
      <c r="C206" s="26"/>
      <c r="D206" s="26"/>
      <c r="E206" s="26"/>
      <c r="F206" s="26"/>
      <c r="G206" s="26"/>
    </row>
    <row r="207" customFormat="false" ht="15" hidden="false" customHeight="false" outlineLevel="0" collapsed="false">
      <c r="A207" s="26"/>
      <c r="B207" s="26"/>
      <c r="C207" s="26"/>
      <c r="D207" s="26"/>
      <c r="E207" s="26"/>
      <c r="F207" s="26"/>
      <c r="G207" s="26"/>
    </row>
    <row r="208" customFormat="false" ht="15" hidden="false" customHeight="false" outlineLevel="0" collapsed="false">
      <c r="A208" s="26"/>
      <c r="B208" s="26"/>
      <c r="C208" s="26"/>
      <c r="D208" s="26"/>
      <c r="E208" s="26"/>
      <c r="F208" s="26"/>
      <c r="G208" s="26"/>
    </row>
    <row r="209" customFormat="false" ht="15" hidden="false" customHeight="false" outlineLevel="0" collapsed="false">
      <c r="A209" s="26"/>
      <c r="B209" s="26"/>
      <c r="C209" s="26"/>
      <c r="D209" s="26"/>
      <c r="E209" s="26"/>
      <c r="F209" s="26"/>
      <c r="G209" s="26"/>
    </row>
    <row r="210" customFormat="false" ht="15" hidden="false" customHeight="false" outlineLevel="0" collapsed="false">
      <c r="A210" s="26"/>
      <c r="B210" s="26"/>
      <c r="C210" s="26"/>
      <c r="D210" s="26"/>
      <c r="E210" s="26"/>
      <c r="F210" s="26"/>
      <c r="G210" s="26"/>
    </row>
    <row r="211" customFormat="false" ht="15" hidden="false" customHeight="false" outlineLevel="0" collapsed="false">
      <c r="A211" s="26"/>
      <c r="B211" s="26"/>
      <c r="C211" s="26"/>
      <c r="D211" s="26"/>
      <c r="E211" s="26"/>
      <c r="F211" s="26"/>
      <c r="G211" s="26"/>
    </row>
    <row r="212" customFormat="false" ht="15" hidden="false" customHeight="false" outlineLevel="0" collapsed="false">
      <c r="A212" s="26"/>
      <c r="B212" s="26"/>
      <c r="C212" s="26"/>
      <c r="D212" s="26"/>
      <c r="E212" s="26"/>
      <c r="F212" s="26"/>
      <c r="G212" s="26"/>
    </row>
    <row r="213" customFormat="false" ht="15" hidden="false" customHeight="false" outlineLevel="0" collapsed="false">
      <c r="A213" s="26"/>
      <c r="B213" s="26"/>
      <c r="C213" s="26"/>
      <c r="D213" s="26"/>
      <c r="E213" s="26"/>
      <c r="F213" s="26"/>
      <c r="G213" s="26"/>
    </row>
    <row r="214" customFormat="false" ht="15" hidden="false" customHeight="false" outlineLevel="0" collapsed="false">
      <c r="A214" s="26"/>
      <c r="B214" s="26"/>
      <c r="C214" s="26"/>
      <c r="D214" s="26"/>
      <c r="E214" s="26"/>
      <c r="F214" s="26"/>
      <c r="G214" s="26"/>
    </row>
    <row r="215" customFormat="false" ht="15" hidden="false" customHeight="false" outlineLevel="0" collapsed="false">
      <c r="A215" s="26"/>
      <c r="B215" s="26"/>
      <c r="C215" s="26"/>
      <c r="D215" s="26"/>
      <c r="E215" s="26"/>
      <c r="F215" s="26"/>
      <c r="G215" s="26"/>
    </row>
    <row r="216" customFormat="false" ht="15" hidden="false" customHeight="false" outlineLevel="0" collapsed="false">
      <c r="A216" s="26"/>
      <c r="B216" s="26"/>
      <c r="C216" s="26"/>
      <c r="D216" s="26"/>
      <c r="E216" s="26"/>
      <c r="F216" s="26"/>
      <c r="G216" s="26"/>
    </row>
    <row r="217" customFormat="false" ht="15" hidden="false" customHeight="false" outlineLevel="0" collapsed="false">
      <c r="A217" s="26"/>
      <c r="B217" s="26"/>
      <c r="C217" s="26"/>
      <c r="D217" s="26"/>
      <c r="E217" s="26"/>
      <c r="F217" s="26"/>
      <c r="G217" s="26"/>
    </row>
    <row r="218" customFormat="false" ht="15" hidden="false" customHeight="false" outlineLevel="0" collapsed="false">
      <c r="A218" s="26"/>
      <c r="B218" s="26"/>
      <c r="C218" s="26"/>
      <c r="D218" s="26"/>
      <c r="E218" s="26"/>
      <c r="F218" s="26"/>
      <c r="G218" s="26"/>
    </row>
    <row r="219" customFormat="false" ht="15" hidden="false" customHeight="false" outlineLevel="0" collapsed="false">
      <c r="A219" s="26"/>
      <c r="B219" s="26"/>
      <c r="C219" s="26"/>
      <c r="D219" s="26"/>
      <c r="E219" s="26"/>
      <c r="F219" s="26"/>
      <c r="G219" s="26"/>
    </row>
    <row r="220" customFormat="false" ht="15" hidden="false" customHeight="false" outlineLevel="0" collapsed="false">
      <c r="A220" s="26"/>
      <c r="B220" s="26"/>
      <c r="C220" s="26"/>
      <c r="D220" s="26"/>
      <c r="E220" s="26"/>
      <c r="F220" s="26"/>
      <c r="G220" s="26"/>
    </row>
    <row r="221" customFormat="false" ht="15" hidden="false" customHeight="false" outlineLevel="0" collapsed="false">
      <c r="A221" s="26"/>
      <c r="B221" s="26"/>
      <c r="C221" s="26"/>
      <c r="D221" s="26"/>
      <c r="E221" s="26"/>
      <c r="F221" s="26"/>
      <c r="G221" s="26"/>
    </row>
    <row r="222" customFormat="false" ht="15" hidden="false" customHeight="false" outlineLevel="0" collapsed="false">
      <c r="A222" s="26"/>
      <c r="B222" s="26"/>
      <c r="C222" s="26"/>
      <c r="D222" s="26"/>
      <c r="E222" s="26"/>
      <c r="F222" s="26"/>
      <c r="G222" s="26"/>
    </row>
    <row r="223" customFormat="false" ht="15" hidden="false" customHeight="false" outlineLevel="0" collapsed="false">
      <c r="A223" s="26"/>
      <c r="B223" s="26"/>
      <c r="C223" s="26"/>
      <c r="D223" s="26"/>
      <c r="E223" s="26"/>
      <c r="F223" s="26"/>
      <c r="G223" s="26"/>
    </row>
    <row r="224" customFormat="false" ht="15" hidden="false" customHeight="false" outlineLevel="0" collapsed="false">
      <c r="A224" s="26"/>
      <c r="B224" s="26"/>
      <c r="C224" s="26"/>
      <c r="D224" s="26"/>
      <c r="E224" s="26"/>
      <c r="F224" s="26"/>
      <c r="G224" s="26"/>
    </row>
    <row r="225" customFormat="false" ht="15" hidden="false" customHeight="false" outlineLevel="0" collapsed="false">
      <c r="A225" s="26"/>
      <c r="B225" s="26"/>
      <c r="C225" s="26"/>
      <c r="D225" s="26"/>
      <c r="E225" s="26"/>
      <c r="F225" s="26"/>
      <c r="G225" s="26"/>
    </row>
    <row r="226" customFormat="false" ht="15" hidden="false" customHeight="false" outlineLevel="0" collapsed="false">
      <c r="A226" s="26"/>
      <c r="B226" s="26"/>
      <c r="C226" s="26"/>
      <c r="D226" s="26"/>
      <c r="E226" s="26"/>
      <c r="F226" s="26"/>
      <c r="G226" s="26"/>
    </row>
    <row r="227" customFormat="false" ht="15" hidden="false" customHeight="false" outlineLevel="0" collapsed="false">
      <c r="A227" s="26"/>
      <c r="B227" s="26"/>
      <c r="C227" s="26"/>
      <c r="D227" s="26"/>
      <c r="E227" s="26"/>
      <c r="F227" s="26"/>
      <c r="G227" s="26"/>
    </row>
    <row r="228" customFormat="false" ht="15" hidden="false" customHeight="false" outlineLevel="0" collapsed="false">
      <c r="A228" s="26"/>
      <c r="B228" s="26"/>
      <c r="C228" s="26"/>
      <c r="D228" s="26"/>
      <c r="E228" s="26"/>
      <c r="F228" s="26"/>
      <c r="G228" s="26"/>
    </row>
    <row r="229" customFormat="false" ht="15" hidden="false" customHeight="false" outlineLevel="0" collapsed="false">
      <c r="A229" s="26"/>
      <c r="B229" s="26"/>
      <c r="C229" s="26"/>
      <c r="D229" s="26"/>
      <c r="E229" s="26"/>
      <c r="F229" s="26"/>
      <c r="G229" s="26"/>
    </row>
    <row r="230" customFormat="false" ht="15" hidden="false" customHeight="false" outlineLevel="0" collapsed="false">
      <c r="A230" s="26"/>
      <c r="B230" s="26"/>
      <c r="C230" s="26"/>
      <c r="D230" s="26"/>
      <c r="E230" s="26"/>
      <c r="F230" s="26"/>
      <c r="G230" s="26"/>
    </row>
    <row r="231" customFormat="false" ht="15" hidden="false" customHeight="false" outlineLevel="0" collapsed="false">
      <c r="A231" s="26"/>
      <c r="B231" s="26"/>
      <c r="C231" s="26"/>
      <c r="D231" s="26"/>
      <c r="E231" s="26"/>
      <c r="F231" s="26"/>
      <c r="G231" s="26"/>
    </row>
    <row r="232" customFormat="false" ht="15" hidden="false" customHeight="false" outlineLevel="0" collapsed="false">
      <c r="A232" s="26"/>
      <c r="B232" s="26"/>
      <c r="C232" s="26"/>
      <c r="D232" s="26"/>
      <c r="E232" s="26"/>
      <c r="F232" s="26"/>
      <c r="G232" s="26"/>
    </row>
    <row r="233" customFormat="false" ht="15" hidden="false" customHeight="false" outlineLevel="0" collapsed="false">
      <c r="A233" s="26"/>
      <c r="B233" s="26"/>
      <c r="C233" s="26"/>
      <c r="D233" s="26"/>
      <c r="E233" s="26"/>
      <c r="F233" s="26"/>
      <c r="G233" s="26"/>
    </row>
    <row r="234" customFormat="false" ht="15" hidden="false" customHeight="false" outlineLevel="0" collapsed="false">
      <c r="A234" s="26"/>
      <c r="B234" s="26"/>
      <c r="C234" s="26"/>
      <c r="D234" s="26"/>
      <c r="E234" s="26"/>
      <c r="F234" s="26"/>
      <c r="G234" s="26"/>
    </row>
    <row r="235" customFormat="false" ht="15" hidden="false" customHeight="false" outlineLevel="0" collapsed="false">
      <c r="A235" s="26"/>
      <c r="B235" s="26"/>
      <c r="C235" s="26"/>
      <c r="D235" s="26"/>
      <c r="E235" s="26"/>
      <c r="F235" s="26"/>
      <c r="G235" s="26"/>
    </row>
    <row r="236" customFormat="false" ht="15" hidden="false" customHeight="false" outlineLevel="0" collapsed="false">
      <c r="A236" s="26"/>
      <c r="B236" s="26"/>
      <c r="C236" s="26"/>
      <c r="D236" s="26"/>
      <c r="E236" s="26"/>
      <c r="F236" s="26"/>
      <c r="G236" s="26"/>
    </row>
    <row r="237" customFormat="false" ht="15" hidden="false" customHeight="false" outlineLevel="0" collapsed="false">
      <c r="A237" s="26"/>
      <c r="B237" s="26"/>
      <c r="C237" s="26"/>
      <c r="D237" s="26"/>
      <c r="E237" s="26"/>
      <c r="F237" s="26"/>
      <c r="G237" s="26"/>
    </row>
    <row r="238" customFormat="false" ht="15" hidden="false" customHeight="false" outlineLevel="0" collapsed="false">
      <c r="A238" s="26"/>
      <c r="B238" s="26"/>
      <c r="C238" s="26"/>
      <c r="D238" s="26"/>
      <c r="E238" s="26"/>
      <c r="F238" s="26"/>
      <c r="G238" s="26"/>
    </row>
    <row r="239" customFormat="false" ht="15" hidden="false" customHeight="false" outlineLevel="0" collapsed="false">
      <c r="A239" s="26"/>
      <c r="B239" s="26"/>
      <c r="C239" s="26"/>
      <c r="D239" s="26"/>
      <c r="E239" s="26"/>
      <c r="F239" s="26"/>
      <c r="G239" s="26"/>
    </row>
    <row r="240" customFormat="false" ht="15" hidden="false" customHeight="false" outlineLevel="0" collapsed="false">
      <c r="A240" s="26"/>
      <c r="B240" s="26"/>
      <c r="C240" s="26"/>
      <c r="D240" s="26"/>
      <c r="E240" s="26"/>
      <c r="F240" s="26"/>
      <c r="G240" s="26"/>
    </row>
    <row r="241" customFormat="false" ht="15" hidden="false" customHeight="false" outlineLevel="0" collapsed="false">
      <c r="A241" s="26"/>
      <c r="B241" s="26"/>
      <c r="C241" s="26"/>
      <c r="D241" s="26"/>
      <c r="E241" s="26"/>
      <c r="F241" s="26"/>
      <c r="G241" s="26"/>
    </row>
    <row r="242" customFormat="false" ht="15" hidden="false" customHeight="false" outlineLevel="0" collapsed="false">
      <c r="A242" s="26"/>
      <c r="B242" s="26"/>
      <c r="C242" s="26"/>
      <c r="D242" s="26"/>
      <c r="E242" s="26"/>
      <c r="F242" s="26"/>
      <c r="G242" s="26"/>
    </row>
    <row r="243" customFormat="false" ht="15" hidden="false" customHeight="false" outlineLevel="0" collapsed="false">
      <c r="A243" s="26"/>
      <c r="B243" s="26"/>
      <c r="C243" s="26"/>
      <c r="D243" s="26"/>
      <c r="E243" s="26"/>
      <c r="F243" s="26"/>
      <c r="G243" s="26"/>
    </row>
    <row r="244" customFormat="false" ht="15" hidden="false" customHeight="false" outlineLevel="0" collapsed="false">
      <c r="A244" s="26"/>
      <c r="B244" s="26"/>
      <c r="C244" s="26"/>
      <c r="D244" s="26"/>
      <c r="E244" s="26"/>
      <c r="F244" s="26"/>
      <c r="G244" s="26"/>
    </row>
    <row r="245" customFormat="false" ht="15" hidden="false" customHeight="false" outlineLevel="0" collapsed="false">
      <c r="A245" s="26"/>
      <c r="B245" s="26"/>
      <c r="C245" s="26"/>
      <c r="D245" s="26"/>
      <c r="E245" s="26"/>
      <c r="F245" s="26"/>
      <c r="G245" s="26"/>
    </row>
    <row r="246" customFormat="false" ht="15" hidden="false" customHeight="false" outlineLevel="0" collapsed="false">
      <c r="A246" s="26"/>
      <c r="B246" s="26"/>
      <c r="C246" s="26"/>
      <c r="D246" s="26"/>
      <c r="E246" s="26"/>
      <c r="F246" s="26"/>
      <c r="G246" s="26"/>
    </row>
    <row r="247" customFormat="false" ht="15" hidden="false" customHeight="false" outlineLevel="0" collapsed="false">
      <c r="A247" s="26"/>
      <c r="B247" s="26"/>
      <c r="C247" s="26"/>
      <c r="D247" s="26"/>
      <c r="E247" s="26"/>
      <c r="F247" s="26"/>
      <c r="G247" s="26"/>
    </row>
    <row r="248" customFormat="false" ht="15" hidden="false" customHeight="false" outlineLevel="0" collapsed="false">
      <c r="A248" s="26"/>
      <c r="B248" s="26"/>
      <c r="C248" s="26"/>
      <c r="D248" s="26"/>
      <c r="E248" s="26"/>
      <c r="F248" s="26"/>
      <c r="G248" s="26"/>
    </row>
    <row r="249" customFormat="false" ht="15" hidden="false" customHeight="false" outlineLevel="0" collapsed="false">
      <c r="A249" s="26"/>
      <c r="B249" s="26"/>
      <c r="C249" s="26"/>
      <c r="D249" s="26"/>
      <c r="E249" s="26"/>
      <c r="F249" s="26"/>
      <c r="G249" s="26"/>
    </row>
    <row r="250" customFormat="false" ht="15" hidden="false" customHeight="false" outlineLevel="0" collapsed="false">
      <c r="A250" s="26"/>
      <c r="B250" s="26"/>
      <c r="C250" s="26"/>
      <c r="D250" s="26"/>
      <c r="E250" s="26"/>
      <c r="F250" s="26"/>
      <c r="G250" s="26"/>
    </row>
    <row r="251" customFormat="false" ht="15" hidden="false" customHeight="false" outlineLevel="0" collapsed="false">
      <c r="A251" s="26"/>
      <c r="B251" s="26"/>
      <c r="C251" s="26"/>
      <c r="D251" s="26"/>
      <c r="E251" s="26"/>
      <c r="F251" s="26"/>
      <c r="G251" s="26"/>
    </row>
    <row r="252" customFormat="false" ht="15" hidden="false" customHeight="false" outlineLevel="0" collapsed="false">
      <c r="A252" s="26"/>
      <c r="B252" s="26"/>
      <c r="C252" s="26"/>
      <c r="D252" s="26"/>
      <c r="E252" s="26"/>
      <c r="F252" s="26"/>
      <c r="G252" s="26"/>
    </row>
    <row r="253" customFormat="false" ht="15" hidden="false" customHeight="false" outlineLevel="0" collapsed="false">
      <c r="A253" s="26"/>
      <c r="B253" s="26"/>
      <c r="C253" s="26"/>
      <c r="D253" s="26"/>
      <c r="E253" s="26"/>
      <c r="F253" s="26"/>
      <c r="G253" s="26"/>
    </row>
    <row r="254" customFormat="false" ht="15" hidden="false" customHeight="false" outlineLevel="0" collapsed="false">
      <c r="A254" s="26"/>
      <c r="B254" s="26"/>
      <c r="C254" s="26"/>
      <c r="D254" s="26"/>
      <c r="E254" s="26"/>
      <c r="F254" s="26"/>
      <c r="G254" s="26"/>
    </row>
    <row r="255" customFormat="false" ht="15" hidden="false" customHeight="false" outlineLevel="0" collapsed="false">
      <c r="A255" s="26"/>
      <c r="B255" s="26"/>
      <c r="C255" s="26"/>
      <c r="D255" s="26"/>
      <c r="E255" s="26"/>
      <c r="F255" s="26"/>
      <c r="G255" s="26"/>
    </row>
    <row r="256" customFormat="false" ht="15" hidden="false" customHeight="false" outlineLevel="0" collapsed="false">
      <c r="A256" s="26"/>
      <c r="B256" s="26"/>
      <c r="C256" s="26"/>
      <c r="D256" s="26"/>
      <c r="E256" s="26"/>
      <c r="F256" s="26"/>
      <c r="G256" s="26"/>
    </row>
    <row r="257" customFormat="false" ht="15" hidden="false" customHeight="false" outlineLevel="0" collapsed="false">
      <c r="A257" s="26"/>
      <c r="B257" s="26"/>
      <c r="C257" s="26"/>
      <c r="D257" s="26"/>
      <c r="E257" s="26"/>
      <c r="F257" s="26"/>
      <c r="G257" s="26"/>
    </row>
    <row r="258" customFormat="false" ht="15" hidden="false" customHeight="false" outlineLevel="0" collapsed="false">
      <c r="A258" s="26"/>
      <c r="B258" s="26"/>
      <c r="C258" s="26"/>
      <c r="D258" s="26"/>
      <c r="E258" s="26"/>
      <c r="F258" s="26"/>
      <c r="G258" s="26"/>
    </row>
    <row r="259" customFormat="false" ht="15" hidden="false" customHeight="false" outlineLevel="0" collapsed="false">
      <c r="A259" s="26"/>
      <c r="B259" s="26"/>
      <c r="C259" s="26"/>
      <c r="D259" s="26"/>
      <c r="E259" s="26"/>
      <c r="F259" s="26"/>
      <c r="G259" s="26"/>
    </row>
    <row r="260" customFormat="false" ht="15" hidden="false" customHeight="false" outlineLevel="0" collapsed="false">
      <c r="A260" s="26"/>
      <c r="B260" s="26"/>
      <c r="C260" s="26"/>
      <c r="D260" s="26"/>
      <c r="E260" s="26"/>
      <c r="F260" s="26"/>
      <c r="G260" s="26"/>
    </row>
    <row r="261" customFormat="false" ht="15" hidden="false" customHeight="false" outlineLevel="0" collapsed="false">
      <c r="A261" s="26"/>
      <c r="B261" s="26"/>
      <c r="C261" s="26"/>
      <c r="D261" s="26"/>
      <c r="E261" s="26"/>
      <c r="F261" s="26"/>
      <c r="G261" s="26"/>
    </row>
    <row r="262" customFormat="false" ht="15" hidden="false" customHeight="false" outlineLevel="0" collapsed="false">
      <c r="A262" s="26"/>
      <c r="B262" s="26"/>
      <c r="C262" s="26"/>
      <c r="D262" s="26"/>
      <c r="E262" s="26"/>
      <c r="F262" s="26"/>
      <c r="G262" s="26"/>
    </row>
    <row r="263" customFormat="false" ht="15" hidden="false" customHeight="false" outlineLevel="0" collapsed="false">
      <c r="A263" s="26"/>
      <c r="B263" s="26"/>
      <c r="C263" s="26"/>
      <c r="D263" s="26"/>
      <c r="E263" s="26"/>
      <c r="F263" s="26"/>
      <c r="G263" s="26"/>
    </row>
    <row r="264" customFormat="false" ht="15" hidden="false" customHeight="false" outlineLevel="0" collapsed="false">
      <c r="A264" s="26"/>
      <c r="B264" s="26"/>
      <c r="C264" s="26"/>
      <c r="D264" s="26"/>
      <c r="E264" s="26"/>
      <c r="F264" s="26"/>
      <c r="G264" s="26"/>
    </row>
    <row r="265" customFormat="false" ht="15" hidden="false" customHeight="false" outlineLevel="0" collapsed="false">
      <c r="A265" s="26"/>
      <c r="B265" s="26"/>
      <c r="C265" s="26"/>
      <c r="D265" s="26"/>
      <c r="E265" s="26"/>
      <c r="F265" s="26"/>
      <c r="G265" s="26"/>
    </row>
    <row r="266" customFormat="false" ht="15" hidden="false" customHeight="false" outlineLevel="0" collapsed="false">
      <c r="A266" s="26"/>
      <c r="B266" s="26"/>
      <c r="C266" s="26"/>
      <c r="D266" s="26"/>
      <c r="E266" s="26"/>
      <c r="F266" s="26"/>
      <c r="G266" s="26"/>
    </row>
    <row r="267" customFormat="false" ht="15" hidden="false" customHeight="false" outlineLevel="0" collapsed="false">
      <c r="A267" s="26"/>
      <c r="B267" s="26"/>
      <c r="C267" s="26"/>
      <c r="D267" s="26"/>
      <c r="E267" s="26"/>
      <c r="F267" s="26"/>
      <c r="G267" s="26"/>
    </row>
    <row r="268" customFormat="false" ht="15" hidden="false" customHeight="false" outlineLevel="0" collapsed="false">
      <c r="A268" s="26"/>
      <c r="B268" s="26"/>
      <c r="C268" s="26"/>
      <c r="D268" s="26"/>
      <c r="E268" s="26"/>
      <c r="F268" s="26"/>
      <c r="G268" s="26"/>
    </row>
    <row r="269" customFormat="false" ht="15" hidden="false" customHeight="false" outlineLevel="0" collapsed="false">
      <c r="A269" s="26"/>
      <c r="B269" s="26"/>
      <c r="C269" s="26"/>
      <c r="D269" s="26"/>
      <c r="E269" s="26"/>
      <c r="F269" s="26"/>
      <c r="G269" s="26"/>
    </row>
    <row r="270" customFormat="false" ht="15" hidden="false" customHeight="false" outlineLevel="0" collapsed="false">
      <c r="A270" s="26"/>
      <c r="B270" s="26"/>
      <c r="C270" s="26"/>
      <c r="D270" s="26"/>
      <c r="E270" s="26"/>
      <c r="F270" s="26"/>
      <c r="G270" s="26"/>
    </row>
    <row r="271" customFormat="false" ht="15" hidden="false" customHeight="false" outlineLevel="0" collapsed="false">
      <c r="A271" s="26"/>
      <c r="B271" s="26"/>
      <c r="C271" s="26"/>
      <c r="D271" s="26"/>
      <c r="E271" s="26"/>
      <c r="F271" s="26"/>
      <c r="G271" s="26"/>
    </row>
    <row r="272" customFormat="false" ht="15" hidden="false" customHeight="false" outlineLevel="0" collapsed="false">
      <c r="A272" s="26"/>
      <c r="B272" s="26"/>
      <c r="C272" s="26"/>
      <c r="D272" s="26"/>
      <c r="E272" s="26"/>
      <c r="F272" s="26"/>
      <c r="G272" s="26"/>
    </row>
    <row r="273" customFormat="false" ht="15" hidden="false" customHeight="false" outlineLevel="0" collapsed="false">
      <c r="A273" s="26"/>
      <c r="B273" s="26"/>
      <c r="C273" s="26"/>
      <c r="D273" s="26"/>
      <c r="E273" s="26"/>
      <c r="F273" s="26"/>
      <c r="G273" s="26"/>
    </row>
    <row r="274" customFormat="false" ht="15" hidden="false" customHeight="false" outlineLevel="0" collapsed="false">
      <c r="A274" s="26"/>
      <c r="B274" s="26"/>
      <c r="C274" s="26"/>
      <c r="D274" s="26"/>
      <c r="E274" s="26"/>
      <c r="F274" s="26"/>
      <c r="G274" s="26"/>
    </row>
    <row r="275" customFormat="false" ht="15" hidden="false" customHeight="false" outlineLevel="0" collapsed="false">
      <c r="A275" s="26"/>
      <c r="B275" s="26"/>
      <c r="C275" s="26"/>
      <c r="D275" s="26"/>
      <c r="E275" s="26"/>
      <c r="F275" s="26"/>
      <c r="G275" s="26"/>
    </row>
    <row r="276" customFormat="false" ht="15" hidden="false" customHeight="false" outlineLevel="0" collapsed="false">
      <c r="A276" s="26"/>
      <c r="B276" s="26"/>
      <c r="C276" s="26"/>
      <c r="D276" s="26"/>
      <c r="E276" s="26"/>
      <c r="F276" s="26"/>
      <c r="G276" s="26"/>
    </row>
    <row r="277" customFormat="false" ht="15" hidden="false" customHeight="false" outlineLevel="0" collapsed="false">
      <c r="A277" s="26"/>
      <c r="B277" s="26"/>
      <c r="C277" s="26"/>
      <c r="D277" s="26"/>
      <c r="E277" s="26"/>
      <c r="F277" s="26"/>
      <c r="G277" s="26"/>
    </row>
    <row r="278" customFormat="false" ht="15" hidden="false" customHeight="false" outlineLevel="0" collapsed="false">
      <c r="A278" s="26"/>
      <c r="B278" s="26"/>
      <c r="C278" s="26"/>
      <c r="D278" s="26"/>
      <c r="E278" s="26"/>
      <c r="F278" s="26"/>
      <c r="G278" s="26"/>
    </row>
    <row r="279" customFormat="false" ht="15" hidden="false" customHeight="false" outlineLevel="0" collapsed="false">
      <c r="A279" s="26"/>
      <c r="B279" s="26"/>
      <c r="C279" s="26"/>
      <c r="D279" s="26"/>
      <c r="E279" s="26"/>
      <c r="F279" s="26"/>
      <c r="G279" s="26"/>
    </row>
    <row r="280" customFormat="false" ht="15" hidden="false" customHeight="false" outlineLevel="0" collapsed="false">
      <c r="A280" s="26"/>
      <c r="B280" s="26"/>
      <c r="C280" s="26"/>
      <c r="D280" s="26"/>
      <c r="E280" s="26"/>
      <c r="F280" s="26"/>
      <c r="G280" s="26"/>
    </row>
    <row r="281" customFormat="false" ht="15" hidden="false" customHeight="false" outlineLevel="0" collapsed="false">
      <c r="A281" s="26"/>
      <c r="B281" s="26"/>
      <c r="C281" s="26"/>
      <c r="D281" s="26"/>
      <c r="E281" s="26"/>
      <c r="F281" s="26"/>
      <c r="G281" s="26"/>
    </row>
    <row r="282" customFormat="false" ht="15" hidden="false" customHeight="false" outlineLevel="0" collapsed="false">
      <c r="A282" s="26"/>
      <c r="B282" s="26"/>
      <c r="C282" s="26"/>
      <c r="D282" s="26"/>
      <c r="E282" s="26"/>
      <c r="F282" s="26"/>
      <c r="G282" s="26"/>
    </row>
    <row r="283" customFormat="false" ht="15" hidden="false" customHeight="false" outlineLevel="0" collapsed="false">
      <c r="A283" s="26"/>
      <c r="B283" s="26"/>
      <c r="C283" s="26"/>
      <c r="D283" s="26"/>
      <c r="E283" s="26"/>
      <c r="F283" s="26"/>
      <c r="G283" s="26"/>
    </row>
    <row r="284" customFormat="false" ht="15" hidden="false" customHeight="false" outlineLevel="0" collapsed="false">
      <c r="A284" s="26"/>
      <c r="B284" s="26"/>
      <c r="C284" s="26"/>
      <c r="D284" s="26"/>
      <c r="E284" s="26"/>
      <c r="F284" s="26"/>
      <c r="G284" s="26"/>
    </row>
    <row r="285" customFormat="false" ht="15" hidden="false" customHeight="false" outlineLevel="0" collapsed="false">
      <c r="A285" s="26"/>
      <c r="B285" s="26"/>
      <c r="C285" s="26"/>
      <c r="D285" s="26"/>
      <c r="E285" s="26"/>
      <c r="F285" s="26"/>
      <c r="G285" s="26"/>
    </row>
    <row r="286" customFormat="false" ht="15" hidden="false" customHeight="false" outlineLevel="0" collapsed="false">
      <c r="A286" s="26"/>
      <c r="B286" s="26"/>
      <c r="C286" s="26"/>
      <c r="D286" s="26"/>
      <c r="E286" s="26"/>
      <c r="F286" s="26"/>
      <c r="G286" s="26"/>
    </row>
    <row r="287" customFormat="false" ht="15" hidden="false" customHeight="false" outlineLevel="0" collapsed="false">
      <c r="A287" s="26"/>
      <c r="B287" s="26"/>
      <c r="C287" s="26"/>
      <c r="D287" s="26"/>
      <c r="E287" s="26"/>
      <c r="F287" s="26"/>
      <c r="G287" s="26"/>
    </row>
    <row r="288" customFormat="false" ht="15" hidden="false" customHeight="false" outlineLevel="0" collapsed="false">
      <c r="A288" s="26"/>
      <c r="B288" s="26"/>
      <c r="C288" s="26"/>
      <c r="D288" s="26"/>
      <c r="E288" s="26"/>
      <c r="F288" s="26"/>
      <c r="G288" s="26"/>
    </row>
    <row r="289" customFormat="false" ht="15" hidden="false" customHeight="false" outlineLevel="0" collapsed="false">
      <c r="A289" s="26"/>
      <c r="B289" s="26"/>
      <c r="C289" s="26"/>
      <c r="D289" s="26"/>
      <c r="E289" s="26"/>
      <c r="F289" s="26"/>
      <c r="G289" s="26"/>
    </row>
    <row r="290" customFormat="false" ht="15" hidden="false" customHeight="false" outlineLevel="0" collapsed="false">
      <c r="A290" s="26"/>
      <c r="B290" s="26"/>
      <c r="C290" s="26"/>
      <c r="D290" s="26"/>
      <c r="E290" s="26"/>
      <c r="F290" s="26"/>
      <c r="G290" s="26"/>
    </row>
    <row r="291" customFormat="false" ht="15" hidden="false" customHeight="false" outlineLevel="0" collapsed="false">
      <c r="A291" s="26"/>
      <c r="B291" s="26"/>
      <c r="C291" s="26"/>
      <c r="D291" s="26"/>
      <c r="E291" s="26"/>
      <c r="F291" s="26"/>
      <c r="G291" s="26"/>
    </row>
    <row r="292" customFormat="false" ht="15" hidden="false" customHeight="false" outlineLevel="0" collapsed="false">
      <c r="A292" s="26"/>
      <c r="B292" s="26"/>
      <c r="C292" s="26"/>
      <c r="D292" s="26"/>
      <c r="E292" s="26"/>
      <c r="F292" s="26"/>
      <c r="G292" s="26"/>
    </row>
    <row r="293" customFormat="false" ht="15" hidden="false" customHeight="false" outlineLevel="0" collapsed="false">
      <c r="A293" s="26"/>
      <c r="B293" s="26"/>
      <c r="C293" s="26"/>
      <c r="D293" s="26"/>
      <c r="E293" s="26"/>
      <c r="F293" s="26"/>
      <c r="G293" s="26"/>
    </row>
    <row r="294" customFormat="false" ht="15" hidden="false" customHeight="false" outlineLevel="0" collapsed="false">
      <c r="A294" s="26"/>
      <c r="B294" s="26"/>
      <c r="C294" s="26"/>
      <c r="D294" s="26"/>
      <c r="E294" s="26"/>
      <c r="F294" s="26"/>
      <c r="G294" s="26"/>
    </row>
    <row r="295" customFormat="false" ht="15" hidden="false" customHeight="false" outlineLevel="0" collapsed="false">
      <c r="A295" s="26"/>
      <c r="B295" s="26"/>
      <c r="C295" s="26"/>
      <c r="D295" s="26"/>
      <c r="E295" s="26"/>
      <c r="F295" s="26"/>
      <c r="G295" s="26"/>
    </row>
    <row r="296" customFormat="false" ht="15" hidden="false" customHeight="false" outlineLevel="0" collapsed="false">
      <c r="A296" s="26"/>
      <c r="B296" s="26"/>
      <c r="C296" s="26"/>
      <c r="D296" s="26"/>
      <c r="E296" s="26"/>
      <c r="F296" s="26"/>
      <c r="G296" s="26"/>
    </row>
    <row r="297" customFormat="false" ht="15" hidden="false" customHeight="false" outlineLevel="0" collapsed="false">
      <c r="A297" s="26"/>
      <c r="B297" s="26"/>
      <c r="C297" s="26"/>
      <c r="D297" s="26"/>
      <c r="E297" s="26"/>
      <c r="F297" s="26"/>
      <c r="G297" s="26"/>
    </row>
    <row r="298" customFormat="false" ht="15" hidden="false" customHeight="false" outlineLevel="0" collapsed="false">
      <c r="A298" s="26"/>
      <c r="B298" s="26"/>
      <c r="C298" s="26"/>
      <c r="D298" s="26"/>
      <c r="E298" s="26"/>
      <c r="F298" s="26"/>
      <c r="G298" s="26"/>
    </row>
    <row r="299" customFormat="false" ht="15" hidden="false" customHeight="false" outlineLevel="0" collapsed="false">
      <c r="A299" s="26"/>
      <c r="B299" s="26"/>
      <c r="C299" s="26"/>
      <c r="D299" s="26"/>
      <c r="E299" s="26"/>
      <c r="F299" s="26"/>
      <c r="G299" s="26"/>
    </row>
    <row r="300" customFormat="false" ht="15" hidden="false" customHeight="false" outlineLevel="0" collapsed="false">
      <c r="A300" s="26"/>
      <c r="B300" s="26"/>
      <c r="C300" s="26"/>
      <c r="D300" s="26"/>
      <c r="E300" s="26"/>
      <c r="F300" s="26"/>
      <c r="G300" s="26"/>
    </row>
    <row r="301" customFormat="false" ht="15" hidden="false" customHeight="false" outlineLevel="0" collapsed="false">
      <c r="A301" s="26"/>
      <c r="B301" s="26"/>
      <c r="C301" s="26"/>
      <c r="D301" s="26"/>
      <c r="E301" s="26"/>
      <c r="F301" s="26"/>
      <c r="G301" s="26"/>
    </row>
    <row r="302" customFormat="false" ht="15" hidden="false" customHeight="false" outlineLevel="0" collapsed="false">
      <c r="A302" s="26"/>
      <c r="B302" s="26"/>
      <c r="C302" s="26"/>
      <c r="D302" s="26"/>
      <c r="E302" s="26"/>
      <c r="F302" s="26"/>
      <c r="G302" s="26"/>
    </row>
    <row r="303" customFormat="false" ht="15" hidden="false" customHeight="false" outlineLevel="0" collapsed="false">
      <c r="A303" s="26"/>
      <c r="B303" s="26"/>
      <c r="C303" s="26"/>
      <c r="D303" s="26"/>
      <c r="E303" s="26"/>
      <c r="F303" s="26"/>
      <c r="G303" s="26"/>
    </row>
    <row r="304" customFormat="false" ht="15" hidden="false" customHeight="false" outlineLevel="0" collapsed="false">
      <c r="A304" s="26"/>
      <c r="B304" s="26"/>
      <c r="C304" s="26"/>
      <c r="D304" s="26"/>
      <c r="E304" s="26"/>
      <c r="F304" s="26"/>
      <c r="G304" s="26"/>
    </row>
    <row r="305" customFormat="false" ht="15" hidden="false" customHeight="false" outlineLevel="0" collapsed="false">
      <c r="A305" s="26"/>
      <c r="B305" s="26"/>
      <c r="C305" s="26"/>
      <c r="D305" s="26"/>
      <c r="E305" s="26"/>
      <c r="F305" s="26"/>
      <c r="G305" s="26"/>
    </row>
    <row r="306" customFormat="false" ht="15" hidden="false" customHeight="false" outlineLevel="0" collapsed="false">
      <c r="A306" s="26"/>
      <c r="B306" s="26"/>
      <c r="C306" s="26"/>
      <c r="D306" s="26"/>
      <c r="E306" s="26"/>
      <c r="F306" s="26"/>
      <c r="G306" s="26"/>
    </row>
    <row r="307" customFormat="false" ht="15" hidden="false" customHeight="false" outlineLevel="0" collapsed="false">
      <c r="A307" s="26"/>
      <c r="B307" s="26"/>
      <c r="C307" s="26"/>
      <c r="D307" s="26"/>
      <c r="E307" s="26"/>
      <c r="F307" s="26"/>
      <c r="G307" s="26"/>
    </row>
    <row r="308" customFormat="false" ht="15" hidden="false" customHeight="false" outlineLevel="0" collapsed="false">
      <c r="A308" s="26"/>
      <c r="B308" s="26"/>
      <c r="C308" s="26"/>
      <c r="D308" s="26"/>
      <c r="E308" s="26"/>
      <c r="F308" s="26"/>
      <c r="G308" s="26"/>
    </row>
    <row r="309" customFormat="false" ht="15" hidden="false" customHeight="false" outlineLevel="0" collapsed="false">
      <c r="A309" s="26"/>
      <c r="B309" s="26"/>
      <c r="C309" s="26"/>
      <c r="D309" s="26"/>
      <c r="E309" s="26"/>
      <c r="F309" s="26"/>
      <c r="G309" s="26"/>
    </row>
    <row r="310" customFormat="false" ht="15" hidden="false" customHeight="false" outlineLevel="0" collapsed="false">
      <c r="A310" s="26"/>
      <c r="B310" s="26"/>
      <c r="C310" s="26"/>
      <c r="D310" s="26"/>
      <c r="E310" s="26"/>
      <c r="F310" s="26"/>
      <c r="G310" s="26"/>
    </row>
    <row r="311" customFormat="false" ht="15" hidden="false" customHeight="false" outlineLevel="0" collapsed="false">
      <c r="A311" s="26"/>
      <c r="B311" s="26"/>
      <c r="C311" s="26"/>
      <c r="D311" s="26"/>
      <c r="E311" s="26"/>
      <c r="F311" s="26"/>
      <c r="G311" s="26"/>
    </row>
    <row r="312" customFormat="false" ht="15" hidden="false" customHeight="false" outlineLevel="0" collapsed="false">
      <c r="A312" s="26"/>
      <c r="B312" s="26"/>
      <c r="C312" s="26"/>
      <c r="D312" s="26"/>
      <c r="E312" s="26"/>
      <c r="F312" s="26"/>
      <c r="G312" s="26"/>
    </row>
    <row r="313" customFormat="false" ht="15" hidden="false" customHeight="false" outlineLevel="0" collapsed="false">
      <c r="A313" s="26"/>
      <c r="B313" s="26"/>
      <c r="C313" s="26"/>
      <c r="D313" s="26"/>
      <c r="E313" s="26"/>
      <c r="F313" s="26"/>
      <c r="G313" s="26"/>
    </row>
    <row r="314" customFormat="false" ht="15" hidden="false" customHeight="false" outlineLevel="0" collapsed="false">
      <c r="A314" s="26"/>
      <c r="B314" s="26"/>
      <c r="C314" s="26"/>
      <c r="D314" s="26"/>
      <c r="E314" s="26"/>
      <c r="F314" s="26"/>
      <c r="G314" s="26"/>
    </row>
    <row r="315" customFormat="false" ht="15" hidden="false" customHeight="false" outlineLevel="0" collapsed="false">
      <c r="A315" s="26"/>
      <c r="B315" s="26"/>
      <c r="C315" s="26"/>
      <c r="D315" s="26"/>
      <c r="E315" s="26"/>
      <c r="F315" s="26"/>
      <c r="G315" s="26"/>
    </row>
    <row r="316" customFormat="false" ht="15" hidden="false" customHeight="false" outlineLevel="0" collapsed="false">
      <c r="A316" s="26"/>
      <c r="B316" s="26"/>
      <c r="C316" s="26"/>
      <c r="D316" s="26"/>
      <c r="E316" s="26"/>
      <c r="F316" s="26"/>
      <c r="G316" s="26"/>
    </row>
    <row r="317" customFormat="false" ht="15" hidden="false" customHeight="false" outlineLevel="0" collapsed="false">
      <c r="A317" s="26"/>
      <c r="B317" s="26"/>
      <c r="C317" s="26"/>
      <c r="D317" s="26"/>
      <c r="E317" s="26"/>
      <c r="F317" s="26"/>
      <c r="G317" s="26"/>
    </row>
    <row r="318" customFormat="false" ht="15" hidden="false" customHeight="false" outlineLevel="0" collapsed="false">
      <c r="A318" s="26"/>
      <c r="B318" s="26"/>
      <c r="C318" s="26"/>
      <c r="D318" s="26"/>
      <c r="E318" s="26"/>
      <c r="F318" s="26"/>
      <c r="G318" s="26"/>
    </row>
    <row r="319" customFormat="false" ht="15" hidden="false" customHeight="false" outlineLevel="0" collapsed="false">
      <c r="A319" s="26"/>
      <c r="B319" s="26"/>
      <c r="C319" s="26"/>
      <c r="D319" s="26"/>
      <c r="E319" s="26"/>
      <c r="F319" s="26"/>
      <c r="G319" s="26"/>
    </row>
    <row r="320" customFormat="false" ht="15" hidden="false" customHeight="false" outlineLevel="0" collapsed="false">
      <c r="A320" s="26"/>
      <c r="B320" s="26"/>
      <c r="C320" s="26"/>
      <c r="D320" s="26"/>
      <c r="E320" s="26"/>
      <c r="F320" s="26"/>
      <c r="G320" s="26"/>
    </row>
    <row r="321" customFormat="false" ht="15" hidden="false" customHeight="false" outlineLevel="0" collapsed="false">
      <c r="A321" s="26"/>
      <c r="B321" s="26"/>
      <c r="C321" s="26"/>
      <c r="D321" s="26"/>
      <c r="E321" s="26"/>
      <c r="F321" s="26"/>
      <c r="G321" s="26"/>
    </row>
    <row r="322" customFormat="false" ht="15" hidden="false" customHeight="false" outlineLevel="0" collapsed="false">
      <c r="A322" s="26"/>
      <c r="B322" s="26"/>
      <c r="C322" s="26"/>
      <c r="D322" s="26"/>
      <c r="E322" s="26"/>
      <c r="F322" s="26"/>
      <c r="G322" s="26"/>
    </row>
    <row r="323" customFormat="false" ht="15" hidden="false" customHeight="false" outlineLevel="0" collapsed="false">
      <c r="A323" s="26"/>
      <c r="B323" s="26"/>
      <c r="C323" s="26"/>
      <c r="D323" s="26"/>
      <c r="E323" s="26"/>
      <c r="F323" s="26"/>
      <c r="G323" s="26"/>
    </row>
    <row r="324" customFormat="false" ht="15" hidden="false" customHeight="false" outlineLevel="0" collapsed="false">
      <c r="A324" s="26"/>
      <c r="B324" s="26"/>
      <c r="C324" s="26"/>
      <c r="D324" s="26"/>
      <c r="E324" s="26"/>
      <c r="F324" s="26"/>
      <c r="G324" s="26"/>
    </row>
    <row r="325" customFormat="false" ht="15" hidden="false" customHeight="false" outlineLevel="0" collapsed="false">
      <c r="A325" s="26"/>
      <c r="B325" s="26"/>
      <c r="C325" s="26"/>
      <c r="D325" s="26"/>
      <c r="E325" s="26"/>
      <c r="F325" s="26"/>
      <c r="G325" s="26"/>
    </row>
    <row r="326" customFormat="false" ht="15" hidden="false" customHeight="false" outlineLevel="0" collapsed="false">
      <c r="A326" s="26"/>
      <c r="B326" s="26"/>
      <c r="C326" s="26"/>
      <c r="D326" s="26"/>
      <c r="E326" s="26"/>
      <c r="F326" s="26"/>
      <c r="G326" s="26"/>
    </row>
    <row r="327" customFormat="false" ht="15" hidden="false" customHeight="false" outlineLevel="0" collapsed="false">
      <c r="A327" s="26"/>
      <c r="B327" s="26"/>
      <c r="C327" s="26"/>
      <c r="D327" s="26"/>
      <c r="E327" s="26"/>
      <c r="F327" s="26"/>
      <c r="G327" s="26"/>
    </row>
    <row r="328" customFormat="false" ht="15" hidden="false" customHeight="false" outlineLevel="0" collapsed="false">
      <c r="A328" s="26"/>
      <c r="B328" s="26"/>
      <c r="C328" s="26"/>
      <c r="D328" s="26"/>
      <c r="E328" s="26"/>
      <c r="F328" s="26"/>
      <c r="G328" s="26"/>
    </row>
    <row r="329" customFormat="false" ht="15" hidden="false" customHeight="false" outlineLevel="0" collapsed="false">
      <c r="A329" s="26"/>
      <c r="B329" s="26"/>
      <c r="C329" s="26"/>
      <c r="D329" s="26"/>
      <c r="E329" s="26"/>
      <c r="F329" s="26"/>
      <c r="G329" s="26"/>
    </row>
    <row r="330" customFormat="false" ht="15" hidden="false" customHeight="false" outlineLevel="0" collapsed="false">
      <c r="A330" s="26"/>
      <c r="B330" s="26"/>
      <c r="C330" s="26"/>
      <c r="D330" s="26"/>
      <c r="E330" s="26"/>
      <c r="F330" s="26"/>
      <c r="G330" s="26"/>
    </row>
    <row r="331" customFormat="false" ht="15" hidden="false" customHeight="false" outlineLevel="0" collapsed="false">
      <c r="A331" s="26"/>
      <c r="B331" s="26"/>
      <c r="C331" s="26"/>
      <c r="D331" s="26"/>
      <c r="E331" s="26"/>
      <c r="F331" s="26"/>
      <c r="G331" s="26"/>
    </row>
    <row r="332" customFormat="false" ht="15" hidden="false" customHeight="false" outlineLevel="0" collapsed="false">
      <c r="A332" s="26"/>
      <c r="B332" s="26"/>
      <c r="C332" s="26"/>
      <c r="D332" s="26"/>
      <c r="E332" s="26"/>
      <c r="F332" s="26"/>
      <c r="G332" s="26"/>
    </row>
    <row r="333" customFormat="false" ht="15" hidden="false" customHeight="false" outlineLevel="0" collapsed="false">
      <c r="A333" s="26"/>
      <c r="B333" s="26"/>
      <c r="C333" s="26"/>
      <c r="D333" s="26"/>
      <c r="E333" s="26"/>
      <c r="F333" s="26"/>
      <c r="G333" s="26"/>
    </row>
    <row r="334" customFormat="false" ht="15" hidden="false" customHeight="false" outlineLevel="0" collapsed="false">
      <c r="A334" s="26"/>
      <c r="B334" s="26"/>
      <c r="C334" s="26"/>
      <c r="D334" s="26"/>
      <c r="E334" s="26"/>
      <c r="F334" s="26"/>
      <c r="G334" s="26"/>
    </row>
    <row r="335" customFormat="false" ht="15" hidden="false" customHeight="false" outlineLevel="0" collapsed="false">
      <c r="A335" s="26"/>
      <c r="B335" s="26"/>
      <c r="C335" s="26"/>
      <c r="D335" s="26"/>
      <c r="E335" s="26"/>
      <c r="F335" s="26"/>
      <c r="G335" s="26"/>
    </row>
    <row r="336" customFormat="false" ht="15" hidden="false" customHeight="false" outlineLevel="0" collapsed="false">
      <c r="A336" s="26"/>
      <c r="B336" s="26"/>
      <c r="C336" s="26"/>
      <c r="D336" s="26"/>
      <c r="E336" s="26"/>
      <c r="F336" s="26"/>
      <c r="G336" s="26"/>
    </row>
    <row r="337" customFormat="false" ht="15" hidden="false" customHeight="false" outlineLevel="0" collapsed="false">
      <c r="A337" s="26"/>
      <c r="B337" s="26"/>
      <c r="C337" s="26"/>
      <c r="D337" s="26"/>
      <c r="E337" s="26"/>
      <c r="F337" s="26"/>
      <c r="G337" s="26"/>
    </row>
    <row r="338" customFormat="false" ht="15" hidden="false" customHeight="false" outlineLevel="0" collapsed="false">
      <c r="A338" s="26"/>
      <c r="B338" s="26"/>
      <c r="C338" s="26"/>
      <c r="D338" s="26"/>
      <c r="E338" s="26"/>
      <c r="F338" s="26"/>
      <c r="G338" s="26"/>
    </row>
    <row r="339" customFormat="false" ht="15" hidden="false" customHeight="false" outlineLevel="0" collapsed="false">
      <c r="A339" s="26"/>
      <c r="B339" s="26"/>
      <c r="C339" s="26"/>
      <c r="D339" s="26"/>
      <c r="E339" s="26"/>
      <c r="F339" s="26"/>
      <c r="G339" s="26"/>
    </row>
    <row r="340" customFormat="false" ht="15" hidden="false" customHeight="false" outlineLevel="0" collapsed="false">
      <c r="A340" s="26"/>
      <c r="B340" s="26"/>
      <c r="C340" s="26"/>
      <c r="D340" s="26"/>
      <c r="E340" s="26"/>
      <c r="F340" s="26"/>
      <c r="G340" s="26"/>
    </row>
    <row r="341" customFormat="false" ht="15" hidden="false" customHeight="false" outlineLevel="0" collapsed="false">
      <c r="A341" s="26"/>
      <c r="B341" s="26"/>
      <c r="C341" s="26"/>
      <c r="D341" s="26"/>
      <c r="E341" s="26"/>
      <c r="F341" s="26"/>
      <c r="G341" s="26"/>
    </row>
    <row r="342" customFormat="false" ht="15" hidden="false" customHeight="false" outlineLevel="0" collapsed="false">
      <c r="A342" s="26"/>
      <c r="B342" s="26"/>
      <c r="C342" s="26"/>
      <c r="D342" s="26"/>
      <c r="E342" s="26"/>
      <c r="F342" s="26"/>
      <c r="G342" s="26"/>
    </row>
    <row r="343" customFormat="false" ht="15" hidden="false" customHeight="false" outlineLevel="0" collapsed="false">
      <c r="A343" s="26"/>
      <c r="B343" s="26"/>
      <c r="C343" s="26"/>
      <c r="D343" s="26"/>
      <c r="E343" s="26"/>
      <c r="F343" s="26"/>
      <c r="G343" s="26"/>
    </row>
    <row r="344" customFormat="false" ht="15" hidden="false" customHeight="false" outlineLevel="0" collapsed="false">
      <c r="A344" s="26"/>
      <c r="B344" s="26"/>
      <c r="C344" s="26"/>
      <c r="D344" s="26"/>
      <c r="E344" s="26"/>
      <c r="F344" s="26"/>
      <c r="G344" s="26"/>
    </row>
    <row r="345" customFormat="false" ht="15" hidden="false" customHeight="false" outlineLevel="0" collapsed="false">
      <c r="A345" s="26"/>
      <c r="B345" s="26"/>
      <c r="C345" s="26"/>
      <c r="D345" s="26"/>
      <c r="E345" s="26"/>
      <c r="F345" s="26"/>
      <c r="G345" s="26"/>
    </row>
    <row r="346" customFormat="false" ht="15" hidden="false" customHeight="false" outlineLevel="0" collapsed="false">
      <c r="A346" s="26"/>
      <c r="B346" s="26"/>
      <c r="C346" s="26"/>
      <c r="D346" s="26"/>
      <c r="E346" s="26"/>
      <c r="F346" s="26"/>
      <c r="G346" s="26"/>
    </row>
    <row r="347" customFormat="false" ht="15" hidden="false" customHeight="false" outlineLevel="0" collapsed="false">
      <c r="A347" s="26"/>
      <c r="B347" s="26"/>
      <c r="C347" s="26"/>
      <c r="D347" s="26"/>
      <c r="E347" s="26"/>
      <c r="F347" s="26"/>
      <c r="G347" s="26"/>
    </row>
    <row r="348" customFormat="false" ht="15" hidden="false" customHeight="false" outlineLevel="0" collapsed="false">
      <c r="A348" s="26"/>
      <c r="B348" s="26"/>
      <c r="C348" s="26"/>
      <c r="D348" s="26"/>
      <c r="E348" s="26"/>
      <c r="F348" s="26"/>
      <c r="G348" s="26"/>
    </row>
    <row r="349" customFormat="false" ht="15" hidden="false" customHeight="false" outlineLevel="0" collapsed="false">
      <c r="A349" s="26"/>
      <c r="B349" s="26"/>
      <c r="C349" s="26"/>
      <c r="D349" s="26"/>
      <c r="E349" s="26"/>
      <c r="F349" s="26"/>
      <c r="G349" s="26"/>
    </row>
    <row r="350" customFormat="false" ht="15" hidden="false" customHeight="false" outlineLevel="0" collapsed="false">
      <c r="A350" s="26"/>
      <c r="B350" s="26"/>
      <c r="C350" s="26"/>
      <c r="D350" s="26"/>
      <c r="E350" s="26"/>
      <c r="F350" s="26"/>
      <c r="G350" s="26"/>
    </row>
    <row r="351" customFormat="false" ht="15" hidden="false" customHeight="false" outlineLevel="0" collapsed="false">
      <c r="A351" s="26"/>
      <c r="B351" s="26"/>
      <c r="C351" s="26"/>
      <c r="D351" s="26"/>
      <c r="E351" s="26"/>
      <c r="F351" s="26"/>
      <c r="G351" s="26"/>
    </row>
    <row r="352" customFormat="false" ht="15" hidden="false" customHeight="false" outlineLevel="0" collapsed="false">
      <c r="A352" s="26"/>
      <c r="B352" s="26"/>
      <c r="C352" s="26"/>
      <c r="D352" s="26"/>
      <c r="E352" s="26"/>
      <c r="F352" s="26"/>
      <c r="G352" s="26"/>
    </row>
    <row r="353" customFormat="false" ht="15" hidden="false" customHeight="false" outlineLevel="0" collapsed="false">
      <c r="A353" s="26"/>
      <c r="B353" s="26"/>
      <c r="C353" s="26"/>
      <c r="D353" s="26"/>
      <c r="E353" s="26"/>
      <c r="F353" s="26"/>
      <c r="G353" s="26"/>
    </row>
    <row r="354" customFormat="false" ht="15" hidden="false" customHeight="false" outlineLevel="0" collapsed="false">
      <c r="A354" s="26"/>
      <c r="B354" s="26"/>
      <c r="C354" s="26"/>
      <c r="D354" s="26"/>
      <c r="E354" s="26"/>
      <c r="F354" s="26"/>
      <c r="G354" s="26"/>
    </row>
    <row r="355" customFormat="false" ht="15" hidden="false" customHeight="false" outlineLevel="0" collapsed="false">
      <c r="A355" s="26"/>
      <c r="B355" s="26"/>
      <c r="C355" s="26"/>
      <c r="D355" s="26"/>
      <c r="E355" s="26"/>
      <c r="F355" s="26"/>
      <c r="G355" s="26"/>
    </row>
    <row r="356" customFormat="false" ht="15" hidden="false" customHeight="false" outlineLevel="0" collapsed="false">
      <c r="A356" s="26"/>
      <c r="B356" s="26"/>
      <c r="C356" s="26"/>
      <c r="D356" s="26"/>
      <c r="E356" s="26"/>
      <c r="F356" s="26"/>
      <c r="G356" s="26"/>
    </row>
    <row r="357" customFormat="false" ht="15" hidden="false" customHeight="false" outlineLevel="0" collapsed="false">
      <c r="A357" s="26"/>
      <c r="B357" s="26"/>
      <c r="C357" s="26"/>
      <c r="D357" s="26"/>
      <c r="E357" s="26"/>
      <c r="F357" s="26"/>
      <c r="G357" s="26"/>
    </row>
    <row r="358" customFormat="false" ht="15" hidden="false" customHeight="false" outlineLevel="0" collapsed="false">
      <c r="A358" s="26"/>
      <c r="B358" s="26"/>
      <c r="C358" s="26"/>
      <c r="D358" s="26"/>
      <c r="E358" s="26"/>
      <c r="F358" s="26"/>
      <c r="G358" s="26"/>
    </row>
    <row r="359" customFormat="false" ht="15" hidden="false" customHeight="false" outlineLevel="0" collapsed="false">
      <c r="A359" s="26"/>
      <c r="B359" s="26"/>
      <c r="C359" s="26"/>
      <c r="D359" s="26"/>
      <c r="E359" s="26"/>
      <c r="F359" s="26"/>
      <c r="G359" s="26"/>
    </row>
    <row r="360" customFormat="false" ht="15" hidden="false" customHeight="false" outlineLevel="0" collapsed="false">
      <c r="A360" s="26"/>
      <c r="B360" s="26"/>
      <c r="C360" s="26"/>
      <c r="D360" s="26"/>
      <c r="E360" s="26"/>
      <c r="F360" s="26"/>
      <c r="G360" s="26"/>
    </row>
    <row r="361" customFormat="false" ht="15" hidden="false" customHeight="false" outlineLevel="0" collapsed="false">
      <c r="A361" s="26"/>
      <c r="B361" s="26"/>
      <c r="C361" s="26"/>
      <c r="D361" s="26"/>
      <c r="E361" s="26"/>
      <c r="F361" s="26"/>
      <c r="G361" s="26"/>
    </row>
    <row r="362" customFormat="false" ht="15" hidden="false" customHeight="false" outlineLevel="0" collapsed="false">
      <c r="A362" s="26"/>
      <c r="B362" s="26"/>
      <c r="C362" s="26"/>
      <c r="D362" s="26"/>
      <c r="E362" s="26"/>
      <c r="F362" s="26"/>
      <c r="G362" s="26"/>
    </row>
    <row r="363" customFormat="false" ht="15" hidden="false" customHeight="false" outlineLevel="0" collapsed="false">
      <c r="A363" s="26"/>
      <c r="B363" s="26"/>
      <c r="C363" s="26"/>
      <c r="D363" s="26"/>
      <c r="E363" s="26"/>
      <c r="F363" s="26"/>
      <c r="G363" s="26"/>
    </row>
    <row r="364" customFormat="false" ht="15" hidden="false" customHeight="false" outlineLevel="0" collapsed="false">
      <c r="A364" s="26"/>
      <c r="B364" s="26"/>
      <c r="C364" s="26"/>
      <c r="D364" s="26"/>
      <c r="E364" s="26"/>
      <c r="F364" s="26"/>
      <c r="G364" s="26"/>
    </row>
    <row r="365" customFormat="false" ht="15" hidden="false" customHeight="false" outlineLevel="0" collapsed="false">
      <c r="A365" s="26"/>
      <c r="B365" s="26"/>
      <c r="C365" s="26"/>
      <c r="D365" s="26"/>
      <c r="E365" s="26"/>
      <c r="F365" s="26"/>
      <c r="G365" s="26"/>
    </row>
    <row r="366" customFormat="false" ht="15" hidden="false" customHeight="false" outlineLevel="0" collapsed="false">
      <c r="A366" s="26"/>
      <c r="B366" s="26"/>
      <c r="C366" s="26"/>
      <c r="D366" s="26"/>
      <c r="E366" s="26"/>
      <c r="F366" s="26"/>
      <c r="G366" s="26"/>
    </row>
    <row r="367" customFormat="false" ht="15" hidden="false" customHeight="false" outlineLevel="0" collapsed="false">
      <c r="A367" s="26"/>
      <c r="B367" s="26"/>
      <c r="C367" s="26"/>
      <c r="D367" s="26"/>
      <c r="E367" s="26"/>
      <c r="F367" s="26"/>
      <c r="G367" s="26"/>
    </row>
    <row r="368" customFormat="false" ht="15" hidden="false" customHeight="false" outlineLevel="0" collapsed="false">
      <c r="A368" s="26"/>
      <c r="B368" s="26"/>
      <c r="C368" s="26"/>
      <c r="D368" s="26"/>
      <c r="E368" s="26"/>
      <c r="F368" s="26"/>
      <c r="G368" s="26"/>
    </row>
    <row r="369" customFormat="false" ht="15" hidden="false" customHeight="false" outlineLevel="0" collapsed="false">
      <c r="A369" s="26"/>
      <c r="B369" s="26"/>
      <c r="C369" s="26"/>
      <c r="D369" s="26"/>
      <c r="E369" s="26"/>
      <c r="F369" s="26"/>
      <c r="G369" s="26"/>
    </row>
    <row r="370" customFormat="false" ht="15" hidden="false" customHeight="false" outlineLevel="0" collapsed="false">
      <c r="A370" s="26"/>
      <c r="B370" s="26"/>
      <c r="C370" s="26"/>
      <c r="D370" s="26"/>
      <c r="E370" s="26"/>
      <c r="F370" s="26"/>
      <c r="G370" s="26"/>
    </row>
    <row r="371" customFormat="false" ht="15" hidden="false" customHeight="false" outlineLevel="0" collapsed="false">
      <c r="A371" s="26"/>
      <c r="B371" s="26"/>
      <c r="C371" s="26"/>
      <c r="D371" s="26"/>
      <c r="E371" s="26"/>
      <c r="F371" s="26"/>
      <c r="G371" s="26"/>
    </row>
    <row r="372" customFormat="false" ht="15" hidden="false" customHeight="false" outlineLevel="0" collapsed="false">
      <c r="A372" s="26"/>
      <c r="B372" s="26"/>
      <c r="C372" s="26"/>
      <c r="D372" s="26"/>
      <c r="E372" s="26"/>
      <c r="F372" s="26"/>
      <c r="G372" s="26"/>
    </row>
    <row r="373" customFormat="false" ht="15" hidden="false" customHeight="false" outlineLevel="0" collapsed="false">
      <c r="A373" s="26"/>
      <c r="B373" s="26"/>
      <c r="C373" s="26"/>
      <c r="D373" s="26"/>
      <c r="E373" s="26"/>
      <c r="F373" s="26"/>
      <c r="G373" s="26"/>
    </row>
    <row r="374" customFormat="false" ht="15" hidden="false" customHeight="false" outlineLevel="0" collapsed="false">
      <c r="A374" s="26"/>
      <c r="B374" s="26"/>
      <c r="C374" s="26"/>
      <c r="D374" s="26"/>
      <c r="E374" s="26"/>
      <c r="F374" s="26"/>
      <c r="G374" s="26"/>
    </row>
    <row r="375" customFormat="false" ht="15" hidden="false" customHeight="false" outlineLevel="0" collapsed="false">
      <c r="A375" s="26"/>
      <c r="B375" s="26"/>
      <c r="C375" s="26"/>
      <c r="D375" s="26"/>
      <c r="E375" s="26"/>
      <c r="F375" s="26"/>
      <c r="G375" s="26"/>
    </row>
    <row r="376" customFormat="false" ht="15" hidden="false" customHeight="false" outlineLevel="0" collapsed="false">
      <c r="A376" s="26"/>
      <c r="B376" s="26"/>
      <c r="C376" s="26"/>
      <c r="D376" s="26"/>
      <c r="E376" s="26"/>
      <c r="F376" s="26"/>
      <c r="G376" s="26"/>
    </row>
    <row r="377" customFormat="false" ht="15" hidden="false" customHeight="false" outlineLevel="0" collapsed="false">
      <c r="A377" s="26"/>
      <c r="B377" s="26"/>
      <c r="C377" s="26"/>
      <c r="D377" s="26"/>
      <c r="E377" s="26"/>
      <c r="F377" s="26"/>
      <c r="G377" s="26"/>
    </row>
    <row r="378" customFormat="false" ht="15" hidden="false" customHeight="false" outlineLevel="0" collapsed="false">
      <c r="A378" s="26"/>
      <c r="B378" s="26"/>
      <c r="C378" s="26"/>
      <c r="D378" s="26"/>
      <c r="E378" s="26"/>
      <c r="F378" s="26"/>
      <c r="G378" s="26"/>
    </row>
    <row r="379" customFormat="false" ht="15" hidden="false" customHeight="false" outlineLevel="0" collapsed="false">
      <c r="A379" s="26"/>
      <c r="B379" s="26"/>
      <c r="C379" s="26"/>
      <c r="D379" s="26"/>
      <c r="E379" s="26"/>
      <c r="F379" s="26"/>
      <c r="G379" s="26"/>
    </row>
    <row r="380" customFormat="false" ht="15" hidden="false" customHeight="false" outlineLevel="0" collapsed="false">
      <c r="A380" s="26"/>
      <c r="B380" s="26"/>
      <c r="C380" s="26"/>
      <c r="D380" s="26"/>
      <c r="E380" s="26"/>
      <c r="F380" s="26"/>
      <c r="G380" s="26"/>
    </row>
    <row r="381" customFormat="false" ht="15" hidden="false" customHeight="false" outlineLevel="0" collapsed="false">
      <c r="A381" s="26"/>
      <c r="B381" s="26"/>
      <c r="C381" s="26"/>
      <c r="D381" s="26"/>
      <c r="E381" s="26"/>
      <c r="F381" s="26"/>
      <c r="G381" s="26"/>
    </row>
    <row r="382" customFormat="false" ht="15" hidden="false" customHeight="false" outlineLevel="0" collapsed="false">
      <c r="A382" s="26"/>
      <c r="B382" s="26"/>
      <c r="C382" s="26"/>
      <c r="D382" s="26"/>
      <c r="E382" s="26"/>
      <c r="F382" s="26"/>
      <c r="G382" s="26"/>
    </row>
    <row r="383" customFormat="false" ht="15" hidden="false" customHeight="false" outlineLevel="0" collapsed="false">
      <c r="A383" s="26"/>
      <c r="B383" s="26"/>
      <c r="C383" s="26"/>
      <c r="D383" s="26"/>
      <c r="E383" s="26"/>
      <c r="F383" s="26"/>
      <c r="G383" s="26"/>
    </row>
    <row r="384" customFormat="false" ht="15" hidden="false" customHeight="false" outlineLevel="0" collapsed="false">
      <c r="A384" s="26"/>
      <c r="B384" s="26"/>
      <c r="C384" s="26"/>
      <c r="D384" s="26"/>
      <c r="E384" s="26"/>
      <c r="F384" s="26"/>
      <c r="G384" s="26"/>
    </row>
    <row r="385" customFormat="false" ht="15" hidden="false" customHeight="false" outlineLevel="0" collapsed="false">
      <c r="A385" s="26"/>
      <c r="B385" s="26"/>
      <c r="C385" s="26"/>
      <c r="D385" s="26"/>
      <c r="E385" s="26"/>
      <c r="F385" s="26"/>
      <c r="G385" s="26"/>
    </row>
    <row r="386" customFormat="false" ht="15" hidden="false" customHeight="false" outlineLevel="0" collapsed="false">
      <c r="A386" s="26"/>
      <c r="B386" s="26"/>
      <c r="C386" s="26"/>
      <c r="D386" s="26"/>
      <c r="E386" s="26"/>
      <c r="F386" s="26"/>
      <c r="G386" s="26"/>
    </row>
    <row r="387" customFormat="false" ht="15" hidden="false" customHeight="false" outlineLevel="0" collapsed="false">
      <c r="A387" s="26"/>
      <c r="B387" s="26"/>
      <c r="C387" s="26"/>
      <c r="D387" s="26"/>
      <c r="E387" s="26"/>
      <c r="F387" s="26"/>
      <c r="G387" s="26"/>
    </row>
    <row r="388" customFormat="false" ht="15" hidden="false" customHeight="false" outlineLevel="0" collapsed="false">
      <c r="A388" s="26"/>
      <c r="B388" s="26"/>
      <c r="C388" s="26"/>
      <c r="D388" s="26"/>
      <c r="E388" s="26"/>
      <c r="F388" s="26"/>
      <c r="G388" s="26"/>
    </row>
    <row r="389" customFormat="false" ht="15" hidden="false" customHeight="false" outlineLevel="0" collapsed="false">
      <c r="A389" s="26"/>
      <c r="B389" s="26"/>
      <c r="C389" s="26"/>
      <c r="D389" s="26"/>
      <c r="E389" s="26"/>
      <c r="F389" s="26"/>
      <c r="G389" s="26"/>
    </row>
    <row r="390" customFormat="false" ht="15" hidden="false" customHeight="false" outlineLevel="0" collapsed="false">
      <c r="A390" s="26"/>
      <c r="B390" s="26"/>
      <c r="C390" s="26"/>
      <c r="D390" s="26"/>
      <c r="E390" s="26"/>
      <c r="F390" s="26"/>
      <c r="G390" s="26"/>
    </row>
    <row r="391" customFormat="false" ht="15" hidden="false" customHeight="false" outlineLevel="0" collapsed="false">
      <c r="A391" s="26"/>
      <c r="B391" s="26"/>
      <c r="C391" s="26"/>
      <c r="D391" s="26"/>
      <c r="E391" s="26"/>
      <c r="F391" s="26"/>
      <c r="G391" s="26"/>
    </row>
    <row r="392" customFormat="false" ht="15" hidden="false" customHeight="false" outlineLevel="0" collapsed="false">
      <c r="A392" s="26"/>
      <c r="B392" s="26"/>
      <c r="C392" s="26"/>
      <c r="D392" s="26"/>
      <c r="E392" s="26"/>
      <c r="F392" s="26"/>
      <c r="G392" s="26"/>
    </row>
    <row r="393" customFormat="false" ht="15" hidden="false" customHeight="false" outlineLevel="0" collapsed="false">
      <c r="A393" s="26"/>
      <c r="B393" s="26"/>
      <c r="C393" s="26"/>
      <c r="D393" s="26"/>
      <c r="E393" s="26"/>
      <c r="F393" s="26"/>
      <c r="G393" s="26"/>
    </row>
    <row r="394" customFormat="false" ht="15" hidden="false" customHeight="false" outlineLevel="0" collapsed="false">
      <c r="A394" s="26"/>
      <c r="B394" s="26"/>
      <c r="C394" s="26"/>
      <c r="D394" s="26"/>
      <c r="E394" s="26"/>
      <c r="F394" s="26"/>
      <c r="G394" s="26"/>
    </row>
    <row r="395" customFormat="false" ht="15" hidden="false" customHeight="false" outlineLevel="0" collapsed="false">
      <c r="A395" s="26"/>
      <c r="B395" s="26"/>
      <c r="C395" s="26"/>
      <c r="D395" s="26"/>
      <c r="E395" s="26"/>
      <c r="F395" s="26"/>
      <c r="G395" s="26"/>
    </row>
    <row r="396" customFormat="false" ht="15" hidden="false" customHeight="false" outlineLevel="0" collapsed="false">
      <c r="A396" s="26"/>
      <c r="B396" s="26"/>
      <c r="C396" s="26"/>
      <c r="D396" s="26"/>
      <c r="E396" s="26"/>
      <c r="F396" s="26"/>
      <c r="G396" s="26"/>
    </row>
    <row r="397" customFormat="false" ht="15" hidden="false" customHeight="false" outlineLevel="0" collapsed="false">
      <c r="A397" s="26"/>
      <c r="B397" s="26"/>
      <c r="C397" s="26"/>
      <c r="D397" s="26"/>
      <c r="E397" s="26"/>
      <c r="F397" s="26"/>
      <c r="G397" s="26"/>
    </row>
    <row r="398" customFormat="false" ht="15" hidden="false" customHeight="false" outlineLevel="0" collapsed="false">
      <c r="A398" s="26"/>
      <c r="B398" s="26"/>
      <c r="C398" s="26"/>
      <c r="D398" s="26"/>
      <c r="E398" s="26"/>
      <c r="F398" s="26"/>
      <c r="G398" s="26"/>
    </row>
    <row r="399" customFormat="false" ht="15" hidden="false" customHeight="false" outlineLevel="0" collapsed="false">
      <c r="A399" s="26"/>
      <c r="B399" s="26"/>
      <c r="C399" s="26"/>
      <c r="D399" s="26"/>
      <c r="E399" s="26"/>
      <c r="F399" s="26"/>
      <c r="G399" s="26"/>
    </row>
    <row r="400" customFormat="false" ht="15" hidden="false" customHeight="false" outlineLevel="0" collapsed="false">
      <c r="A400" s="26"/>
      <c r="B400" s="26"/>
      <c r="C400" s="26"/>
      <c r="D400" s="26"/>
      <c r="E400" s="26"/>
      <c r="F400" s="26"/>
      <c r="G400" s="26"/>
    </row>
    <row r="401" customFormat="false" ht="15" hidden="false" customHeight="false" outlineLevel="0" collapsed="false">
      <c r="A401" s="26"/>
      <c r="B401" s="26"/>
      <c r="C401" s="26"/>
      <c r="D401" s="26"/>
      <c r="E401" s="26"/>
      <c r="F401" s="26"/>
      <c r="G401" s="26"/>
    </row>
    <row r="402" customFormat="false" ht="15" hidden="false" customHeight="false" outlineLevel="0" collapsed="false">
      <c r="A402" s="26"/>
      <c r="B402" s="26"/>
      <c r="C402" s="26"/>
      <c r="D402" s="26"/>
      <c r="E402" s="26"/>
      <c r="F402" s="26"/>
      <c r="G402" s="26"/>
    </row>
    <row r="403" customFormat="false" ht="15" hidden="false" customHeight="false" outlineLevel="0" collapsed="false">
      <c r="A403" s="26"/>
      <c r="B403" s="26"/>
      <c r="C403" s="26"/>
      <c r="D403" s="26"/>
      <c r="E403" s="26"/>
      <c r="F403" s="26"/>
      <c r="G403" s="26"/>
    </row>
    <row r="404" customFormat="false" ht="15" hidden="false" customHeight="false" outlineLevel="0" collapsed="false">
      <c r="A404" s="26"/>
      <c r="B404" s="26"/>
      <c r="C404" s="26"/>
      <c r="D404" s="26"/>
      <c r="E404" s="26"/>
      <c r="F404" s="26"/>
      <c r="G404" s="26"/>
    </row>
    <row r="405" customFormat="false" ht="15" hidden="false" customHeight="false" outlineLevel="0" collapsed="false">
      <c r="A405" s="26"/>
      <c r="B405" s="26"/>
      <c r="C405" s="26"/>
      <c r="D405" s="26"/>
      <c r="E405" s="26"/>
      <c r="F405" s="26"/>
      <c r="G405" s="26"/>
    </row>
    <row r="406" customFormat="false" ht="15" hidden="false" customHeight="false" outlineLevel="0" collapsed="false">
      <c r="A406" s="26"/>
      <c r="B406" s="26"/>
      <c r="C406" s="26"/>
      <c r="D406" s="26"/>
      <c r="E406" s="26"/>
      <c r="F406" s="26"/>
      <c r="G406" s="26"/>
    </row>
    <row r="407" customFormat="false" ht="15" hidden="false" customHeight="false" outlineLevel="0" collapsed="false">
      <c r="A407" s="26"/>
      <c r="B407" s="26"/>
      <c r="C407" s="26"/>
      <c r="D407" s="26"/>
      <c r="E407" s="26"/>
      <c r="F407" s="26"/>
      <c r="G407" s="26"/>
    </row>
    <row r="408" customFormat="false" ht="15" hidden="false" customHeight="false" outlineLevel="0" collapsed="false">
      <c r="A408" s="26"/>
      <c r="B408" s="26"/>
      <c r="C408" s="26"/>
      <c r="D408" s="26"/>
      <c r="E408" s="26"/>
      <c r="F408" s="26"/>
      <c r="G408" s="26"/>
    </row>
    <row r="409" customFormat="false" ht="15" hidden="false" customHeight="false" outlineLevel="0" collapsed="false">
      <c r="A409" s="26"/>
      <c r="B409" s="26"/>
      <c r="C409" s="26"/>
      <c r="D409" s="26"/>
      <c r="E409" s="26"/>
      <c r="F409" s="26"/>
      <c r="G409" s="26"/>
    </row>
    <row r="410" customFormat="false" ht="15" hidden="false" customHeight="false" outlineLevel="0" collapsed="false">
      <c r="A410" s="26"/>
      <c r="B410" s="26"/>
      <c r="C410" s="26"/>
      <c r="D410" s="26"/>
      <c r="E410" s="26"/>
      <c r="F410" s="26"/>
      <c r="G410" s="26"/>
    </row>
    <row r="411" customFormat="false" ht="15" hidden="false" customHeight="false" outlineLevel="0" collapsed="false">
      <c r="A411" s="26"/>
      <c r="B411" s="26"/>
      <c r="C411" s="26"/>
      <c r="D411" s="26"/>
      <c r="E411" s="26"/>
      <c r="F411" s="26"/>
      <c r="G411" s="26"/>
    </row>
    <row r="412" customFormat="false" ht="15" hidden="false" customHeight="false" outlineLevel="0" collapsed="false">
      <c r="A412" s="26"/>
      <c r="B412" s="26"/>
      <c r="C412" s="26"/>
      <c r="D412" s="26"/>
      <c r="E412" s="26"/>
      <c r="F412" s="26"/>
      <c r="G412" s="26"/>
    </row>
    <row r="413" customFormat="false" ht="15" hidden="false" customHeight="false" outlineLevel="0" collapsed="false">
      <c r="A413" s="26"/>
      <c r="B413" s="26"/>
      <c r="C413" s="26"/>
      <c r="D413" s="26"/>
      <c r="E413" s="26"/>
      <c r="F413" s="26"/>
      <c r="G413" s="26"/>
    </row>
    <row r="414" customFormat="false" ht="15" hidden="false" customHeight="false" outlineLevel="0" collapsed="false">
      <c r="A414" s="26"/>
      <c r="B414" s="26"/>
      <c r="C414" s="26"/>
      <c r="D414" s="26"/>
      <c r="E414" s="26"/>
      <c r="F414" s="26"/>
      <c r="G414" s="26"/>
    </row>
    <row r="415" customFormat="false" ht="15" hidden="false" customHeight="false" outlineLevel="0" collapsed="false">
      <c r="A415" s="26"/>
      <c r="B415" s="26"/>
      <c r="C415" s="26"/>
      <c r="D415" s="26"/>
      <c r="E415" s="26"/>
      <c r="F415" s="26"/>
      <c r="G415" s="26"/>
    </row>
    <row r="416" customFormat="false" ht="15" hidden="false" customHeight="false" outlineLevel="0" collapsed="false">
      <c r="A416" s="26"/>
      <c r="B416" s="26"/>
      <c r="C416" s="26"/>
      <c r="D416" s="26"/>
      <c r="E416" s="26"/>
      <c r="F416" s="26"/>
      <c r="G416" s="26"/>
    </row>
    <row r="417" customFormat="false" ht="15" hidden="false" customHeight="false" outlineLevel="0" collapsed="false">
      <c r="A417" s="26"/>
      <c r="B417" s="26"/>
      <c r="C417" s="26"/>
      <c r="D417" s="26"/>
      <c r="E417" s="26"/>
      <c r="F417" s="26"/>
      <c r="G417" s="26"/>
    </row>
    <row r="418" customFormat="false" ht="15" hidden="false" customHeight="false" outlineLevel="0" collapsed="false">
      <c r="A418" s="26"/>
      <c r="B418" s="26"/>
      <c r="C418" s="26"/>
      <c r="D418" s="26"/>
      <c r="E418" s="26"/>
      <c r="F418" s="26"/>
      <c r="G418" s="26"/>
    </row>
    <row r="419" customFormat="false" ht="15" hidden="false" customHeight="false" outlineLevel="0" collapsed="false">
      <c r="A419" s="26"/>
      <c r="B419" s="26"/>
      <c r="C419" s="26"/>
      <c r="D419" s="26"/>
      <c r="E419" s="26"/>
      <c r="F419" s="26"/>
      <c r="G419" s="26"/>
    </row>
    <row r="420" customFormat="false" ht="15" hidden="false" customHeight="false" outlineLevel="0" collapsed="false">
      <c r="A420" s="26"/>
      <c r="B420" s="26"/>
      <c r="C420" s="26"/>
      <c r="D420" s="26"/>
      <c r="E420" s="26"/>
      <c r="F420" s="26"/>
      <c r="G420" s="26"/>
    </row>
    <row r="421" customFormat="false" ht="15" hidden="false" customHeight="false" outlineLevel="0" collapsed="false">
      <c r="A421" s="26"/>
      <c r="B421" s="26"/>
      <c r="C421" s="26"/>
      <c r="D421" s="26"/>
      <c r="E421" s="26"/>
      <c r="F421" s="26"/>
      <c r="G421" s="26"/>
    </row>
    <row r="422" customFormat="false" ht="15" hidden="false" customHeight="false" outlineLevel="0" collapsed="false">
      <c r="A422" s="26"/>
      <c r="B422" s="26"/>
      <c r="C422" s="26"/>
      <c r="D422" s="26"/>
      <c r="E422" s="26"/>
      <c r="F422" s="26"/>
      <c r="G422" s="26"/>
    </row>
    <row r="423" customFormat="false" ht="15" hidden="false" customHeight="false" outlineLevel="0" collapsed="false">
      <c r="A423" s="26"/>
      <c r="B423" s="26"/>
      <c r="C423" s="26"/>
      <c r="D423" s="26"/>
      <c r="E423" s="26"/>
      <c r="F423" s="26"/>
      <c r="G423" s="26"/>
    </row>
    <row r="424" customFormat="false" ht="15" hidden="false" customHeight="false" outlineLevel="0" collapsed="false">
      <c r="A424" s="26"/>
      <c r="B424" s="26"/>
      <c r="C424" s="26"/>
      <c r="D424" s="26"/>
      <c r="E424" s="26"/>
      <c r="F424" s="26"/>
      <c r="G424" s="26"/>
    </row>
    <row r="425" customFormat="false" ht="15" hidden="false" customHeight="false" outlineLevel="0" collapsed="false">
      <c r="A425" s="26"/>
      <c r="B425" s="26"/>
      <c r="C425" s="26"/>
      <c r="D425" s="26"/>
      <c r="E425" s="26"/>
      <c r="F425" s="26"/>
      <c r="G425" s="26"/>
    </row>
    <row r="426" customFormat="false" ht="15" hidden="false" customHeight="false" outlineLevel="0" collapsed="false">
      <c r="A426" s="26"/>
      <c r="B426" s="26"/>
      <c r="C426" s="26"/>
      <c r="D426" s="26"/>
      <c r="E426" s="26"/>
      <c r="F426" s="26"/>
      <c r="G426" s="26"/>
    </row>
    <row r="427" customFormat="false" ht="15" hidden="false" customHeight="false" outlineLevel="0" collapsed="false">
      <c r="A427" s="26"/>
      <c r="B427" s="26"/>
      <c r="C427" s="26"/>
      <c r="D427" s="26"/>
      <c r="E427" s="26"/>
      <c r="F427" s="26"/>
      <c r="G427" s="26"/>
    </row>
    <row r="428" customFormat="false" ht="15" hidden="false" customHeight="false" outlineLevel="0" collapsed="false">
      <c r="A428" s="26"/>
      <c r="B428" s="26"/>
      <c r="C428" s="26"/>
      <c r="D428" s="26"/>
      <c r="E428" s="26"/>
      <c r="F428" s="26"/>
      <c r="G428" s="26"/>
    </row>
    <row r="429" customFormat="false" ht="15" hidden="false" customHeight="false" outlineLevel="0" collapsed="false">
      <c r="A429" s="26"/>
      <c r="B429" s="26"/>
      <c r="C429" s="26"/>
      <c r="D429" s="26"/>
      <c r="E429" s="26"/>
      <c r="F429" s="26"/>
      <c r="G429" s="26"/>
    </row>
    <row r="430" customFormat="false" ht="15" hidden="false" customHeight="false" outlineLevel="0" collapsed="false">
      <c r="A430" s="26"/>
      <c r="B430" s="26"/>
      <c r="C430" s="26"/>
      <c r="D430" s="26"/>
      <c r="E430" s="26"/>
      <c r="F430" s="26"/>
      <c r="G430" s="26"/>
    </row>
    <row r="431" customFormat="false" ht="15" hidden="false" customHeight="false" outlineLevel="0" collapsed="false">
      <c r="A431" s="26"/>
      <c r="B431" s="26"/>
      <c r="C431" s="26"/>
      <c r="D431" s="26"/>
      <c r="E431" s="26"/>
      <c r="F431" s="26"/>
      <c r="G431" s="26"/>
    </row>
    <row r="432" customFormat="false" ht="15" hidden="false" customHeight="false" outlineLevel="0" collapsed="false">
      <c r="A432" s="26"/>
      <c r="B432" s="26"/>
      <c r="C432" s="26"/>
      <c r="D432" s="26"/>
      <c r="E432" s="26"/>
      <c r="F432" s="26"/>
      <c r="G432" s="26"/>
    </row>
    <row r="433" customFormat="false" ht="15" hidden="false" customHeight="false" outlineLevel="0" collapsed="false">
      <c r="A433" s="26"/>
      <c r="B433" s="26"/>
      <c r="C433" s="26"/>
      <c r="D433" s="26"/>
      <c r="E433" s="26"/>
      <c r="F433" s="26"/>
      <c r="G433" s="26"/>
    </row>
    <row r="434" customFormat="false" ht="15" hidden="false" customHeight="false" outlineLevel="0" collapsed="false">
      <c r="A434" s="26"/>
      <c r="B434" s="26"/>
      <c r="C434" s="26"/>
      <c r="D434" s="26"/>
      <c r="E434" s="26"/>
      <c r="F434" s="26"/>
      <c r="G434" s="26"/>
    </row>
    <row r="435" customFormat="false" ht="15" hidden="false" customHeight="false" outlineLevel="0" collapsed="false">
      <c r="A435" s="26"/>
      <c r="B435" s="26"/>
      <c r="C435" s="26"/>
      <c r="D435" s="26"/>
      <c r="E435" s="26"/>
      <c r="F435" s="26"/>
      <c r="G435" s="26"/>
    </row>
    <row r="436" customFormat="false" ht="15" hidden="false" customHeight="false" outlineLevel="0" collapsed="false">
      <c r="A436" s="26"/>
      <c r="B436" s="26"/>
      <c r="C436" s="26"/>
      <c r="D436" s="26"/>
      <c r="E436" s="26"/>
      <c r="F436" s="26"/>
      <c r="G436" s="26"/>
    </row>
    <row r="437" customFormat="false" ht="15" hidden="false" customHeight="false" outlineLevel="0" collapsed="false">
      <c r="A437" s="26"/>
      <c r="B437" s="26"/>
      <c r="C437" s="26"/>
      <c r="D437" s="26"/>
      <c r="E437" s="26"/>
      <c r="F437" s="26"/>
      <c r="G437" s="26"/>
    </row>
    <row r="438" customFormat="false" ht="15" hidden="false" customHeight="false" outlineLevel="0" collapsed="false">
      <c r="A438" s="26"/>
      <c r="B438" s="26"/>
      <c r="C438" s="26"/>
      <c r="D438" s="26"/>
      <c r="E438" s="26"/>
      <c r="F438" s="26"/>
      <c r="G438" s="26"/>
    </row>
    <row r="439" customFormat="false" ht="15" hidden="false" customHeight="false" outlineLevel="0" collapsed="false">
      <c r="A439" s="26"/>
      <c r="B439" s="26"/>
      <c r="C439" s="26"/>
      <c r="D439" s="26"/>
      <c r="E439" s="26"/>
      <c r="F439" s="26"/>
      <c r="G439" s="26"/>
    </row>
    <row r="440" customFormat="false" ht="15" hidden="false" customHeight="false" outlineLevel="0" collapsed="false">
      <c r="A440" s="26"/>
      <c r="B440" s="26"/>
      <c r="C440" s="26"/>
      <c r="D440" s="26"/>
      <c r="E440" s="26"/>
      <c r="F440" s="26"/>
      <c r="G440" s="26"/>
    </row>
    <row r="441" customFormat="false" ht="15" hidden="false" customHeight="false" outlineLevel="0" collapsed="false">
      <c r="A441" s="26"/>
      <c r="B441" s="26"/>
      <c r="C441" s="26"/>
      <c r="D441" s="26"/>
      <c r="E441" s="26"/>
      <c r="F441" s="26"/>
      <c r="G441" s="26"/>
    </row>
    <row r="442" customFormat="false" ht="15" hidden="false" customHeight="false" outlineLevel="0" collapsed="false">
      <c r="A442" s="26"/>
      <c r="B442" s="26"/>
      <c r="C442" s="26"/>
      <c r="D442" s="26"/>
      <c r="E442" s="26"/>
      <c r="F442" s="26"/>
      <c r="G442" s="26"/>
    </row>
    <row r="443" customFormat="false" ht="15" hidden="false" customHeight="false" outlineLevel="0" collapsed="false">
      <c r="A443" s="26"/>
      <c r="B443" s="26"/>
      <c r="C443" s="26"/>
      <c r="D443" s="26"/>
      <c r="E443" s="26"/>
      <c r="F443" s="26"/>
      <c r="G443" s="26"/>
    </row>
    <row r="444" customFormat="false" ht="15" hidden="false" customHeight="false" outlineLevel="0" collapsed="false">
      <c r="A444" s="26"/>
      <c r="B444" s="26"/>
      <c r="C444" s="26"/>
      <c r="D444" s="26"/>
      <c r="E444" s="26"/>
      <c r="F444" s="26"/>
      <c r="G444" s="26"/>
    </row>
    <row r="445" customFormat="false" ht="15" hidden="false" customHeight="false" outlineLevel="0" collapsed="false">
      <c r="A445" s="26"/>
      <c r="B445" s="26"/>
      <c r="C445" s="26"/>
      <c r="D445" s="26"/>
      <c r="E445" s="26"/>
      <c r="F445" s="26"/>
      <c r="G445" s="26"/>
    </row>
    <row r="446" customFormat="false" ht="15" hidden="false" customHeight="false" outlineLevel="0" collapsed="false">
      <c r="A446" s="26"/>
      <c r="B446" s="26"/>
      <c r="C446" s="26"/>
      <c r="D446" s="26"/>
      <c r="E446" s="26"/>
      <c r="F446" s="26"/>
      <c r="G446" s="26"/>
    </row>
    <row r="447" customFormat="false" ht="15" hidden="false" customHeight="false" outlineLevel="0" collapsed="false">
      <c r="A447" s="26"/>
      <c r="B447" s="26"/>
      <c r="C447" s="26"/>
      <c r="D447" s="26"/>
      <c r="E447" s="26"/>
      <c r="F447" s="26"/>
      <c r="G447" s="26"/>
    </row>
    <row r="448" customFormat="false" ht="15" hidden="false" customHeight="false" outlineLevel="0" collapsed="false">
      <c r="A448" s="26"/>
      <c r="B448" s="26"/>
      <c r="C448" s="26"/>
      <c r="D448" s="26"/>
      <c r="E448" s="26"/>
      <c r="F448" s="26"/>
      <c r="G448" s="26"/>
    </row>
    <row r="449" customFormat="false" ht="15" hidden="false" customHeight="false" outlineLevel="0" collapsed="false">
      <c r="A449" s="26"/>
      <c r="B449" s="26"/>
      <c r="C449" s="26"/>
      <c r="D449" s="26"/>
      <c r="E449" s="26"/>
      <c r="F449" s="26"/>
      <c r="G449" s="26"/>
    </row>
    <row r="450" customFormat="false" ht="15" hidden="false" customHeight="false" outlineLevel="0" collapsed="false">
      <c r="A450" s="26"/>
      <c r="B450" s="26"/>
      <c r="C450" s="26"/>
      <c r="D450" s="26"/>
      <c r="E450" s="26"/>
      <c r="F450" s="26"/>
      <c r="G450" s="26"/>
    </row>
    <row r="451" customFormat="false" ht="15" hidden="false" customHeight="false" outlineLevel="0" collapsed="false">
      <c r="A451" s="26"/>
      <c r="B451" s="26"/>
      <c r="C451" s="26"/>
      <c r="D451" s="26"/>
      <c r="E451" s="26"/>
      <c r="F451" s="26"/>
      <c r="G451" s="26"/>
    </row>
    <row r="452" customFormat="false" ht="15" hidden="false" customHeight="false" outlineLevel="0" collapsed="false">
      <c r="A452" s="26"/>
      <c r="B452" s="26"/>
      <c r="C452" s="26"/>
      <c r="D452" s="26"/>
      <c r="E452" s="26"/>
      <c r="F452" s="26"/>
      <c r="G452" s="26"/>
    </row>
    <row r="453" customFormat="false" ht="15" hidden="false" customHeight="false" outlineLevel="0" collapsed="false">
      <c r="A453" s="26"/>
      <c r="B453" s="26"/>
      <c r="C453" s="26"/>
      <c r="D453" s="26"/>
      <c r="E453" s="26"/>
      <c r="F453" s="26"/>
      <c r="G453" s="26"/>
    </row>
    <row r="454" customFormat="false" ht="15" hidden="false" customHeight="false" outlineLevel="0" collapsed="false">
      <c r="A454" s="26"/>
      <c r="B454" s="26"/>
      <c r="C454" s="26"/>
      <c r="D454" s="26"/>
      <c r="E454" s="26"/>
      <c r="F454" s="26"/>
      <c r="G454" s="26"/>
    </row>
    <row r="455" customFormat="false" ht="15" hidden="false" customHeight="false" outlineLevel="0" collapsed="false">
      <c r="A455" s="26"/>
      <c r="B455" s="26"/>
      <c r="C455" s="26"/>
      <c r="D455" s="26"/>
      <c r="E455" s="26"/>
      <c r="F455" s="26"/>
      <c r="G455" s="26"/>
    </row>
    <row r="456" customFormat="false" ht="15" hidden="false" customHeight="false" outlineLevel="0" collapsed="false">
      <c r="A456" s="26"/>
      <c r="B456" s="26"/>
      <c r="C456" s="26"/>
      <c r="D456" s="26"/>
      <c r="E456" s="26"/>
      <c r="F456" s="26"/>
      <c r="G456" s="26"/>
    </row>
    <row r="457" customFormat="false" ht="15" hidden="false" customHeight="false" outlineLevel="0" collapsed="false">
      <c r="A457" s="26"/>
      <c r="B457" s="26"/>
      <c r="C457" s="26"/>
      <c r="D457" s="26"/>
      <c r="E457" s="26"/>
      <c r="F457" s="26"/>
      <c r="G457" s="26"/>
    </row>
    <row r="458" customFormat="false" ht="15" hidden="false" customHeight="false" outlineLevel="0" collapsed="false">
      <c r="A458" s="26"/>
      <c r="B458" s="26"/>
      <c r="C458" s="26"/>
      <c r="D458" s="26"/>
      <c r="E458" s="26"/>
      <c r="F458" s="26"/>
      <c r="G458" s="26"/>
    </row>
    <row r="459" customFormat="false" ht="15" hidden="false" customHeight="false" outlineLevel="0" collapsed="false">
      <c r="A459" s="26"/>
      <c r="B459" s="26"/>
      <c r="C459" s="26"/>
      <c r="D459" s="26"/>
      <c r="E459" s="26"/>
      <c r="F459" s="26"/>
      <c r="G459" s="26"/>
    </row>
    <row r="460" customFormat="false" ht="15" hidden="false" customHeight="false" outlineLevel="0" collapsed="false">
      <c r="A460" s="26"/>
      <c r="B460" s="26"/>
      <c r="C460" s="26"/>
      <c r="D460" s="26"/>
      <c r="E460" s="26"/>
      <c r="F460" s="26"/>
      <c r="G460" s="26"/>
    </row>
    <row r="461" customFormat="false" ht="15" hidden="false" customHeight="false" outlineLevel="0" collapsed="false">
      <c r="A461" s="26"/>
      <c r="B461" s="26"/>
      <c r="C461" s="26"/>
      <c r="D461" s="26"/>
      <c r="E461" s="26"/>
      <c r="F461" s="26"/>
      <c r="G461" s="26"/>
    </row>
    <row r="462" customFormat="false" ht="15" hidden="false" customHeight="false" outlineLevel="0" collapsed="false">
      <c r="A462" s="26"/>
      <c r="B462" s="26"/>
      <c r="C462" s="26"/>
      <c r="D462" s="26"/>
      <c r="E462" s="26"/>
      <c r="F462" s="26"/>
      <c r="G462" s="26"/>
    </row>
    <row r="463" customFormat="false" ht="15" hidden="false" customHeight="false" outlineLevel="0" collapsed="false">
      <c r="A463" s="26"/>
      <c r="B463" s="26"/>
      <c r="C463" s="26"/>
      <c r="D463" s="26"/>
      <c r="E463" s="26"/>
      <c r="F463" s="26"/>
      <c r="G463" s="26"/>
    </row>
    <row r="464" customFormat="false" ht="15" hidden="false" customHeight="false" outlineLevel="0" collapsed="false">
      <c r="A464" s="26"/>
      <c r="B464" s="26"/>
      <c r="C464" s="26"/>
      <c r="D464" s="26"/>
      <c r="E464" s="26"/>
      <c r="F464" s="26"/>
      <c r="G464" s="26"/>
    </row>
    <row r="465" customFormat="false" ht="15" hidden="false" customHeight="false" outlineLevel="0" collapsed="false">
      <c r="A465" s="26"/>
      <c r="B465" s="26"/>
      <c r="C465" s="26"/>
      <c r="D465" s="26"/>
      <c r="E465" s="26"/>
      <c r="F465" s="26"/>
      <c r="G465" s="26"/>
    </row>
    <row r="466" customFormat="false" ht="15" hidden="false" customHeight="false" outlineLevel="0" collapsed="false">
      <c r="A466" s="26"/>
      <c r="B466" s="26"/>
      <c r="C466" s="26"/>
      <c r="D466" s="26"/>
      <c r="E466" s="26"/>
      <c r="F466" s="26"/>
      <c r="G466" s="26"/>
    </row>
    <row r="467" customFormat="false" ht="15" hidden="false" customHeight="false" outlineLevel="0" collapsed="false">
      <c r="A467" s="26"/>
      <c r="B467" s="26"/>
      <c r="C467" s="26"/>
      <c r="D467" s="26"/>
      <c r="E467" s="26"/>
      <c r="F467" s="26"/>
      <c r="G467" s="26"/>
    </row>
    <row r="468" customFormat="false" ht="15" hidden="false" customHeight="false" outlineLevel="0" collapsed="false">
      <c r="A468" s="26"/>
      <c r="B468" s="26"/>
      <c r="C468" s="26"/>
      <c r="D468" s="26"/>
      <c r="E468" s="26"/>
      <c r="F468" s="26"/>
      <c r="G468" s="26"/>
    </row>
    <row r="469" customFormat="false" ht="15" hidden="false" customHeight="false" outlineLevel="0" collapsed="false">
      <c r="A469" s="26"/>
      <c r="B469" s="26"/>
      <c r="C469" s="26"/>
      <c r="D469" s="26"/>
      <c r="E469" s="26"/>
      <c r="F469" s="26"/>
      <c r="G469" s="26"/>
    </row>
    <row r="470" customFormat="false" ht="15" hidden="false" customHeight="false" outlineLevel="0" collapsed="false">
      <c r="A470" s="26"/>
      <c r="B470" s="26"/>
      <c r="C470" s="26"/>
      <c r="D470" s="26"/>
      <c r="E470" s="26"/>
      <c r="F470" s="26"/>
      <c r="G470" s="26"/>
    </row>
    <row r="471" customFormat="false" ht="15" hidden="false" customHeight="false" outlineLevel="0" collapsed="false">
      <c r="A471" s="26"/>
      <c r="B471" s="26"/>
      <c r="C471" s="26"/>
      <c r="D471" s="26"/>
      <c r="E471" s="26"/>
      <c r="F471" s="26"/>
      <c r="G471" s="26"/>
    </row>
    <row r="472" customFormat="false" ht="15" hidden="false" customHeight="false" outlineLevel="0" collapsed="false">
      <c r="A472" s="26"/>
      <c r="B472" s="26"/>
      <c r="C472" s="26"/>
      <c r="D472" s="26"/>
      <c r="E472" s="26"/>
      <c r="F472" s="26"/>
      <c r="G472" s="26"/>
    </row>
    <row r="473" customFormat="false" ht="15" hidden="false" customHeight="false" outlineLevel="0" collapsed="false">
      <c r="A473" s="26"/>
      <c r="B473" s="26"/>
      <c r="C473" s="26"/>
      <c r="D473" s="26"/>
      <c r="E473" s="26"/>
      <c r="F473" s="26"/>
      <c r="G473" s="26"/>
    </row>
    <row r="474" customFormat="false" ht="15" hidden="false" customHeight="false" outlineLevel="0" collapsed="false">
      <c r="A474" s="26"/>
      <c r="B474" s="26"/>
      <c r="C474" s="26"/>
      <c r="D474" s="26"/>
      <c r="E474" s="26"/>
      <c r="F474" s="26"/>
      <c r="G474" s="26"/>
    </row>
    <row r="475" customFormat="false" ht="15" hidden="false" customHeight="false" outlineLevel="0" collapsed="false">
      <c r="A475" s="26"/>
      <c r="B475" s="26"/>
      <c r="C475" s="26"/>
      <c r="D475" s="26"/>
      <c r="E475" s="26"/>
      <c r="F475" s="26"/>
      <c r="G475" s="26"/>
    </row>
    <row r="476" customFormat="false" ht="15" hidden="false" customHeight="false" outlineLevel="0" collapsed="false">
      <c r="A476" s="26"/>
      <c r="B476" s="26"/>
      <c r="C476" s="26"/>
      <c r="D476" s="26"/>
      <c r="E476" s="26"/>
      <c r="F476" s="26"/>
      <c r="G476" s="26"/>
    </row>
    <row r="477" customFormat="false" ht="15" hidden="false" customHeight="false" outlineLevel="0" collapsed="false">
      <c r="A477" s="26"/>
      <c r="B477" s="26"/>
      <c r="C477" s="26"/>
      <c r="D477" s="26"/>
      <c r="E477" s="26"/>
      <c r="F477" s="26"/>
      <c r="G477" s="26"/>
    </row>
    <row r="478" customFormat="false" ht="15" hidden="false" customHeight="false" outlineLevel="0" collapsed="false">
      <c r="A478" s="26"/>
      <c r="B478" s="26"/>
      <c r="C478" s="26"/>
      <c r="D478" s="26"/>
      <c r="E478" s="26"/>
      <c r="F478" s="26"/>
      <c r="G478" s="26"/>
    </row>
    <row r="479" customFormat="false" ht="15" hidden="false" customHeight="false" outlineLevel="0" collapsed="false">
      <c r="A479" s="26"/>
      <c r="B479" s="26"/>
      <c r="C479" s="26"/>
      <c r="D479" s="26"/>
      <c r="E479" s="26"/>
      <c r="F479" s="26"/>
      <c r="G479" s="26"/>
    </row>
    <row r="480" customFormat="false" ht="15" hidden="false" customHeight="false" outlineLevel="0" collapsed="false">
      <c r="A480" s="26"/>
      <c r="B480" s="26"/>
      <c r="C480" s="26"/>
      <c r="D480" s="26"/>
      <c r="E480" s="26"/>
      <c r="F480" s="26"/>
      <c r="G480" s="26"/>
    </row>
    <row r="481" customFormat="false" ht="15" hidden="false" customHeight="false" outlineLevel="0" collapsed="false">
      <c r="A481" s="26"/>
      <c r="B481" s="26"/>
      <c r="C481" s="26"/>
      <c r="D481" s="26"/>
      <c r="E481" s="26"/>
      <c r="F481" s="26"/>
      <c r="G481" s="26"/>
    </row>
    <row r="482" customFormat="false" ht="15" hidden="false" customHeight="false" outlineLevel="0" collapsed="false">
      <c r="A482" s="26"/>
      <c r="B482" s="26"/>
      <c r="C482" s="26"/>
      <c r="D482" s="26"/>
      <c r="E482" s="26"/>
      <c r="F482" s="26"/>
      <c r="G482" s="26"/>
    </row>
    <row r="483" customFormat="false" ht="15" hidden="false" customHeight="false" outlineLevel="0" collapsed="false">
      <c r="A483" s="26"/>
      <c r="B483" s="26"/>
      <c r="C483" s="26"/>
      <c r="D483" s="26"/>
      <c r="E483" s="26"/>
      <c r="F483" s="26"/>
      <c r="G483" s="26"/>
    </row>
    <row r="484" customFormat="false" ht="15" hidden="false" customHeight="false" outlineLevel="0" collapsed="false">
      <c r="A484" s="26"/>
      <c r="B484" s="26"/>
      <c r="C484" s="26"/>
      <c r="D484" s="26"/>
      <c r="E484" s="26"/>
      <c r="F484" s="26"/>
      <c r="G484" s="26"/>
    </row>
    <row r="485" customFormat="false" ht="15" hidden="false" customHeight="false" outlineLevel="0" collapsed="false">
      <c r="A485" s="26"/>
      <c r="B485" s="26"/>
      <c r="C485" s="26"/>
      <c r="D485" s="26"/>
      <c r="E485" s="26"/>
      <c r="F485" s="26"/>
      <c r="G485" s="26"/>
    </row>
    <row r="486" customFormat="false" ht="15" hidden="false" customHeight="false" outlineLevel="0" collapsed="false">
      <c r="A486" s="26"/>
      <c r="B486" s="26"/>
      <c r="C486" s="26"/>
      <c r="D486" s="26"/>
      <c r="E486" s="26"/>
      <c r="F486" s="26"/>
      <c r="G486" s="26"/>
    </row>
    <row r="487" customFormat="false" ht="15" hidden="false" customHeight="false" outlineLevel="0" collapsed="false">
      <c r="A487" s="26"/>
      <c r="B487" s="26"/>
      <c r="C487" s="26"/>
      <c r="D487" s="26"/>
      <c r="E487" s="26"/>
      <c r="F487" s="26"/>
      <c r="G487" s="26"/>
    </row>
    <row r="488" customFormat="false" ht="15" hidden="false" customHeight="false" outlineLevel="0" collapsed="false">
      <c r="A488" s="26"/>
      <c r="B488" s="26"/>
      <c r="C488" s="26"/>
      <c r="D488" s="26"/>
      <c r="E488" s="26"/>
      <c r="F488" s="26"/>
      <c r="G488" s="26"/>
    </row>
    <row r="489" customFormat="false" ht="15" hidden="false" customHeight="false" outlineLevel="0" collapsed="false">
      <c r="A489" s="26"/>
      <c r="B489" s="26"/>
      <c r="C489" s="26"/>
      <c r="D489" s="26"/>
      <c r="E489" s="26"/>
      <c r="F489" s="26"/>
      <c r="G489" s="26"/>
    </row>
    <row r="490" customFormat="false" ht="15" hidden="false" customHeight="false" outlineLevel="0" collapsed="false">
      <c r="A490" s="26"/>
      <c r="B490" s="26"/>
      <c r="C490" s="26"/>
      <c r="D490" s="26"/>
      <c r="E490" s="26"/>
      <c r="F490" s="26"/>
      <c r="G490" s="26"/>
    </row>
    <row r="491" customFormat="false" ht="15" hidden="false" customHeight="false" outlineLevel="0" collapsed="false">
      <c r="A491" s="26"/>
      <c r="B491" s="26"/>
      <c r="C491" s="26"/>
      <c r="D491" s="26"/>
      <c r="E491" s="26"/>
      <c r="F491" s="26"/>
      <c r="G491" s="26"/>
    </row>
    <row r="492" customFormat="false" ht="15" hidden="false" customHeight="false" outlineLevel="0" collapsed="false">
      <c r="A492" s="26"/>
      <c r="B492" s="26"/>
      <c r="C492" s="26"/>
      <c r="D492" s="26"/>
      <c r="E492" s="26"/>
      <c r="F492" s="26"/>
      <c r="G492" s="26"/>
    </row>
    <row r="493" customFormat="false" ht="15" hidden="false" customHeight="false" outlineLevel="0" collapsed="false">
      <c r="A493" s="26"/>
      <c r="B493" s="26"/>
      <c r="C493" s="26"/>
      <c r="D493" s="26"/>
      <c r="E493" s="26"/>
      <c r="F493" s="26"/>
      <c r="G493" s="26"/>
    </row>
    <row r="494" customFormat="false" ht="15" hidden="false" customHeight="false" outlineLevel="0" collapsed="false">
      <c r="A494" s="26"/>
      <c r="B494" s="26"/>
      <c r="C494" s="26"/>
      <c r="D494" s="26"/>
      <c r="E494" s="26"/>
      <c r="F494" s="26"/>
      <c r="G494" s="26"/>
    </row>
    <row r="495" customFormat="false" ht="15" hidden="false" customHeight="false" outlineLevel="0" collapsed="false">
      <c r="A495" s="26"/>
      <c r="B495" s="26"/>
      <c r="C495" s="26"/>
      <c r="D495" s="26"/>
      <c r="E495" s="26"/>
      <c r="F495" s="26"/>
      <c r="G495" s="26"/>
    </row>
    <row r="496" customFormat="false" ht="15" hidden="false" customHeight="false" outlineLevel="0" collapsed="false">
      <c r="A496" s="26"/>
      <c r="B496" s="26"/>
      <c r="C496" s="26"/>
      <c r="D496" s="26"/>
      <c r="E496" s="26"/>
      <c r="F496" s="26"/>
      <c r="G496" s="26"/>
    </row>
    <row r="497" customFormat="false" ht="15" hidden="false" customHeight="false" outlineLevel="0" collapsed="false">
      <c r="A497" s="26"/>
      <c r="B497" s="26"/>
      <c r="C497" s="26"/>
      <c r="D497" s="26"/>
      <c r="E497" s="26"/>
      <c r="F497" s="26"/>
      <c r="G497" s="26"/>
    </row>
    <row r="498" customFormat="false" ht="15" hidden="false" customHeight="false" outlineLevel="0" collapsed="false">
      <c r="A498" s="26"/>
      <c r="B498" s="26"/>
      <c r="C498" s="26"/>
      <c r="D498" s="26"/>
      <c r="E498" s="26"/>
      <c r="F498" s="26"/>
      <c r="G498" s="26"/>
    </row>
    <row r="499" customFormat="false" ht="15" hidden="false" customHeight="false" outlineLevel="0" collapsed="false">
      <c r="A499" s="26"/>
      <c r="B499" s="26"/>
      <c r="C499" s="26"/>
      <c r="D499" s="26"/>
      <c r="E499" s="26"/>
      <c r="F499" s="26"/>
      <c r="G499" s="26"/>
    </row>
    <row r="500" customFormat="false" ht="15" hidden="false" customHeight="false" outlineLevel="0" collapsed="false">
      <c r="A500" s="26"/>
      <c r="B500" s="26"/>
      <c r="C500" s="26"/>
      <c r="D500" s="26"/>
      <c r="E500" s="26"/>
      <c r="F500" s="26"/>
      <c r="G500" s="26"/>
    </row>
    <row r="501" customFormat="false" ht="15" hidden="false" customHeight="false" outlineLevel="0" collapsed="false">
      <c r="A501" s="26"/>
      <c r="B501" s="26"/>
      <c r="C501" s="26"/>
      <c r="D501" s="26"/>
      <c r="E501" s="26"/>
      <c r="F501" s="26"/>
      <c r="G501" s="26"/>
    </row>
    <row r="502" customFormat="false" ht="15" hidden="false" customHeight="false" outlineLevel="0" collapsed="false">
      <c r="A502" s="26"/>
      <c r="B502" s="26"/>
      <c r="C502" s="26"/>
      <c r="D502" s="26"/>
      <c r="E502" s="26"/>
      <c r="F502" s="26"/>
      <c r="G502" s="26"/>
    </row>
    <row r="503" customFormat="false" ht="15" hidden="false" customHeight="false" outlineLevel="0" collapsed="false">
      <c r="A503" s="26"/>
      <c r="B503" s="26"/>
      <c r="C503" s="26"/>
      <c r="D503" s="26"/>
      <c r="E503" s="26"/>
      <c r="F503" s="26"/>
      <c r="G503" s="26"/>
    </row>
    <row r="504" customFormat="false" ht="15" hidden="false" customHeight="false" outlineLevel="0" collapsed="false">
      <c r="A504" s="26"/>
      <c r="B504" s="26"/>
      <c r="C504" s="26"/>
      <c r="D504" s="26"/>
      <c r="E504" s="26"/>
      <c r="F504" s="26"/>
      <c r="G504" s="26"/>
    </row>
    <row r="505" customFormat="false" ht="15" hidden="false" customHeight="false" outlineLevel="0" collapsed="false">
      <c r="A505" s="26"/>
      <c r="B505" s="26"/>
      <c r="C505" s="26"/>
      <c r="D505" s="26"/>
      <c r="E505" s="26"/>
      <c r="F505" s="26"/>
      <c r="G505" s="26"/>
    </row>
    <row r="506" customFormat="false" ht="15" hidden="false" customHeight="false" outlineLevel="0" collapsed="false">
      <c r="A506" s="26"/>
      <c r="B506" s="26"/>
      <c r="C506" s="26"/>
      <c r="D506" s="26"/>
      <c r="E506" s="26"/>
      <c r="F506" s="26"/>
      <c r="G506" s="26"/>
    </row>
    <row r="507" customFormat="false" ht="15" hidden="false" customHeight="false" outlineLevel="0" collapsed="false">
      <c r="A507" s="26"/>
      <c r="B507" s="26"/>
      <c r="C507" s="26"/>
      <c r="D507" s="26"/>
      <c r="E507" s="26"/>
      <c r="F507" s="26"/>
      <c r="G507" s="26"/>
    </row>
    <row r="508" customFormat="false" ht="15" hidden="false" customHeight="false" outlineLevel="0" collapsed="false">
      <c r="A508" s="26"/>
      <c r="B508" s="26"/>
      <c r="C508" s="26"/>
      <c r="D508" s="26"/>
      <c r="E508" s="26"/>
      <c r="F508" s="26"/>
      <c r="G508" s="26"/>
    </row>
    <row r="509" customFormat="false" ht="15" hidden="false" customHeight="false" outlineLevel="0" collapsed="false">
      <c r="A509" s="26"/>
      <c r="B509" s="26"/>
      <c r="C509" s="26"/>
      <c r="D509" s="26"/>
      <c r="E509" s="26"/>
      <c r="F509" s="26"/>
      <c r="G509" s="26"/>
    </row>
    <row r="510" customFormat="false" ht="15" hidden="false" customHeight="false" outlineLevel="0" collapsed="false">
      <c r="A510" s="26"/>
      <c r="B510" s="26"/>
      <c r="C510" s="26"/>
      <c r="D510" s="26"/>
      <c r="E510" s="26"/>
      <c r="F510" s="26"/>
      <c r="G510" s="26"/>
    </row>
    <row r="511" customFormat="false" ht="15" hidden="false" customHeight="false" outlineLevel="0" collapsed="false">
      <c r="A511" s="26"/>
      <c r="B511" s="26"/>
      <c r="C511" s="26"/>
      <c r="D511" s="26"/>
      <c r="E511" s="26"/>
      <c r="F511" s="26"/>
      <c r="G511" s="26"/>
    </row>
    <row r="512" customFormat="false" ht="15" hidden="false" customHeight="false" outlineLevel="0" collapsed="false">
      <c r="A512" s="26"/>
      <c r="B512" s="26"/>
      <c r="C512" s="26"/>
      <c r="D512" s="26"/>
      <c r="E512" s="26"/>
      <c r="F512" s="26"/>
      <c r="G512" s="26"/>
    </row>
    <row r="513" customFormat="false" ht="15" hidden="false" customHeight="false" outlineLevel="0" collapsed="false">
      <c r="A513" s="26"/>
      <c r="B513" s="26"/>
      <c r="C513" s="26"/>
      <c r="D513" s="26"/>
      <c r="E513" s="26"/>
      <c r="F513" s="26"/>
      <c r="G513" s="26"/>
    </row>
    <row r="514" customFormat="false" ht="15" hidden="false" customHeight="false" outlineLevel="0" collapsed="false">
      <c r="A514" s="26"/>
      <c r="B514" s="26"/>
      <c r="C514" s="26"/>
      <c r="D514" s="26"/>
      <c r="E514" s="26"/>
      <c r="F514" s="26"/>
      <c r="G514" s="26"/>
    </row>
    <row r="515" customFormat="false" ht="15" hidden="false" customHeight="false" outlineLevel="0" collapsed="false">
      <c r="A515" s="26"/>
      <c r="B515" s="26"/>
      <c r="C515" s="26"/>
      <c r="D515" s="26"/>
      <c r="E515" s="26"/>
      <c r="F515" s="26"/>
      <c r="G515" s="26"/>
    </row>
    <row r="516" customFormat="false" ht="15" hidden="false" customHeight="false" outlineLevel="0" collapsed="false">
      <c r="A516" s="26"/>
      <c r="B516" s="26"/>
      <c r="C516" s="26"/>
      <c r="D516" s="26"/>
      <c r="E516" s="26"/>
      <c r="F516" s="26"/>
      <c r="G516" s="26"/>
    </row>
    <row r="517" customFormat="false" ht="15" hidden="false" customHeight="false" outlineLevel="0" collapsed="false">
      <c r="A517" s="26"/>
      <c r="B517" s="26"/>
      <c r="C517" s="26"/>
      <c r="D517" s="26"/>
      <c r="E517" s="26"/>
      <c r="F517" s="26"/>
      <c r="G517" s="26"/>
    </row>
    <row r="518" customFormat="false" ht="15" hidden="false" customHeight="false" outlineLevel="0" collapsed="false">
      <c r="A518" s="26"/>
      <c r="B518" s="26"/>
      <c r="C518" s="26"/>
      <c r="D518" s="26"/>
      <c r="E518" s="26"/>
      <c r="F518" s="26"/>
      <c r="G518" s="26"/>
    </row>
    <row r="519" customFormat="false" ht="15" hidden="false" customHeight="false" outlineLevel="0" collapsed="false">
      <c r="A519" s="26"/>
      <c r="B519" s="26"/>
      <c r="C519" s="26"/>
      <c r="D519" s="26"/>
      <c r="E519" s="26"/>
      <c r="F519" s="26"/>
      <c r="G519" s="26"/>
    </row>
    <row r="520" customFormat="false" ht="15" hidden="false" customHeight="false" outlineLevel="0" collapsed="false">
      <c r="A520" s="26"/>
      <c r="B520" s="26"/>
      <c r="C520" s="26"/>
      <c r="D520" s="26"/>
      <c r="E520" s="26"/>
      <c r="F520" s="26"/>
      <c r="G520" s="26"/>
    </row>
    <row r="521" customFormat="false" ht="15" hidden="false" customHeight="false" outlineLevel="0" collapsed="false">
      <c r="A521" s="26"/>
      <c r="B521" s="26"/>
      <c r="C521" s="26"/>
      <c r="D521" s="26"/>
      <c r="E521" s="26"/>
      <c r="F521" s="26"/>
      <c r="G521" s="26"/>
    </row>
    <row r="522" customFormat="false" ht="15" hidden="false" customHeight="false" outlineLevel="0" collapsed="false">
      <c r="A522" s="26"/>
      <c r="B522" s="26"/>
      <c r="C522" s="26"/>
      <c r="D522" s="26"/>
      <c r="E522" s="26"/>
      <c r="F522" s="26"/>
      <c r="G522" s="26"/>
    </row>
    <row r="523" customFormat="false" ht="15" hidden="false" customHeight="false" outlineLevel="0" collapsed="false">
      <c r="A523" s="26"/>
      <c r="B523" s="26"/>
      <c r="C523" s="26"/>
      <c r="D523" s="26"/>
      <c r="E523" s="26"/>
      <c r="F523" s="26"/>
      <c r="G523" s="26"/>
    </row>
    <row r="524" customFormat="false" ht="15" hidden="false" customHeight="false" outlineLevel="0" collapsed="false">
      <c r="A524" s="26"/>
      <c r="B524" s="26"/>
      <c r="C524" s="26"/>
      <c r="D524" s="26"/>
      <c r="E524" s="26"/>
      <c r="F524" s="26"/>
      <c r="G524" s="26"/>
    </row>
    <row r="525" customFormat="false" ht="15" hidden="false" customHeight="false" outlineLevel="0" collapsed="false">
      <c r="A525" s="26"/>
      <c r="B525" s="26"/>
      <c r="C525" s="26"/>
      <c r="D525" s="26"/>
      <c r="E525" s="26"/>
      <c r="F525" s="26"/>
      <c r="G525" s="26"/>
    </row>
    <row r="526" customFormat="false" ht="15" hidden="false" customHeight="false" outlineLevel="0" collapsed="false">
      <c r="A526" s="26"/>
      <c r="B526" s="26"/>
      <c r="C526" s="26"/>
      <c r="D526" s="26"/>
      <c r="E526" s="26"/>
      <c r="F526" s="26"/>
      <c r="G526" s="26"/>
    </row>
    <row r="527" customFormat="false" ht="15" hidden="false" customHeight="false" outlineLevel="0" collapsed="false">
      <c r="A527" s="26"/>
      <c r="B527" s="26"/>
      <c r="C527" s="26"/>
      <c r="D527" s="26"/>
      <c r="E527" s="26"/>
      <c r="F527" s="26"/>
      <c r="G527" s="26"/>
    </row>
    <row r="528" customFormat="false" ht="15" hidden="false" customHeight="false" outlineLevel="0" collapsed="false">
      <c r="A528" s="26"/>
      <c r="B528" s="26"/>
      <c r="C528" s="26"/>
      <c r="D528" s="26"/>
      <c r="E528" s="26"/>
      <c r="F528" s="26"/>
      <c r="G528" s="26"/>
    </row>
    <row r="529" customFormat="false" ht="15" hidden="false" customHeight="false" outlineLevel="0" collapsed="false">
      <c r="A529" s="26"/>
      <c r="B529" s="26"/>
      <c r="C529" s="26"/>
      <c r="D529" s="26"/>
      <c r="E529" s="26"/>
      <c r="F529" s="26"/>
      <c r="G529" s="26"/>
    </row>
    <row r="530" customFormat="false" ht="15" hidden="false" customHeight="false" outlineLevel="0" collapsed="false">
      <c r="A530" s="26"/>
      <c r="B530" s="26"/>
      <c r="C530" s="26"/>
      <c r="D530" s="26"/>
      <c r="E530" s="26"/>
      <c r="F530" s="26"/>
      <c r="G530" s="26"/>
    </row>
    <row r="531" customFormat="false" ht="15" hidden="false" customHeight="false" outlineLevel="0" collapsed="false">
      <c r="A531" s="26"/>
      <c r="B531" s="26"/>
      <c r="C531" s="26"/>
      <c r="D531" s="26"/>
      <c r="E531" s="26"/>
      <c r="F531" s="26"/>
      <c r="G531" s="26"/>
    </row>
    <row r="532" customFormat="false" ht="15" hidden="false" customHeight="false" outlineLevel="0" collapsed="false">
      <c r="A532" s="26"/>
      <c r="B532" s="26"/>
      <c r="C532" s="26"/>
      <c r="D532" s="26"/>
      <c r="E532" s="26"/>
      <c r="F532" s="26"/>
      <c r="G532" s="26"/>
    </row>
    <row r="533" customFormat="false" ht="15" hidden="false" customHeight="false" outlineLevel="0" collapsed="false">
      <c r="A533" s="26"/>
      <c r="B533" s="26"/>
      <c r="C533" s="26"/>
      <c r="D533" s="26"/>
      <c r="E533" s="26"/>
      <c r="F533" s="26"/>
      <c r="G533" s="26"/>
    </row>
    <row r="534" customFormat="false" ht="15" hidden="false" customHeight="false" outlineLevel="0" collapsed="false">
      <c r="A534" s="26"/>
      <c r="B534" s="26"/>
      <c r="C534" s="26"/>
      <c r="D534" s="26"/>
      <c r="E534" s="26"/>
      <c r="F534" s="26"/>
      <c r="G534" s="26"/>
    </row>
    <row r="535" customFormat="false" ht="15" hidden="false" customHeight="false" outlineLevel="0" collapsed="false">
      <c r="A535" s="26"/>
      <c r="B535" s="26"/>
      <c r="C535" s="26"/>
      <c r="D535" s="26"/>
      <c r="E535" s="26"/>
      <c r="F535" s="26"/>
      <c r="G535" s="26"/>
    </row>
    <row r="536" customFormat="false" ht="15" hidden="false" customHeight="false" outlineLevel="0" collapsed="false">
      <c r="A536" s="26"/>
      <c r="B536" s="26"/>
      <c r="C536" s="26"/>
      <c r="D536" s="26"/>
      <c r="E536" s="26"/>
      <c r="F536" s="26"/>
      <c r="G536" s="26"/>
    </row>
    <row r="537" customFormat="false" ht="15" hidden="false" customHeight="false" outlineLevel="0" collapsed="false">
      <c r="A537" s="26"/>
      <c r="B537" s="26"/>
      <c r="C537" s="26"/>
      <c r="D537" s="26"/>
      <c r="E537" s="26"/>
      <c r="F537" s="26"/>
      <c r="G537" s="26"/>
    </row>
    <row r="538" customFormat="false" ht="15" hidden="false" customHeight="false" outlineLevel="0" collapsed="false">
      <c r="A538" s="26"/>
      <c r="B538" s="26"/>
      <c r="C538" s="26"/>
      <c r="D538" s="26"/>
      <c r="E538" s="26"/>
      <c r="F538" s="26"/>
      <c r="G538" s="26"/>
    </row>
    <row r="539" customFormat="false" ht="15" hidden="false" customHeight="false" outlineLevel="0" collapsed="false">
      <c r="A539" s="26"/>
      <c r="B539" s="26"/>
      <c r="C539" s="26"/>
      <c r="D539" s="26"/>
      <c r="E539" s="26"/>
      <c r="F539" s="26"/>
      <c r="G539" s="26"/>
    </row>
    <row r="540" customFormat="false" ht="15" hidden="false" customHeight="false" outlineLevel="0" collapsed="false">
      <c r="A540" s="26"/>
      <c r="B540" s="26"/>
      <c r="C540" s="26"/>
      <c r="D540" s="26"/>
      <c r="E540" s="26"/>
      <c r="F540" s="26"/>
      <c r="G540" s="26"/>
    </row>
    <row r="541" customFormat="false" ht="15" hidden="false" customHeight="false" outlineLevel="0" collapsed="false">
      <c r="A541" s="26"/>
      <c r="B541" s="26"/>
      <c r="C541" s="26"/>
      <c r="D541" s="26"/>
      <c r="E541" s="26"/>
      <c r="F541" s="26"/>
      <c r="G541" s="26"/>
    </row>
    <row r="542" customFormat="false" ht="15" hidden="false" customHeight="false" outlineLevel="0" collapsed="false">
      <c r="A542" s="26"/>
      <c r="B542" s="26"/>
      <c r="C542" s="26"/>
      <c r="D542" s="26"/>
      <c r="E542" s="26"/>
      <c r="F542" s="26"/>
      <c r="G542" s="26"/>
    </row>
    <row r="543" customFormat="false" ht="15" hidden="false" customHeight="false" outlineLevel="0" collapsed="false">
      <c r="A543" s="26"/>
      <c r="B543" s="26"/>
      <c r="C543" s="26"/>
      <c r="D543" s="26"/>
      <c r="E543" s="26"/>
      <c r="F543" s="26"/>
      <c r="G543" s="26"/>
    </row>
    <row r="544" customFormat="false" ht="15" hidden="false" customHeight="false" outlineLevel="0" collapsed="false">
      <c r="A544" s="26"/>
      <c r="B544" s="26"/>
      <c r="C544" s="26"/>
      <c r="D544" s="26"/>
      <c r="E544" s="26"/>
      <c r="F544" s="26"/>
      <c r="G544" s="26"/>
    </row>
    <row r="545" customFormat="false" ht="15" hidden="false" customHeight="false" outlineLevel="0" collapsed="false">
      <c r="A545" s="26"/>
      <c r="B545" s="26"/>
      <c r="C545" s="26"/>
      <c r="D545" s="26"/>
      <c r="E545" s="26"/>
      <c r="F545" s="26"/>
      <c r="G545" s="26"/>
    </row>
    <row r="546" customFormat="false" ht="15" hidden="false" customHeight="false" outlineLevel="0" collapsed="false">
      <c r="A546" s="26"/>
      <c r="B546" s="26"/>
      <c r="C546" s="26"/>
      <c r="D546" s="26"/>
      <c r="E546" s="26"/>
      <c r="F546" s="26"/>
      <c r="G546" s="26"/>
    </row>
    <row r="547" customFormat="false" ht="15" hidden="false" customHeight="false" outlineLevel="0" collapsed="false">
      <c r="A547" s="26"/>
      <c r="B547" s="26"/>
      <c r="C547" s="26"/>
      <c r="D547" s="26"/>
      <c r="E547" s="26"/>
      <c r="F547" s="26"/>
      <c r="G547" s="26"/>
    </row>
    <row r="548" customFormat="false" ht="15" hidden="false" customHeight="false" outlineLevel="0" collapsed="false">
      <c r="A548" s="26"/>
      <c r="B548" s="26"/>
      <c r="C548" s="26"/>
      <c r="D548" s="26"/>
      <c r="E548" s="26"/>
      <c r="F548" s="26"/>
      <c r="G548" s="26"/>
    </row>
    <row r="549" customFormat="false" ht="15" hidden="false" customHeight="false" outlineLevel="0" collapsed="false">
      <c r="A549" s="26"/>
      <c r="B549" s="26"/>
      <c r="C549" s="26"/>
      <c r="D549" s="26"/>
      <c r="E549" s="26"/>
      <c r="F549" s="26"/>
      <c r="G549" s="26"/>
    </row>
    <row r="550" customFormat="false" ht="15" hidden="false" customHeight="false" outlineLevel="0" collapsed="false">
      <c r="A550" s="26"/>
      <c r="B550" s="26"/>
      <c r="C550" s="26"/>
      <c r="D550" s="26"/>
      <c r="E550" s="26"/>
      <c r="F550" s="26"/>
      <c r="G550" s="26"/>
    </row>
    <row r="551" customFormat="false" ht="15" hidden="false" customHeight="false" outlineLevel="0" collapsed="false">
      <c r="A551" s="26"/>
      <c r="B551" s="26"/>
      <c r="C551" s="26"/>
      <c r="D551" s="26"/>
      <c r="E551" s="26"/>
      <c r="F551" s="26"/>
      <c r="G551" s="26"/>
    </row>
    <row r="552" customFormat="false" ht="15" hidden="false" customHeight="false" outlineLevel="0" collapsed="false">
      <c r="A552" s="26"/>
      <c r="B552" s="26"/>
      <c r="C552" s="26"/>
      <c r="D552" s="26"/>
      <c r="E552" s="26"/>
      <c r="F552" s="26"/>
      <c r="G552" s="26"/>
    </row>
    <row r="553" customFormat="false" ht="15" hidden="false" customHeight="false" outlineLevel="0" collapsed="false">
      <c r="A553" s="26"/>
      <c r="B553" s="26"/>
      <c r="C553" s="26"/>
      <c r="D553" s="26"/>
      <c r="E553" s="26"/>
      <c r="F553" s="26"/>
      <c r="G553" s="26"/>
    </row>
    <row r="554" customFormat="false" ht="15" hidden="false" customHeight="false" outlineLevel="0" collapsed="false">
      <c r="A554" s="26"/>
      <c r="B554" s="26"/>
      <c r="C554" s="26"/>
      <c r="D554" s="26"/>
      <c r="E554" s="26"/>
      <c r="F554" s="26"/>
      <c r="G554" s="26"/>
    </row>
    <row r="555" customFormat="false" ht="15" hidden="false" customHeight="false" outlineLevel="0" collapsed="false">
      <c r="A555" s="26"/>
      <c r="B555" s="26"/>
      <c r="C555" s="26"/>
      <c r="D555" s="26"/>
      <c r="E555" s="26"/>
      <c r="F555" s="26"/>
      <c r="G555" s="26"/>
    </row>
    <row r="556" customFormat="false" ht="15" hidden="false" customHeight="false" outlineLevel="0" collapsed="false">
      <c r="A556" s="26"/>
      <c r="B556" s="26"/>
      <c r="C556" s="26"/>
      <c r="D556" s="26"/>
      <c r="E556" s="26"/>
      <c r="F556" s="26"/>
      <c r="G556" s="26"/>
    </row>
    <row r="557" customFormat="false" ht="15" hidden="false" customHeight="false" outlineLevel="0" collapsed="false">
      <c r="A557" s="26"/>
      <c r="B557" s="26"/>
      <c r="C557" s="26"/>
      <c r="D557" s="26"/>
      <c r="E557" s="26"/>
      <c r="F557" s="26"/>
      <c r="G557" s="26"/>
    </row>
    <row r="558" customFormat="false" ht="15" hidden="false" customHeight="false" outlineLevel="0" collapsed="false">
      <c r="A558" s="26"/>
      <c r="B558" s="26"/>
      <c r="C558" s="26"/>
      <c r="D558" s="26"/>
      <c r="E558" s="26"/>
      <c r="F558" s="26"/>
      <c r="G558" s="26"/>
    </row>
    <row r="559" customFormat="false" ht="15" hidden="false" customHeight="false" outlineLevel="0" collapsed="false">
      <c r="A559" s="26"/>
      <c r="B559" s="26"/>
      <c r="C559" s="26"/>
      <c r="D559" s="26"/>
      <c r="E559" s="26"/>
      <c r="F559" s="26"/>
      <c r="G559" s="26"/>
    </row>
    <row r="560" customFormat="false" ht="15" hidden="false" customHeight="false" outlineLevel="0" collapsed="false">
      <c r="A560" s="26"/>
      <c r="B560" s="26"/>
      <c r="C560" s="26"/>
      <c r="D560" s="26"/>
      <c r="E560" s="26"/>
      <c r="F560" s="26"/>
      <c r="G560" s="26"/>
    </row>
    <row r="561" customFormat="false" ht="15" hidden="false" customHeight="false" outlineLevel="0" collapsed="false">
      <c r="A561" s="26"/>
      <c r="B561" s="26"/>
      <c r="C561" s="26"/>
      <c r="D561" s="26"/>
      <c r="E561" s="26"/>
      <c r="F561" s="26"/>
      <c r="G561" s="26"/>
    </row>
    <row r="562" customFormat="false" ht="15" hidden="false" customHeight="false" outlineLevel="0" collapsed="false">
      <c r="A562" s="26"/>
      <c r="B562" s="26"/>
      <c r="C562" s="26"/>
      <c r="D562" s="26"/>
      <c r="E562" s="26"/>
      <c r="F562" s="26"/>
      <c r="G562" s="26"/>
    </row>
    <row r="563" customFormat="false" ht="15" hidden="false" customHeight="false" outlineLevel="0" collapsed="false">
      <c r="A563" s="26"/>
      <c r="B563" s="26"/>
      <c r="C563" s="26"/>
      <c r="D563" s="26"/>
      <c r="E563" s="26"/>
      <c r="F563" s="26"/>
      <c r="G563" s="26"/>
    </row>
    <row r="564" customFormat="false" ht="15" hidden="false" customHeight="false" outlineLevel="0" collapsed="false">
      <c r="A564" s="26"/>
      <c r="B564" s="26"/>
      <c r="C564" s="26"/>
      <c r="D564" s="26"/>
      <c r="E564" s="26"/>
      <c r="F564" s="26"/>
      <c r="G564" s="26"/>
    </row>
    <row r="565" customFormat="false" ht="15" hidden="false" customHeight="false" outlineLevel="0" collapsed="false">
      <c r="A565" s="26"/>
      <c r="B565" s="26"/>
      <c r="C565" s="26"/>
      <c r="D565" s="26"/>
      <c r="E565" s="26"/>
      <c r="F565" s="26"/>
      <c r="G565" s="26"/>
    </row>
    <row r="566" customFormat="false" ht="15" hidden="false" customHeight="false" outlineLevel="0" collapsed="false">
      <c r="A566" s="26"/>
      <c r="B566" s="26"/>
      <c r="C566" s="26"/>
      <c r="D566" s="26"/>
      <c r="E566" s="26"/>
      <c r="F566" s="26"/>
      <c r="G566" s="26"/>
    </row>
    <row r="567" customFormat="false" ht="15" hidden="false" customHeight="false" outlineLevel="0" collapsed="false">
      <c r="A567" s="26"/>
      <c r="B567" s="26"/>
      <c r="C567" s="26"/>
      <c r="D567" s="26"/>
      <c r="E567" s="26"/>
      <c r="F567" s="26"/>
      <c r="G567" s="26"/>
    </row>
    <row r="568" customFormat="false" ht="15" hidden="false" customHeight="false" outlineLevel="0" collapsed="false">
      <c r="A568" s="26"/>
      <c r="B568" s="26"/>
      <c r="C568" s="26"/>
      <c r="D568" s="26"/>
      <c r="E568" s="26"/>
      <c r="F568" s="26"/>
      <c r="G568" s="26"/>
    </row>
    <row r="569" customFormat="false" ht="15" hidden="false" customHeight="false" outlineLevel="0" collapsed="false">
      <c r="A569" s="26"/>
      <c r="B569" s="26"/>
      <c r="C569" s="26"/>
      <c r="D569" s="26"/>
      <c r="E569" s="26"/>
      <c r="F569" s="26"/>
      <c r="G569" s="26"/>
    </row>
    <row r="570" customFormat="false" ht="15" hidden="false" customHeight="false" outlineLevel="0" collapsed="false">
      <c r="A570" s="26"/>
      <c r="B570" s="26"/>
      <c r="C570" s="26"/>
      <c r="D570" s="26"/>
      <c r="E570" s="26"/>
      <c r="F570" s="26"/>
      <c r="G570" s="26"/>
    </row>
    <row r="571" customFormat="false" ht="15" hidden="false" customHeight="false" outlineLevel="0" collapsed="false">
      <c r="A571" s="26"/>
      <c r="B571" s="26"/>
      <c r="C571" s="26"/>
      <c r="D571" s="26"/>
      <c r="E571" s="26"/>
      <c r="F571" s="26"/>
      <c r="G571" s="26"/>
    </row>
    <row r="572" customFormat="false" ht="15" hidden="false" customHeight="false" outlineLevel="0" collapsed="false">
      <c r="A572" s="26"/>
      <c r="B572" s="26"/>
      <c r="C572" s="26"/>
      <c r="D572" s="26"/>
      <c r="E572" s="26"/>
      <c r="F572" s="26"/>
      <c r="G572" s="26"/>
    </row>
    <row r="573" customFormat="false" ht="15" hidden="false" customHeight="false" outlineLevel="0" collapsed="false">
      <c r="A573" s="26"/>
      <c r="B573" s="26"/>
      <c r="C573" s="26"/>
      <c r="D573" s="26"/>
      <c r="E573" s="26"/>
      <c r="F573" s="26"/>
      <c r="G573" s="26"/>
    </row>
    <row r="574" customFormat="false" ht="15" hidden="false" customHeight="false" outlineLevel="0" collapsed="false">
      <c r="A574" s="26"/>
      <c r="B574" s="26"/>
      <c r="C574" s="26"/>
      <c r="D574" s="26"/>
      <c r="E574" s="26"/>
      <c r="F574" s="26"/>
      <c r="G574" s="26"/>
    </row>
    <row r="575" customFormat="false" ht="15" hidden="false" customHeight="false" outlineLevel="0" collapsed="false">
      <c r="A575" s="26"/>
      <c r="B575" s="26"/>
      <c r="C575" s="26"/>
      <c r="D575" s="26"/>
      <c r="E575" s="26"/>
      <c r="F575" s="26"/>
      <c r="G575" s="26"/>
    </row>
    <row r="576" customFormat="false" ht="15" hidden="false" customHeight="false" outlineLevel="0" collapsed="false">
      <c r="A576" s="26"/>
      <c r="B576" s="26"/>
      <c r="C576" s="26"/>
      <c r="D576" s="26"/>
      <c r="E576" s="26"/>
      <c r="F576" s="26"/>
      <c r="G576" s="26"/>
    </row>
    <row r="577" customFormat="false" ht="15" hidden="false" customHeight="false" outlineLevel="0" collapsed="false">
      <c r="A577" s="26"/>
      <c r="B577" s="26"/>
      <c r="C577" s="26"/>
      <c r="D577" s="26"/>
      <c r="E577" s="26"/>
      <c r="F577" s="26"/>
      <c r="G577" s="26"/>
    </row>
    <row r="578" customFormat="false" ht="15" hidden="false" customHeight="false" outlineLevel="0" collapsed="false">
      <c r="A578" s="26"/>
      <c r="B578" s="26"/>
      <c r="C578" s="26"/>
      <c r="D578" s="26"/>
      <c r="E578" s="26"/>
      <c r="F578" s="26"/>
      <c r="G578" s="26"/>
    </row>
    <row r="579" customFormat="false" ht="15" hidden="false" customHeight="false" outlineLevel="0" collapsed="false">
      <c r="A579" s="26"/>
      <c r="B579" s="26"/>
      <c r="C579" s="26"/>
      <c r="D579" s="26"/>
      <c r="E579" s="26"/>
      <c r="F579" s="26"/>
      <c r="G579" s="26"/>
    </row>
    <row r="580" customFormat="false" ht="15" hidden="false" customHeight="false" outlineLevel="0" collapsed="false">
      <c r="A580" s="26"/>
      <c r="B580" s="26"/>
      <c r="C580" s="26"/>
      <c r="D580" s="26"/>
      <c r="E580" s="26"/>
      <c r="F580" s="26"/>
      <c r="G580" s="26"/>
    </row>
    <row r="581" customFormat="false" ht="15" hidden="false" customHeight="false" outlineLevel="0" collapsed="false">
      <c r="A581" s="26"/>
      <c r="B581" s="26"/>
      <c r="C581" s="26"/>
      <c r="D581" s="26"/>
      <c r="E581" s="26"/>
      <c r="F581" s="26"/>
      <c r="G581" s="26"/>
    </row>
    <row r="582" customFormat="false" ht="15" hidden="false" customHeight="false" outlineLevel="0" collapsed="false">
      <c r="A582" s="26"/>
      <c r="B582" s="26"/>
      <c r="C582" s="26"/>
      <c r="D582" s="26"/>
      <c r="E582" s="26"/>
      <c r="F582" s="26"/>
      <c r="G582" s="26"/>
    </row>
    <row r="583" customFormat="false" ht="15" hidden="false" customHeight="false" outlineLevel="0" collapsed="false">
      <c r="A583" s="26"/>
      <c r="B583" s="26"/>
      <c r="C583" s="26"/>
      <c r="D583" s="26"/>
      <c r="E583" s="26"/>
      <c r="F583" s="26"/>
      <c r="G583" s="26"/>
    </row>
    <row r="584" customFormat="false" ht="15" hidden="false" customHeight="false" outlineLevel="0" collapsed="false">
      <c r="A584" s="26"/>
      <c r="B584" s="26"/>
      <c r="C584" s="26"/>
      <c r="D584" s="26"/>
      <c r="E584" s="26"/>
      <c r="F584" s="26"/>
      <c r="G584" s="26"/>
    </row>
    <row r="585" customFormat="false" ht="15" hidden="false" customHeight="false" outlineLevel="0" collapsed="false">
      <c r="A585" s="26"/>
      <c r="B585" s="26"/>
      <c r="C585" s="26"/>
      <c r="D585" s="26"/>
      <c r="E585" s="26"/>
      <c r="F585" s="26"/>
      <c r="G585" s="26"/>
    </row>
    <row r="586" customFormat="false" ht="15" hidden="false" customHeight="false" outlineLevel="0" collapsed="false">
      <c r="A586" s="26"/>
      <c r="B586" s="26"/>
      <c r="C586" s="26"/>
      <c r="D586" s="26"/>
      <c r="E586" s="26"/>
      <c r="F586" s="26"/>
      <c r="G586" s="26"/>
    </row>
    <row r="587" customFormat="false" ht="15" hidden="false" customHeight="false" outlineLevel="0" collapsed="false">
      <c r="A587" s="26"/>
      <c r="B587" s="26"/>
      <c r="C587" s="26"/>
      <c r="D587" s="26"/>
      <c r="E587" s="26"/>
      <c r="F587" s="26"/>
      <c r="G587" s="26"/>
    </row>
    <row r="588" customFormat="false" ht="15" hidden="false" customHeight="false" outlineLevel="0" collapsed="false">
      <c r="A588" s="26"/>
      <c r="B588" s="26"/>
      <c r="C588" s="26"/>
      <c r="D588" s="26"/>
      <c r="E588" s="26"/>
      <c r="F588" s="26"/>
      <c r="G588" s="26"/>
    </row>
    <row r="589" customFormat="false" ht="15" hidden="false" customHeight="false" outlineLevel="0" collapsed="false">
      <c r="A589" s="26"/>
      <c r="B589" s="26"/>
      <c r="C589" s="26"/>
      <c r="D589" s="26"/>
      <c r="E589" s="26"/>
      <c r="F589" s="26"/>
      <c r="G589" s="26"/>
    </row>
    <row r="590" customFormat="false" ht="15" hidden="false" customHeight="false" outlineLevel="0" collapsed="false">
      <c r="A590" s="26"/>
      <c r="B590" s="26"/>
      <c r="C590" s="26"/>
      <c r="D590" s="26"/>
      <c r="E590" s="26"/>
      <c r="F590" s="26"/>
      <c r="G590" s="26"/>
    </row>
    <row r="591" customFormat="false" ht="15" hidden="false" customHeight="false" outlineLevel="0" collapsed="false">
      <c r="A591" s="26"/>
      <c r="B591" s="26"/>
      <c r="C591" s="26"/>
      <c r="D591" s="26"/>
      <c r="E591" s="26"/>
      <c r="F591" s="26"/>
      <c r="G591" s="26"/>
    </row>
    <row r="592" customFormat="false" ht="15" hidden="false" customHeight="false" outlineLevel="0" collapsed="false">
      <c r="A592" s="26"/>
      <c r="B592" s="26"/>
      <c r="C592" s="26"/>
      <c r="D592" s="26"/>
      <c r="E592" s="26"/>
      <c r="F592" s="26"/>
      <c r="G592" s="26"/>
    </row>
    <row r="593" customFormat="false" ht="15" hidden="false" customHeight="false" outlineLevel="0" collapsed="false">
      <c r="A593" s="26"/>
      <c r="B593" s="26"/>
      <c r="C593" s="26"/>
      <c r="D593" s="26"/>
      <c r="E593" s="26"/>
      <c r="F593" s="26"/>
      <c r="G593" s="26"/>
    </row>
    <row r="594" customFormat="false" ht="15" hidden="false" customHeight="false" outlineLevel="0" collapsed="false">
      <c r="A594" s="26"/>
      <c r="B594" s="26"/>
      <c r="C594" s="26"/>
      <c r="D594" s="26"/>
      <c r="E594" s="26"/>
      <c r="F594" s="26"/>
      <c r="G594" s="26"/>
    </row>
    <row r="595" customFormat="false" ht="15" hidden="false" customHeight="false" outlineLevel="0" collapsed="false">
      <c r="A595" s="26"/>
      <c r="B595" s="26"/>
      <c r="C595" s="26"/>
      <c r="D595" s="26"/>
      <c r="E595" s="26"/>
      <c r="F595" s="26"/>
      <c r="G595" s="26"/>
    </row>
    <row r="596" customFormat="false" ht="15" hidden="false" customHeight="false" outlineLevel="0" collapsed="false">
      <c r="A596" s="26"/>
      <c r="B596" s="26"/>
      <c r="C596" s="26"/>
      <c r="D596" s="26"/>
      <c r="E596" s="26"/>
      <c r="F596" s="26"/>
      <c r="G596" s="26"/>
    </row>
    <row r="597" customFormat="false" ht="15" hidden="false" customHeight="false" outlineLevel="0" collapsed="false">
      <c r="A597" s="26"/>
      <c r="B597" s="26"/>
      <c r="C597" s="26"/>
      <c r="D597" s="26"/>
      <c r="E597" s="26"/>
      <c r="F597" s="26"/>
      <c r="G597" s="26"/>
    </row>
    <row r="598" customFormat="false" ht="15" hidden="false" customHeight="false" outlineLevel="0" collapsed="false">
      <c r="A598" s="26"/>
      <c r="B598" s="26"/>
      <c r="C598" s="26"/>
      <c r="D598" s="26"/>
      <c r="E598" s="26"/>
      <c r="F598" s="26"/>
      <c r="G598" s="26"/>
    </row>
    <row r="599" customFormat="false" ht="15" hidden="false" customHeight="false" outlineLevel="0" collapsed="false">
      <c r="A599" s="26"/>
      <c r="B599" s="26"/>
      <c r="C599" s="26"/>
      <c r="D599" s="26"/>
      <c r="E599" s="26"/>
      <c r="F599" s="26"/>
      <c r="G599" s="26"/>
    </row>
    <row r="600" customFormat="false" ht="15" hidden="false" customHeight="false" outlineLevel="0" collapsed="false">
      <c r="A600" s="26"/>
      <c r="B600" s="26"/>
      <c r="C600" s="26"/>
      <c r="D600" s="26"/>
      <c r="E600" s="26"/>
      <c r="F600" s="26"/>
      <c r="G600" s="26"/>
    </row>
    <row r="601" customFormat="false" ht="15" hidden="false" customHeight="false" outlineLevel="0" collapsed="false">
      <c r="A601" s="26"/>
      <c r="B601" s="26"/>
      <c r="C601" s="26"/>
      <c r="D601" s="26"/>
      <c r="E601" s="26"/>
      <c r="F601" s="26"/>
      <c r="G601" s="26"/>
    </row>
    <row r="602" customFormat="false" ht="15" hidden="false" customHeight="false" outlineLevel="0" collapsed="false">
      <c r="A602" s="26"/>
      <c r="B602" s="26"/>
      <c r="C602" s="26"/>
      <c r="D602" s="26"/>
      <c r="E602" s="26"/>
      <c r="F602" s="26"/>
      <c r="G602" s="26"/>
    </row>
    <row r="603" customFormat="false" ht="15" hidden="false" customHeight="false" outlineLevel="0" collapsed="false">
      <c r="A603" s="26"/>
      <c r="B603" s="26"/>
      <c r="C603" s="26"/>
      <c r="D603" s="26"/>
      <c r="E603" s="26"/>
      <c r="F603" s="26"/>
      <c r="G603" s="26"/>
    </row>
    <row r="604" customFormat="false" ht="15" hidden="false" customHeight="false" outlineLevel="0" collapsed="false">
      <c r="A604" s="26"/>
      <c r="B604" s="26"/>
      <c r="C604" s="26"/>
      <c r="D604" s="26"/>
      <c r="E604" s="26"/>
      <c r="F604" s="26"/>
      <c r="G604" s="26"/>
    </row>
    <row r="605" customFormat="false" ht="15" hidden="false" customHeight="false" outlineLevel="0" collapsed="false">
      <c r="A605" s="26"/>
      <c r="B605" s="26"/>
      <c r="C605" s="26"/>
      <c r="D605" s="26"/>
      <c r="E605" s="26"/>
      <c r="F605" s="26"/>
      <c r="G605" s="26"/>
    </row>
    <row r="606" customFormat="false" ht="15" hidden="false" customHeight="false" outlineLevel="0" collapsed="false">
      <c r="A606" s="26"/>
      <c r="B606" s="26"/>
      <c r="C606" s="26"/>
      <c r="D606" s="26"/>
      <c r="E606" s="26"/>
      <c r="F606" s="26"/>
      <c r="G606" s="26"/>
    </row>
    <row r="607" customFormat="false" ht="15" hidden="false" customHeight="false" outlineLevel="0" collapsed="false">
      <c r="A607" s="26"/>
      <c r="B607" s="26"/>
      <c r="C607" s="26"/>
      <c r="D607" s="26"/>
      <c r="E607" s="26"/>
      <c r="F607" s="26"/>
      <c r="G607" s="26"/>
    </row>
    <row r="608" customFormat="false" ht="15" hidden="false" customHeight="false" outlineLevel="0" collapsed="false">
      <c r="A608" s="26"/>
      <c r="B608" s="26"/>
      <c r="C608" s="26"/>
      <c r="D608" s="26"/>
      <c r="E608" s="26"/>
      <c r="F608" s="26"/>
      <c r="G608" s="26"/>
    </row>
    <row r="609" customFormat="false" ht="15" hidden="false" customHeight="false" outlineLevel="0" collapsed="false">
      <c r="A609" s="26"/>
      <c r="B609" s="26"/>
      <c r="C609" s="26"/>
      <c r="D609" s="26"/>
      <c r="E609" s="26"/>
      <c r="F609" s="26"/>
      <c r="G609" s="26"/>
    </row>
    <row r="610" customFormat="false" ht="15" hidden="false" customHeight="false" outlineLevel="0" collapsed="false">
      <c r="A610" s="26"/>
      <c r="B610" s="26"/>
      <c r="C610" s="26"/>
      <c r="D610" s="26"/>
      <c r="E610" s="26"/>
      <c r="F610" s="26"/>
      <c r="G610" s="26"/>
    </row>
    <row r="611" customFormat="false" ht="15" hidden="false" customHeight="false" outlineLevel="0" collapsed="false">
      <c r="A611" s="26"/>
      <c r="B611" s="26"/>
      <c r="C611" s="26"/>
      <c r="D611" s="26"/>
      <c r="E611" s="26"/>
      <c r="F611" s="26"/>
      <c r="G611" s="26"/>
    </row>
    <row r="612" customFormat="false" ht="15" hidden="false" customHeight="false" outlineLevel="0" collapsed="false">
      <c r="A612" s="26"/>
      <c r="B612" s="26"/>
      <c r="C612" s="26"/>
      <c r="D612" s="26"/>
      <c r="E612" s="26"/>
      <c r="F612" s="26"/>
      <c r="G612" s="26"/>
    </row>
    <row r="613" customFormat="false" ht="15" hidden="false" customHeight="false" outlineLevel="0" collapsed="false">
      <c r="A613" s="26"/>
      <c r="B613" s="26"/>
      <c r="C613" s="26"/>
      <c r="D613" s="26"/>
      <c r="E613" s="26"/>
      <c r="F613" s="26"/>
      <c r="G613" s="26"/>
    </row>
    <row r="614" customFormat="false" ht="15" hidden="false" customHeight="false" outlineLevel="0" collapsed="false">
      <c r="A614" s="26"/>
      <c r="B614" s="26"/>
      <c r="C614" s="26"/>
      <c r="D614" s="26"/>
      <c r="E614" s="26"/>
      <c r="F614" s="26"/>
      <c r="G614" s="26"/>
    </row>
    <row r="615" customFormat="false" ht="15" hidden="false" customHeight="false" outlineLevel="0" collapsed="false">
      <c r="A615" s="26"/>
      <c r="B615" s="26"/>
      <c r="C615" s="26"/>
      <c r="D615" s="26"/>
      <c r="E615" s="26"/>
      <c r="F615" s="26"/>
      <c r="G615" s="26"/>
    </row>
    <row r="616" customFormat="false" ht="15" hidden="false" customHeight="false" outlineLevel="0" collapsed="false">
      <c r="A616" s="26"/>
      <c r="B616" s="26"/>
      <c r="C616" s="26"/>
      <c r="D616" s="26"/>
      <c r="E616" s="26"/>
      <c r="F616" s="26"/>
      <c r="G616" s="26"/>
    </row>
    <row r="617" customFormat="false" ht="15" hidden="false" customHeight="false" outlineLevel="0" collapsed="false">
      <c r="A617" s="26"/>
      <c r="B617" s="26"/>
      <c r="C617" s="26"/>
      <c r="D617" s="26"/>
      <c r="E617" s="26"/>
      <c r="F617" s="26"/>
      <c r="G617" s="26"/>
    </row>
    <row r="618" customFormat="false" ht="15" hidden="false" customHeight="false" outlineLevel="0" collapsed="false">
      <c r="A618" s="26"/>
      <c r="B618" s="26"/>
      <c r="C618" s="26"/>
      <c r="D618" s="26"/>
      <c r="E618" s="26"/>
      <c r="F618" s="26"/>
      <c r="G618" s="26"/>
    </row>
    <row r="619" customFormat="false" ht="15" hidden="false" customHeight="false" outlineLevel="0" collapsed="false">
      <c r="A619" s="26"/>
      <c r="B619" s="26"/>
      <c r="C619" s="26"/>
      <c r="D619" s="26"/>
      <c r="E619" s="26"/>
      <c r="F619" s="26"/>
      <c r="G619" s="26"/>
    </row>
    <row r="620" customFormat="false" ht="15" hidden="false" customHeight="false" outlineLevel="0" collapsed="false">
      <c r="A620" s="26"/>
      <c r="B620" s="26"/>
      <c r="C620" s="26"/>
      <c r="D620" s="26"/>
      <c r="E620" s="26"/>
      <c r="F620" s="26"/>
      <c r="G620" s="26"/>
    </row>
    <row r="621" customFormat="false" ht="15" hidden="false" customHeight="false" outlineLevel="0" collapsed="false">
      <c r="A621" s="26"/>
      <c r="B621" s="26"/>
      <c r="C621" s="26"/>
      <c r="D621" s="26"/>
      <c r="E621" s="26"/>
      <c r="F621" s="26"/>
      <c r="G621" s="26"/>
    </row>
    <row r="622" customFormat="false" ht="15" hidden="false" customHeight="false" outlineLevel="0" collapsed="false">
      <c r="A622" s="26"/>
      <c r="B622" s="26"/>
      <c r="C622" s="26"/>
      <c r="D622" s="26"/>
      <c r="E622" s="26"/>
      <c r="F622" s="26"/>
      <c r="G622" s="26"/>
    </row>
    <row r="623" customFormat="false" ht="15" hidden="false" customHeight="false" outlineLevel="0" collapsed="false">
      <c r="A623" s="26"/>
      <c r="B623" s="26"/>
      <c r="C623" s="26"/>
      <c r="D623" s="26"/>
      <c r="E623" s="26"/>
      <c r="F623" s="26"/>
      <c r="G623" s="26"/>
    </row>
    <row r="624" customFormat="false" ht="15" hidden="false" customHeight="false" outlineLevel="0" collapsed="false">
      <c r="A624" s="26"/>
      <c r="B624" s="26"/>
      <c r="C624" s="26"/>
      <c r="D624" s="26"/>
      <c r="E624" s="26"/>
      <c r="F624" s="26"/>
      <c r="G624" s="26"/>
    </row>
    <row r="625" customFormat="false" ht="15" hidden="false" customHeight="false" outlineLevel="0" collapsed="false">
      <c r="A625" s="26"/>
      <c r="B625" s="26"/>
      <c r="C625" s="26"/>
      <c r="D625" s="26"/>
      <c r="E625" s="26"/>
      <c r="F625" s="26"/>
      <c r="G625" s="26"/>
    </row>
    <row r="626" customFormat="false" ht="15" hidden="false" customHeight="false" outlineLevel="0" collapsed="false">
      <c r="A626" s="26"/>
      <c r="B626" s="26"/>
      <c r="C626" s="26"/>
      <c r="D626" s="26"/>
      <c r="E626" s="26"/>
      <c r="F626" s="26"/>
      <c r="G626" s="26"/>
    </row>
    <row r="627" customFormat="false" ht="15" hidden="false" customHeight="false" outlineLevel="0" collapsed="false">
      <c r="A627" s="26"/>
      <c r="B627" s="26"/>
      <c r="C627" s="26"/>
      <c r="D627" s="26"/>
      <c r="E627" s="26"/>
      <c r="F627" s="26"/>
      <c r="G627" s="26"/>
    </row>
    <row r="628" customFormat="false" ht="15" hidden="false" customHeight="false" outlineLevel="0" collapsed="false">
      <c r="A628" s="26"/>
      <c r="B628" s="26"/>
      <c r="C628" s="26"/>
      <c r="D628" s="26"/>
      <c r="E628" s="26"/>
      <c r="F628" s="26"/>
      <c r="G628" s="26"/>
    </row>
    <row r="629" customFormat="false" ht="15" hidden="false" customHeight="false" outlineLevel="0" collapsed="false">
      <c r="A629" s="26"/>
      <c r="B629" s="26"/>
      <c r="C629" s="26"/>
      <c r="D629" s="26"/>
      <c r="E629" s="26"/>
      <c r="F629" s="26"/>
      <c r="G629" s="26"/>
    </row>
    <row r="630" customFormat="false" ht="15" hidden="false" customHeight="false" outlineLevel="0" collapsed="false">
      <c r="A630" s="26"/>
      <c r="B630" s="26"/>
      <c r="C630" s="26"/>
      <c r="D630" s="26"/>
      <c r="E630" s="26"/>
      <c r="F630" s="26"/>
      <c r="G630" s="26"/>
    </row>
    <row r="631" customFormat="false" ht="15" hidden="false" customHeight="false" outlineLevel="0" collapsed="false">
      <c r="A631" s="26"/>
      <c r="B631" s="26"/>
      <c r="C631" s="26"/>
      <c r="D631" s="26"/>
      <c r="E631" s="26"/>
      <c r="F631" s="26"/>
      <c r="G631" s="26"/>
    </row>
    <row r="632" customFormat="false" ht="15" hidden="false" customHeight="false" outlineLevel="0" collapsed="false">
      <c r="A632" s="26"/>
      <c r="B632" s="26"/>
      <c r="C632" s="26"/>
      <c r="D632" s="26"/>
      <c r="E632" s="26"/>
      <c r="F632" s="26"/>
      <c r="G632" s="26"/>
    </row>
    <row r="633" customFormat="false" ht="15" hidden="false" customHeight="false" outlineLevel="0" collapsed="false">
      <c r="A633" s="26"/>
      <c r="B633" s="26"/>
      <c r="C633" s="26"/>
      <c r="D633" s="26"/>
      <c r="E633" s="26"/>
      <c r="F633" s="26"/>
      <c r="G633" s="26"/>
    </row>
    <row r="634" customFormat="false" ht="15" hidden="false" customHeight="false" outlineLevel="0" collapsed="false">
      <c r="A634" s="26"/>
      <c r="B634" s="26"/>
      <c r="C634" s="26"/>
      <c r="D634" s="26"/>
      <c r="E634" s="26"/>
      <c r="F634" s="26"/>
      <c r="G634" s="26"/>
    </row>
    <row r="635" customFormat="false" ht="15" hidden="false" customHeight="false" outlineLevel="0" collapsed="false">
      <c r="A635" s="26"/>
      <c r="B635" s="26"/>
      <c r="C635" s="26"/>
      <c r="D635" s="26"/>
      <c r="E635" s="26"/>
      <c r="F635" s="26"/>
      <c r="G635" s="26"/>
    </row>
    <row r="636" customFormat="false" ht="15" hidden="false" customHeight="false" outlineLevel="0" collapsed="false">
      <c r="A636" s="26"/>
      <c r="B636" s="26"/>
      <c r="C636" s="26"/>
      <c r="D636" s="26"/>
      <c r="E636" s="26"/>
      <c r="F636" s="26"/>
      <c r="G636" s="26"/>
    </row>
    <row r="637" customFormat="false" ht="15" hidden="false" customHeight="false" outlineLevel="0" collapsed="false">
      <c r="A637" s="26"/>
      <c r="B637" s="26"/>
      <c r="C637" s="26"/>
      <c r="D637" s="26"/>
      <c r="E637" s="26"/>
      <c r="F637" s="26"/>
      <c r="G637" s="26"/>
    </row>
    <row r="638" customFormat="false" ht="15" hidden="false" customHeight="false" outlineLevel="0" collapsed="false">
      <c r="A638" s="26"/>
      <c r="B638" s="26"/>
      <c r="C638" s="26"/>
      <c r="D638" s="26"/>
      <c r="E638" s="26"/>
      <c r="F638" s="26"/>
      <c r="G638" s="26"/>
    </row>
    <row r="639" customFormat="false" ht="15" hidden="false" customHeight="false" outlineLevel="0" collapsed="false">
      <c r="A639" s="26"/>
      <c r="B639" s="26"/>
      <c r="C639" s="26"/>
      <c r="D639" s="26"/>
      <c r="E639" s="26"/>
      <c r="F639" s="26"/>
      <c r="G639" s="26"/>
    </row>
    <row r="640" customFormat="false" ht="15" hidden="false" customHeight="false" outlineLevel="0" collapsed="false">
      <c r="A640" s="26"/>
      <c r="B640" s="26"/>
      <c r="C640" s="26"/>
      <c r="D640" s="26"/>
      <c r="E640" s="26"/>
      <c r="F640" s="26"/>
      <c r="G640" s="26"/>
    </row>
    <row r="641" customFormat="false" ht="15" hidden="false" customHeight="false" outlineLevel="0" collapsed="false">
      <c r="A641" s="26"/>
      <c r="B641" s="26"/>
      <c r="C641" s="26"/>
      <c r="D641" s="26"/>
      <c r="E641" s="26"/>
      <c r="F641" s="26"/>
      <c r="G641" s="26"/>
    </row>
    <row r="642" customFormat="false" ht="15" hidden="false" customHeight="false" outlineLevel="0" collapsed="false">
      <c r="A642" s="26"/>
      <c r="B642" s="26"/>
      <c r="C642" s="26"/>
      <c r="D642" s="26"/>
      <c r="E642" s="26"/>
      <c r="F642" s="26"/>
      <c r="G642" s="26"/>
    </row>
    <row r="643" customFormat="false" ht="15" hidden="false" customHeight="false" outlineLevel="0" collapsed="false">
      <c r="A643" s="26"/>
      <c r="B643" s="26"/>
      <c r="C643" s="26"/>
      <c r="D643" s="26"/>
      <c r="E643" s="26"/>
      <c r="F643" s="26"/>
      <c r="G643" s="26"/>
    </row>
    <row r="644" customFormat="false" ht="15" hidden="false" customHeight="false" outlineLevel="0" collapsed="false">
      <c r="A644" s="26"/>
      <c r="B644" s="26"/>
      <c r="C644" s="26"/>
      <c r="D644" s="26"/>
      <c r="E644" s="26"/>
      <c r="F644" s="26"/>
      <c r="G644" s="26"/>
    </row>
    <row r="645" customFormat="false" ht="15" hidden="false" customHeight="false" outlineLevel="0" collapsed="false">
      <c r="A645" s="26"/>
      <c r="B645" s="26"/>
      <c r="C645" s="26"/>
      <c r="D645" s="26"/>
      <c r="E645" s="26"/>
      <c r="F645" s="26"/>
      <c r="G645" s="26"/>
    </row>
    <row r="646" customFormat="false" ht="15" hidden="false" customHeight="false" outlineLevel="0" collapsed="false">
      <c r="A646" s="26"/>
      <c r="B646" s="26"/>
      <c r="C646" s="26"/>
      <c r="D646" s="26"/>
      <c r="E646" s="26"/>
      <c r="F646" s="26"/>
      <c r="G646" s="26"/>
    </row>
    <row r="647" customFormat="false" ht="15" hidden="false" customHeight="false" outlineLevel="0" collapsed="false">
      <c r="A647" s="26"/>
      <c r="B647" s="26"/>
      <c r="C647" s="26"/>
      <c r="D647" s="26"/>
      <c r="E647" s="26"/>
      <c r="F647" s="26"/>
      <c r="G647" s="26"/>
    </row>
    <row r="648" customFormat="false" ht="15" hidden="false" customHeight="false" outlineLevel="0" collapsed="false">
      <c r="A648" s="26"/>
      <c r="B648" s="26"/>
      <c r="C648" s="26"/>
      <c r="D648" s="26"/>
      <c r="E648" s="26"/>
      <c r="F648" s="26"/>
      <c r="G648" s="26"/>
    </row>
    <row r="649" customFormat="false" ht="15" hidden="false" customHeight="false" outlineLevel="0" collapsed="false">
      <c r="A649" s="26"/>
      <c r="B649" s="26"/>
      <c r="C649" s="26"/>
      <c r="D649" s="26"/>
      <c r="E649" s="26"/>
      <c r="F649" s="26"/>
      <c r="G649" s="26"/>
    </row>
    <row r="650" customFormat="false" ht="15" hidden="false" customHeight="false" outlineLevel="0" collapsed="false">
      <c r="A650" s="26"/>
      <c r="B650" s="26"/>
      <c r="C650" s="26"/>
      <c r="D650" s="26"/>
      <c r="E650" s="26"/>
      <c r="F650" s="26"/>
      <c r="G650" s="26"/>
    </row>
    <row r="651" customFormat="false" ht="15" hidden="false" customHeight="false" outlineLevel="0" collapsed="false">
      <c r="A651" s="26"/>
      <c r="B651" s="26"/>
      <c r="C651" s="26"/>
      <c r="D651" s="26"/>
      <c r="E651" s="26"/>
      <c r="F651" s="26"/>
      <c r="G651" s="26"/>
    </row>
    <row r="652" customFormat="false" ht="15" hidden="false" customHeight="false" outlineLevel="0" collapsed="false">
      <c r="A652" s="26"/>
      <c r="B652" s="26"/>
      <c r="C652" s="26"/>
      <c r="D652" s="26"/>
      <c r="E652" s="26"/>
      <c r="F652" s="26"/>
      <c r="G652" s="26"/>
    </row>
    <row r="653" customFormat="false" ht="15" hidden="false" customHeight="false" outlineLevel="0" collapsed="false">
      <c r="A653" s="26"/>
      <c r="B653" s="26"/>
      <c r="C653" s="26"/>
      <c r="D653" s="26"/>
      <c r="E653" s="26"/>
      <c r="F653" s="26"/>
      <c r="G653" s="26"/>
    </row>
    <row r="654" customFormat="false" ht="15" hidden="false" customHeight="false" outlineLevel="0" collapsed="false">
      <c r="A654" s="26"/>
      <c r="B654" s="26"/>
      <c r="C654" s="26"/>
      <c r="D654" s="26"/>
      <c r="E654" s="26"/>
      <c r="F654" s="26"/>
      <c r="G654" s="26"/>
    </row>
    <row r="655" customFormat="false" ht="15" hidden="false" customHeight="false" outlineLevel="0" collapsed="false">
      <c r="A655" s="26"/>
      <c r="B655" s="26"/>
      <c r="C655" s="26"/>
      <c r="D655" s="26"/>
      <c r="E655" s="26"/>
      <c r="F655" s="26"/>
      <c r="G655" s="26"/>
    </row>
    <row r="656" customFormat="false" ht="15" hidden="false" customHeight="false" outlineLevel="0" collapsed="false">
      <c r="A656" s="26"/>
      <c r="B656" s="26"/>
      <c r="C656" s="26"/>
      <c r="D656" s="26"/>
      <c r="E656" s="26"/>
      <c r="F656" s="26"/>
      <c r="G656" s="26"/>
    </row>
    <row r="657" customFormat="false" ht="15" hidden="false" customHeight="false" outlineLevel="0" collapsed="false">
      <c r="A657" s="26"/>
      <c r="B657" s="26"/>
      <c r="C657" s="26"/>
      <c r="D657" s="26"/>
      <c r="E657" s="26"/>
      <c r="F657" s="26"/>
      <c r="G657" s="26"/>
    </row>
    <row r="658" customFormat="false" ht="15" hidden="false" customHeight="false" outlineLevel="0" collapsed="false">
      <c r="A658" s="26"/>
      <c r="B658" s="26"/>
      <c r="C658" s="26"/>
      <c r="D658" s="26"/>
      <c r="E658" s="26"/>
      <c r="F658" s="26"/>
      <c r="G658" s="26"/>
    </row>
    <row r="659" customFormat="false" ht="15" hidden="false" customHeight="false" outlineLevel="0" collapsed="false">
      <c r="A659" s="26"/>
      <c r="B659" s="26"/>
      <c r="C659" s="26"/>
      <c r="D659" s="26"/>
      <c r="E659" s="26"/>
      <c r="F659" s="26"/>
      <c r="G659" s="26"/>
    </row>
    <row r="660" customFormat="false" ht="15" hidden="false" customHeight="false" outlineLevel="0" collapsed="false">
      <c r="A660" s="26"/>
      <c r="B660" s="26"/>
      <c r="C660" s="26"/>
      <c r="D660" s="26"/>
      <c r="E660" s="26"/>
      <c r="F660" s="26"/>
      <c r="G660" s="26"/>
    </row>
    <row r="661" customFormat="false" ht="15" hidden="false" customHeight="false" outlineLevel="0" collapsed="false">
      <c r="A661" s="26"/>
      <c r="B661" s="26"/>
      <c r="C661" s="26"/>
      <c r="D661" s="26"/>
      <c r="E661" s="26"/>
      <c r="F661" s="26"/>
      <c r="G661" s="26"/>
    </row>
    <row r="662" customFormat="false" ht="15" hidden="false" customHeight="false" outlineLevel="0" collapsed="false">
      <c r="A662" s="26"/>
      <c r="B662" s="26"/>
      <c r="C662" s="26"/>
      <c r="D662" s="26"/>
      <c r="E662" s="26"/>
      <c r="F662" s="26"/>
      <c r="G662" s="26"/>
    </row>
    <row r="663" customFormat="false" ht="15" hidden="false" customHeight="false" outlineLevel="0" collapsed="false">
      <c r="A663" s="26"/>
      <c r="B663" s="26"/>
      <c r="C663" s="26"/>
      <c r="D663" s="26"/>
      <c r="E663" s="26"/>
      <c r="F663" s="26"/>
      <c r="G663" s="26"/>
    </row>
    <row r="664" customFormat="false" ht="15" hidden="false" customHeight="false" outlineLevel="0" collapsed="false">
      <c r="A664" s="26"/>
      <c r="B664" s="26"/>
      <c r="C664" s="26"/>
      <c r="D664" s="26"/>
      <c r="E664" s="26"/>
      <c r="F664" s="26"/>
      <c r="G664" s="26"/>
    </row>
    <row r="665" customFormat="false" ht="15" hidden="false" customHeight="false" outlineLevel="0" collapsed="false">
      <c r="A665" s="26"/>
      <c r="B665" s="26"/>
      <c r="C665" s="26"/>
      <c r="D665" s="26"/>
      <c r="E665" s="26"/>
      <c r="F665" s="26"/>
      <c r="G665" s="26"/>
    </row>
    <row r="666" customFormat="false" ht="15" hidden="false" customHeight="false" outlineLevel="0" collapsed="false">
      <c r="A666" s="26"/>
      <c r="B666" s="26"/>
      <c r="C666" s="26"/>
      <c r="D666" s="26"/>
      <c r="E666" s="26"/>
      <c r="F666" s="26"/>
      <c r="G666" s="26"/>
    </row>
    <row r="667" customFormat="false" ht="15" hidden="false" customHeight="false" outlineLevel="0" collapsed="false">
      <c r="A667" s="26"/>
      <c r="B667" s="26"/>
      <c r="C667" s="26"/>
      <c r="D667" s="26"/>
      <c r="E667" s="26"/>
      <c r="F667" s="26"/>
      <c r="G667" s="26"/>
    </row>
    <row r="668" customFormat="false" ht="15" hidden="false" customHeight="false" outlineLevel="0" collapsed="false">
      <c r="A668" s="26"/>
      <c r="B668" s="26"/>
      <c r="C668" s="26"/>
      <c r="D668" s="26"/>
      <c r="E668" s="26"/>
      <c r="F668" s="26"/>
      <c r="G668" s="26"/>
    </row>
    <row r="669" customFormat="false" ht="15" hidden="false" customHeight="false" outlineLevel="0" collapsed="false">
      <c r="A669" s="26"/>
      <c r="B669" s="26"/>
      <c r="C669" s="26"/>
      <c r="D669" s="26"/>
      <c r="E669" s="26"/>
      <c r="F669" s="26"/>
      <c r="G669" s="26"/>
    </row>
    <row r="670" customFormat="false" ht="15" hidden="false" customHeight="false" outlineLevel="0" collapsed="false">
      <c r="A670" s="26"/>
      <c r="B670" s="26"/>
      <c r="C670" s="26"/>
      <c r="D670" s="26"/>
      <c r="E670" s="26"/>
      <c r="F670" s="26"/>
      <c r="G670" s="26"/>
    </row>
    <row r="671" customFormat="false" ht="15" hidden="false" customHeight="false" outlineLevel="0" collapsed="false">
      <c r="A671" s="26"/>
      <c r="B671" s="26"/>
      <c r="C671" s="26"/>
      <c r="D671" s="26"/>
      <c r="E671" s="26"/>
      <c r="F671" s="26"/>
      <c r="G671" s="26"/>
    </row>
    <row r="672" customFormat="false" ht="15" hidden="false" customHeight="false" outlineLevel="0" collapsed="false">
      <c r="A672" s="26"/>
      <c r="B672" s="26"/>
      <c r="C672" s="26"/>
      <c r="D672" s="26"/>
      <c r="E672" s="26"/>
      <c r="F672" s="26"/>
      <c r="G672" s="26"/>
    </row>
    <row r="673" customFormat="false" ht="15" hidden="false" customHeight="false" outlineLevel="0" collapsed="false">
      <c r="A673" s="26"/>
      <c r="B673" s="26"/>
      <c r="C673" s="26"/>
      <c r="D673" s="26"/>
      <c r="E673" s="26"/>
      <c r="F673" s="26"/>
      <c r="G673" s="26"/>
    </row>
    <row r="674" customFormat="false" ht="15" hidden="false" customHeight="false" outlineLevel="0" collapsed="false">
      <c r="A674" s="26"/>
      <c r="B674" s="26"/>
      <c r="C674" s="26"/>
      <c r="D674" s="26"/>
      <c r="E674" s="26"/>
      <c r="F674" s="26"/>
      <c r="G674" s="26"/>
    </row>
    <row r="675" customFormat="false" ht="15" hidden="false" customHeight="false" outlineLevel="0" collapsed="false">
      <c r="A675" s="26"/>
      <c r="B675" s="26"/>
      <c r="C675" s="26"/>
      <c r="D675" s="26"/>
      <c r="E675" s="26"/>
      <c r="F675" s="26"/>
      <c r="G675" s="26"/>
    </row>
    <row r="676" customFormat="false" ht="15" hidden="false" customHeight="false" outlineLevel="0" collapsed="false">
      <c r="A676" s="26"/>
      <c r="B676" s="26"/>
      <c r="C676" s="26"/>
      <c r="D676" s="26"/>
      <c r="E676" s="26"/>
      <c r="F676" s="26"/>
      <c r="G676" s="26"/>
    </row>
    <row r="677" customFormat="false" ht="15" hidden="false" customHeight="false" outlineLevel="0" collapsed="false">
      <c r="A677" s="26"/>
      <c r="B677" s="26"/>
      <c r="C677" s="26"/>
      <c r="D677" s="26"/>
      <c r="E677" s="26"/>
      <c r="F677" s="26"/>
      <c r="G677" s="26"/>
    </row>
    <row r="678" customFormat="false" ht="15" hidden="false" customHeight="false" outlineLevel="0" collapsed="false">
      <c r="A678" s="26"/>
      <c r="B678" s="26"/>
      <c r="C678" s="26"/>
      <c r="D678" s="26"/>
      <c r="E678" s="26"/>
      <c r="F678" s="26"/>
      <c r="G678" s="26"/>
    </row>
    <row r="679" customFormat="false" ht="15" hidden="false" customHeight="false" outlineLevel="0" collapsed="false">
      <c r="A679" s="26"/>
      <c r="B679" s="26"/>
      <c r="C679" s="26"/>
      <c r="D679" s="26"/>
      <c r="E679" s="26"/>
      <c r="F679" s="26"/>
      <c r="G679" s="26"/>
    </row>
    <row r="680" customFormat="false" ht="15" hidden="false" customHeight="false" outlineLevel="0" collapsed="false">
      <c r="A680" s="26"/>
      <c r="B680" s="26"/>
      <c r="C680" s="26"/>
      <c r="D680" s="26"/>
      <c r="E680" s="26"/>
      <c r="F680" s="26"/>
      <c r="G680" s="26"/>
    </row>
    <row r="681" customFormat="false" ht="15" hidden="false" customHeight="false" outlineLevel="0" collapsed="false">
      <c r="A681" s="26"/>
      <c r="B681" s="26"/>
      <c r="C681" s="26"/>
      <c r="D681" s="26"/>
      <c r="E681" s="26"/>
      <c r="F681" s="26"/>
      <c r="G681" s="26"/>
    </row>
    <row r="682" customFormat="false" ht="15" hidden="false" customHeight="false" outlineLevel="0" collapsed="false">
      <c r="A682" s="26"/>
      <c r="B682" s="26"/>
      <c r="C682" s="26"/>
      <c r="D682" s="26"/>
      <c r="E682" s="26"/>
      <c r="F682" s="26"/>
      <c r="G682" s="26"/>
    </row>
    <row r="683" customFormat="false" ht="15" hidden="false" customHeight="false" outlineLevel="0" collapsed="false">
      <c r="A683" s="26"/>
      <c r="B683" s="26"/>
      <c r="C683" s="26"/>
      <c r="D683" s="26"/>
      <c r="E683" s="26"/>
      <c r="F683" s="26"/>
      <c r="G683" s="26"/>
    </row>
    <row r="684" customFormat="false" ht="15" hidden="false" customHeight="false" outlineLevel="0" collapsed="false">
      <c r="A684" s="26"/>
      <c r="B684" s="26"/>
      <c r="C684" s="26"/>
      <c r="D684" s="26"/>
      <c r="E684" s="26"/>
      <c r="F684" s="26"/>
      <c r="G684" s="26"/>
    </row>
    <row r="685" customFormat="false" ht="15" hidden="false" customHeight="false" outlineLevel="0" collapsed="false">
      <c r="A685" s="26"/>
      <c r="B685" s="26"/>
      <c r="C685" s="26"/>
      <c r="D685" s="26"/>
      <c r="E685" s="26"/>
      <c r="F685" s="26"/>
      <c r="G685" s="26"/>
    </row>
    <row r="686" customFormat="false" ht="15" hidden="false" customHeight="false" outlineLevel="0" collapsed="false">
      <c r="A686" s="26"/>
      <c r="B686" s="26"/>
      <c r="C686" s="26"/>
      <c r="D686" s="26"/>
      <c r="E686" s="26"/>
      <c r="F686" s="26"/>
      <c r="G686" s="26"/>
    </row>
    <row r="687" customFormat="false" ht="15" hidden="false" customHeight="false" outlineLevel="0" collapsed="false">
      <c r="A687" s="26"/>
      <c r="B687" s="26"/>
      <c r="C687" s="26"/>
      <c r="D687" s="26"/>
      <c r="E687" s="26"/>
      <c r="F687" s="26"/>
      <c r="G687" s="26"/>
    </row>
    <row r="688" customFormat="false" ht="15" hidden="false" customHeight="false" outlineLevel="0" collapsed="false">
      <c r="A688" s="26"/>
      <c r="B688" s="26"/>
      <c r="C688" s="26"/>
      <c r="D688" s="26"/>
      <c r="E688" s="26"/>
      <c r="F688" s="26"/>
      <c r="G688" s="26"/>
    </row>
    <row r="689" customFormat="false" ht="15" hidden="false" customHeight="false" outlineLevel="0" collapsed="false">
      <c r="A689" s="26"/>
      <c r="B689" s="26"/>
      <c r="C689" s="26"/>
      <c r="D689" s="26"/>
      <c r="E689" s="26"/>
      <c r="F689" s="26"/>
      <c r="G689" s="26"/>
    </row>
    <row r="690" customFormat="false" ht="15" hidden="false" customHeight="false" outlineLevel="0" collapsed="false">
      <c r="A690" s="26"/>
      <c r="B690" s="26"/>
      <c r="C690" s="26"/>
      <c r="D690" s="26"/>
      <c r="E690" s="26"/>
      <c r="F690" s="26"/>
      <c r="G690" s="26"/>
    </row>
    <row r="691" customFormat="false" ht="15" hidden="false" customHeight="false" outlineLevel="0" collapsed="false">
      <c r="A691" s="26"/>
      <c r="B691" s="26"/>
      <c r="C691" s="26"/>
      <c r="D691" s="26"/>
      <c r="E691" s="26"/>
      <c r="F691" s="26"/>
      <c r="G691" s="26"/>
    </row>
    <row r="692" customFormat="false" ht="15" hidden="false" customHeight="false" outlineLevel="0" collapsed="false">
      <c r="A692" s="26"/>
      <c r="B692" s="26"/>
      <c r="C692" s="26"/>
      <c r="D692" s="26"/>
      <c r="E692" s="26"/>
      <c r="F692" s="26"/>
      <c r="G692" s="26"/>
    </row>
    <row r="693" customFormat="false" ht="15" hidden="false" customHeight="false" outlineLevel="0" collapsed="false">
      <c r="A693" s="26"/>
      <c r="B693" s="26"/>
      <c r="C693" s="26"/>
      <c r="D693" s="26"/>
      <c r="E693" s="26"/>
      <c r="F693" s="26"/>
      <c r="G693" s="26"/>
    </row>
    <row r="694" customFormat="false" ht="15" hidden="false" customHeight="false" outlineLevel="0" collapsed="false">
      <c r="A694" s="26"/>
      <c r="B694" s="26"/>
      <c r="C694" s="26"/>
      <c r="D694" s="26"/>
      <c r="E694" s="26"/>
      <c r="F694" s="26"/>
      <c r="G694" s="26"/>
    </row>
    <row r="695" customFormat="false" ht="15" hidden="false" customHeight="false" outlineLevel="0" collapsed="false">
      <c r="A695" s="26"/>
      <c r="B695" s="26"/>
      <c r="C695" s="26"/>
      <c r="D695" s="26"/>
      <c r="E695" s="26"/>
      <c r="F695" s="26"/>
      <c r="G695" s="26"/>
    </row>
    <row r="696" customFormat="false" ht="15" hidden="false" customHeight="false" outlineLevel="0" collapsed="false">
      <c r="A696" s="26"/>
      <c r="B696" s="26"/>
      <c r="C696" s="26"/>
      <c r="D696" s="26"/>
      <c r="E696" s="26"/>
      <c r="F696" s="26"/>
      <c r="G696" s="26"/>
    </row>
    <row r="697" customFormat="false" ht="15" hidden="false" customHeight="false" outlineLevel="0" collapsed="false">
      <c r="A697" s="26"/>
      <c r="B697" s="26"/>
      <c r="C697" s="26"/>
      <c r="D697" s="26"/>
      <c r="E697" s="26"/>
      <c r="F697" s="26"/>
      <c r="G697" s="26"/>
    </row>
    <row r="698" customFormat="false" ht="15" hidden="false" customHeight="false" outlineLevel="0" collapsed="false">
      <c r="A698" s="26"/>
      <c r="B698" s="26"/>
      <c r="C698" s="26"/>
      <c r="D698" s="26"/>
      <c r="E698" s="26"/>
      <c r="F698" s="26"/>
      <c r="G698" s="26"/>
    </row>
    <row r="699" customFormat="false" ht="15" hidden="false" customHeight="false" outlineLevel="0" collapsed="false">
      <c r="A699" s="26"/>
      <c r="B699" s="26"/>
      <c r="C699" s="26"/>
      <c r="D699" s="26"/>
      <c r="E699" s="26"/>
      <c r="F699" s="26"/>
      <c r="G699" s="26"/>
    </row>
    <row r="700" customFormat="false" ht="15" hidden="false" customHeight="false" outlineLevel="0" collapsed="false">
      <c r="A700" s="26"/>
      <c r="B700" s="26"/>
      <c r="C700" s="26"/>
      <c r="D700" s="26"/>
      <c r="E700" s="26"/>
      <c r="F700" s="26"/>
      <c r="G700" s="26"/>
    </row>
    <row r="701" customFormat="false" ht="15" hidden="false" customHeight="false" outlineLevel="0" collapsed="false">
      <c r="A701" s="26"/>
      <c r="B701" s="26"/>
      <c r="C701" s="26"/>
      <c r="D701" s="26"/>
      <c r="E701" s="26"/>
      <c r="F701" s="26"/>
      <c r="G701" s="26"/>
    </row>
    <row r="702" customFormat="false" ht="15" hidden="false" customHeight="false" outlineLevel="0" collapsed="false">
      <c r="A702" s="26"/>
      <c r="B702" s="26"/>
      <c r="C702" s="26"/>
      <c r="D702" s="26"/>
      <c r="E702" s="26"/>
      <c r="F702" s="26"/>
      <c r="G702" s="26"/>
    </row>
    <row r="703" customFormat="false" ht="15" hidden="false" customHeight="false" outlineLevel="0" collapsed="false">
      <c r="A703" s="26"/>
      <c r="B703" s="26"/>
      <c r="C703" s="26"/>
      <c r="D703" s="26"/>
      <c r="E703" s="26"/>
      <c r="F703" s="26"/>
      <c r="G703" s="26"/>
    </row>
    <row r="704" customFormat="false" ht="15" hidden="false" customHeight="false" outlineLevel="0" collapsed="false">
      <c r="A704" s="26"/>
      <c r="B704" s="26"/>
      <c r="C704" s="26"/>
      <c r="D704" s="26"/>
      <c r="E704" s="26"/>
      <c r="F704" s="26"/>
      <c r="G704" s="26"/>
    </row>
    <row r="705" customFormat="false" ht="15" hidden="false" customHeight="false" outlineLevel="0" collapsed="false">
      <c r="A705" s="26"/>
      <c r="B705" s="26"/>
      <c r="C705" s="26"/>
      <c r="D705" s="26"/>
      <c r="E705" s="26"/>
      <c r="F705" s="26"/>
      <c r="G705" s="26"/>
    </row>
    <row r="706" customFormat="false" ht="15" hidden="false" customHeight="false" outlineLevel="0" collapsed="false">
      <c r="A706" s="26"/>
      <c r="B706" s="26"/>
      <c r="C706" s="26"/>
      <c r="D706" s="26"/>
      <c r="E706" s="26"/>
      <c r="F706" s="26"/>
      <c r="G706" s="26"/>
    </row>
    <row r="707" customFormat="false" ht="15" hidden="false" customHeight="false" outlineLevel="0" collapsed="false">
      <c r="A707" s="26"/>
      <c r="B707" s="26"/>
      <c r="C707" s="26"/>
      <c r="D707" s="26"/>
      <c r="E707" s="26"/>
      <c r="F707" s="26"/>
      <c r="G707" s="26"/>
    </row>
    <row r="708" customFormat="false" ht="15" hidden="false" customHeight="false" outlineLevel="0" collapsed="false">
      <c r="A708" s="26"/>
      <c r="B708" s="26"/>
      <c r="C708" s="26"/>
      <c r="D708" s="26"/>
      <c r="E708" s="26"/>
      <c r="F708" s="26"/>
      <c r="G708" s="26"/>
    </row>
    <row r="709" customFormat="false" ht="15" hidden="false" customHeight="false" outlineLevel="0" collapsed="false">
      <c r="A709" s="26"/>
      <c r="B709" s="26"/>
      <c r="C709" s="26"/>
      <c r="D709" s="26"/>
      <c r="E709" s="26"/>
      <c r="F709" s="26"/>
      <c r="G709" s="26"/>
    </row>
    <row r="710" customFormat="false" ht="15" hidden="false" customHeight="false" outlineLevel="0" collapsed="false">
      <c r="A710" s="26"/>
      <c r="B710" s="26"/>
      <c r="C710" s="26"/>
      <c r="D710" s="26"/>
      <c r="E710" s="26"/>
      <c r="F710" s="26"/>
      <c r="G710" s="26"/>
    </row>
    <row r="711" customFormat="false" ht="15" hidden="false" customHeight="false" outlineLevel="0" collapsed="false">
      <c r="A711" s="26"/>
      <c r="B711" s="26"/>
      <c r="C711" s="26"/>
      <c r="D711" s="26"/>
      <c r="E711" s="26"/>
      <c r="F711" s="26"/>
      <c r="G711" s="26"/>
    </row>
    <row r="712" customFormat="false" ht="15" hidden="false" customHeight="false" outlineLevel="0" collapsed="false">
      <c r="A712" s="26"/>
      <c r="B712" s="26"/>
      <c r="C712" s="26"/>
      <c r="D712" s="26"/>
      <c r="E712" s="26"/>
      <c r="F712" s="26"/>
      <c r="G712" s="26"/>
    </row>
    <row r="713" customFormat="false" ht="15" hidden="false" customHeight="false" outlineLevel="0" collapsed="false">
      <c r="A713" s="26"/>
      <c r="B713" s="26"/>
      <c r="C713" s="26"/>
      <c r="D713" s="26"/>
      <c r="E713" s="26"/>
      <c r="F713" s="26"/>
      <c r="G713" s="26"/>
    </row>
    <row r="714" customFormat="false" ht="15" hidden="false" customHeight="false" outlineLevel="0" collapsed="false">
      <c r="A714" s="26"/>
      <c r="B714" s="26"/>
      <c r="C714" s="26"/>
      <c r="D714" s="26"/>
      <c r="E714" s="26"/>
      <c r="F714" s="26"/>
      <c r="G714" s="26"/>
    </row>
    <row r="715" customFormat="false" ht="15" hidden="false" customHeight="false" outlineLevel="0" collapsed="false">
      <c r="A715" s="26"/>
      <c r="B715" s="26"/>
      <c r="C715" s="26"/>
      <c r="D715" s="26"/>
      <c r="E715" s="26"/>
      <c r="F715" s="26"/>
      <c r="G715" s="26"/>
    </row>
    <row r="716" customFormat="false" ht="15" hidden="false" customHeight="false" outlineLevel="0" collapsed="false">
      <c r="A716" s="26"/>
      <c r="B716" s="26"/>
      <c r="C716" s="26"/>
      <c r="D716" s="26"/>
      <c r="E716" s="26"/>
      <c r="F716" s="26"/>
      <c r="G716" s="26"/>
    </row>
    <row r="717" customFormat="false" ht="15" hidden="false" customHeight="false" outlineLevel="0" collapsed="false">
      <c r="A717" s="26"/>
      <c r="B717" s="26"/>
      <c r="C717" s="26"/>
      <c r="D717" s="26"/>
      <c r="E717" s="26"/>
      <c r="F717" s="26"/>
      <c r="G717" s="26"/>
    </row>
    <row r="718" customFormat="false" ht="15" hidden="false" customHeight="false" outlineLevel="0" collapsed="false">
      <c r="A718" s="26"/>
      <c r="B718" s="26"/>
      <c r="C718" s="26"/>
      <c r="D718" s="26"/>
      <c r="E718" s="26"/>
      <c r="F718" s="26"/>
      <c r="G718" s="26"/>
    </row>
    <row r="719" customFormat="false" ht="15" hidden="false" customHeight="false" outlineLevel="0" collapsed="false">
      <c r="A719" s="26"/>
      <c r="B719" s="26"/>
      <c r="C719" s="26"/>
      <c r="D719" s="26"/>
      <c r="E719" s="26"/>
      <c r="F719" s="26"/>
      <c r="G719" s="26"/>
    </row>
    <row r="720" customFormat="false" ht="15" hidden="false" customHeight="false" outlineLevel="0" collapsed="false">
      <c r="A720" s="26"/>
      <c r="B720" s="26"/>
      <c r="C720" s="26"/>
      <c r="D720" s="26"/>
      <c r="E720" s="26"/>
      <c r="F720" s="26"/>
      <c r="G720" s="26"/>
    </row>
    <row r="721" customFormat="false" ht="15" hidden="false" customHeight="false" outlineLevel="0" collapsed="false">
      <c r="A721" s="26"/>
      <c r="B721" s="26"/>
      <c r="C721" s="26"/>
      <c r="D721" s="26"/>
      <c r="E721" s="26"/>
      <c r="F721" s="26"/>
      <c r="G721" s="26"/>
    </row>
    <row r="722" customFormat="false" ht="15" hidden="false" customHeight="false" outlineLevel="0" collapsed="false">
      <c r="A722" s="26"/>
      <c r="B722" s="26"/>
      <c r="C722" s="26"/>
      <c r="D722" s="26"/>
      <c r="E722" s="26"/>
      <c r="F722" s="26"/>
      <c r="G722" s="26"/>
    </row>
    <row r="723" customFormat="false" ht="15" hidden="false" customHeight="false" outlineLevel="0" collapsed="false">
      <c r="A723" s="26"/>
      <c r="B723" s="26"/>
      <c r="C723" s="26"/>
      <c r="D723" s="26"/>
      <c r="E723" s="26"/>
      <c r="F723" s="26"/>
      <c r="G723" s="26"/>
    </row>
    <row r="724" customFormat="false" ht="15" hidden="false" customHeight="false" outlineLevel="0" collapsed="false">
      <c r="A724" s="26"/>
      <c r="B724" s="26"/>
      <c r="C724" s="26"/>
      <c r="D724" s="26"/>
      <c r="E724" s="26"/>
      <c r="F724" s="26"/>
      <c r="G724" s="26"/>
    </row>
    <row r="725" customFormat="false" ht="15" hidden="false" customHeight="false" outlineLevel="0" collapsed="false">
      <c r="A725" s="26"/>
      <c r="B725" s="26"/>
      <c r="C725" s="26"/>
      <c r="D725" s="26"/>
      <c r="E725" s="26"/>
      <c r="F725" s="26"/>
      <c r="G725" s="26"/>
    </row>
    <row r="726" customFormat="false" ht="15" hidden="false" customHeight="false" outlineLevel="0" collapsed="false">
      <c r="A726" s="26"/>
      <c r="B726" s="26"/>
      <c r="C726" s="26"/>
      <c r="D726" s="26"/>
      <c r="E726" s="26"/>
      <c r="F726" s="26"/>
      <c r="G726" s="26"/>
    </row>
    <row r="727" customFormat="false" ht="15" hidden="false" customHeight="false" outlineLevel="0" collapsed="false">
      <c r="A727" s="26"/>
      <c r="B727" s="26"/>
      <c r="C727" s="26"/>
      <c r="D727" s="26"/>
      <c r="E727" s="26"/>
      <c r="F727" s="26"/>
      <c r="G727" s="26"/>
    </row>
    <row r="728" customFormat="false" ht="15" hidden="false" customHeight="false" outlineLevel="0" collapsed="false">
      <c r="A728" s="26"/>
      <c r="B728" s="26"/>
      <c r="C728" s="26"/>
      <c r="D728" s="26"/>
      <c r="E728" s="26"/>
      <c r="F728" s="26"/>
      <c r="G728" s="26"/>
    </row>
    <row r="729" customFormat="false" ht="15" hidden="false" customHeight="false" outlineLevel="0" collapsed="false">
      <c r="A729" s="26"/>
      <c r="B729" s="26"/>
      <c r="C729" s="26"/>
      <c r="D729" s="26"/>
      <c r="E729" s="26"/>
      <c r="F729" s="26"/>
      <c r="G729" s="26"/>
    </row>
    <row r="730" customFormat="false" ht="15" hidden="false" customHeight="false" outlineLevel="0" collapsed="false">
      <c r="A730" s="26"/>
      <c r="B730" s="26"/>
      <c r="C730" s="26"/>
      <c r="D730" s="26"/>
      <c r="E730" s="26"/>
      <c r="F730" s="26"/>
      <c r="G730" s="26"/>
    </row>
    <row r="731" customFormat="false" ht="15" hidden="false" customHeight="false" outlineLevel="0" collapsed="false">
      <c r="A731" s="26"/>
      <c r="B731" s="26"/>
      <c r="C731" s="26"/>
      <c r="D731" s="26"/>
      <c r="E731" s="26"/>
      <c r="F731" s="26"/>
      <c r="G731" s="26"/>
    </row>
    <row r="732" customFormat="false" ht="15" hidden="false" customHeight="false" outlineLevel="0" collapsed="false">
      <c r="A732" s="26"/>
      <c r="B732" s="26"/>
      <c r="C732" s="26"/>
      <c r="D732" s="26"/>
      <c r="E732" s="26"/>
      <c r="F732" s="26"/>
      <c r="G732" s="26"/>
    </row>
    <row r="733" customFormat="false" ht="15" hidden="false" customHeight="false" outlineLevel="0" collapsed="false">
      <c r="A733" s="26"/>
      <c r="B733" s="26"/>
      <c r="C733" s="26"/>
      <c r="D733" s="26"/>
      <c r="E733" s="26"/>
      <c r="F733" s="26"/>
      <c r="G733" s="26"/>
    </row>
    <row r="734" customFormat="false" ht="15" hidden="false" customHeight="false" outlineLevel="0" collapsed="false">
      <c r="A734" s="26"/>
      <c r="B734" s="26"/>
      <c r="C734" s="26"/>
      <c r="D734" s="26"/>
      <c r="E734" s="26"/>
      <c r="F734" s="26"/>
      <c r="G734" s="26"/>
    </row>
    <row r="735" customFormat="false" ht="15" hidden="false" customHeight="false" outlineLevel="0" collapsed="false">
      <c r="A735" s="26"/>
      <c r="B735" s="26"/>
      <c r="C735" s="26"/>
      <c r="D735" s="26"/>
      <c r="E735" s="26"/>
      <c r="F735" s="26"/>
      <c r="G735" s="26"/>
    </row>
    <row r="736" customFormat="false" ht="15" hidden="false" customHeight="false" outlineLevel="0" collapsed="false">
      <c r="A736" s="26"/>
      <c r="B736" s="26"/>
      <c r="C736" s="26"/>
      <c r="D736" s="26"/>
      <c r="E736" s="26"/>
      <c r="F736" s="26"/>
      <c r="G736" s="26"/>
    </row>
    <row r="737" customFormat="false" ht="15" hidden="false" customHeight="false" outlineLevel="0" collapsed="false">
      <c r="A737" s="26"/>
      <c r="B737" s="26"/>
      <c r="C737" s="26"/>
      <c r="D737" s="26"/>
      <c r="E737" s="26"/>
      <c r="F737" s="26"/>
      <c r="G737" s="26"/>
    </row>
    <row r="738" customFormat="false" ht="15" hidden="false" customHeight="false" outlineLevel="0" collapsed="false">
      <c r="A738" s="26"/>
      <c r="B738" s="26"/>
      <c r="C738" s="26"/>
      <c r="D738" s="26"/>
      <c r="E738" s="26"/>
      <c r="F738" s="26"/>
      <c r="G738" s="26"/>
    </row>
    <row r="739" customFormat="false" ht="15" hidden="false" customHeight="false" outlineLevel="0" collapsed="false">
      <c r="A739" s="26"/>
      <c r="B739" s="26"/>
      <c r="C739" s="26"/>
      <c r="D739" s="26"/>
      <c r="E739" s="26"/>
      <c r="F739" s="26"/>
      <c r="G739" s="26"/>
    </row>
    <row r="740" customFormat="false" ht="15" hidden="false" customHeight="false" outlineLevel="0" collapsed="false">
      <c r="A740" s="26"/>
      <c r="B740" s="26"/>
      <c r="C740" s="26"/>
      <c r="D740" s="26"/>
      <c r="E740" s="26"/>
      <c r="F740" s="26"/>
      <c r="G740" s="26"/>
    </row>
    <row r="741" customFormat="false" ht="15" hidden="false" customHeight="false" outlineLevel="0" collapsed="false">
      <c r="A741" s="26"/>
      <c r="B741" s="26"/>
      <c r="C741" s="26"/>
      <c r="D741" s="26"/>
      <c r="E741" s="26"/>
      <c r="F741" s="26"/>
      <c r="G741" s="26"/>
    </row>
    <row r="742" customFormat="false" ht="15" hidden="false" customHeight="false" outlineLevel="0" collapsed="false">
      <c r="A742" s="26"/>
      <c r="B742" s="26"/>
      <c r="C742" s="26"/>
      <c r="D742" s="26"/>
      <c r="E742" s="26"/>
      <c r="F742" s="26"/>
      <c r="G742" s="26"/>
    </row>
    <row r="743" customFormat="false" ht="15" hidden="false" customHeight="false" outlineLevel="0" collapsed="false">
      <c r="A743" s="26"/>
      <c r="B743" s="26"/>
      <c r="C743" s="26"/>
      <c r="D743" s="26"/>
      <c r="E743" s="26"/>
      <c r="F743" s="26"/>
      <c r="G743" s="26"/>
    </row>
    <row r="744" customFormat="false" ht="15" hidden="false" customHeight="false" outlineLevel="0" collapsed="false">
      <c r="A744" s="26"/>
      <c r="B744" s="26"/>
      <c r="C744" s="26"/>
      <c r="D744" s="26"/>
      <c r="E744" s="26"/>
      <c r="F744" s="26"/>
      <c r="G744" s="26"/>
    </row>
    <row r="745" customFormat="false" ht="15" hidden="false" customHeight="false" outlineLevel="0" collapsed="false">
      <c r="A745" s="26"/>
      <c r="B745" s="26"/>
      <c r="C745" s="26"/>
      <c r="D745" s="26"/>
      <c r="E745" s="26"/>
      <c r="F745" s="26"/>
      <c r="G745" s="26"/>
    </row>
    <row r="746" customFormat="false" ht="15" hidden="false" customHeight="false" outlineLevel="0" collapsed="false">
      <c r="A746" s="26"/>
      <c r="B746" s="26"/>
      <c r="C746" s="26"/>
      <c r="D746" s="26"/>
      <c r="E746" s="26"/>
      <c r="F746" s="26"/>
      <c r="G746" s="26"/>
    </row>
    <row r="747" customFormat="false" ht="15" hidden="false" customHeight="false" outlineLevel="0" collapsed="false">
      <c r="A747" s="26"/>
      <c r="B747" s="26"/>
      <c r="C747" s="26"/>
      <c r="D747" s="26"/>
      <c r="E747" s="26"/>
      <c r="F747" s="26"/>
      <c r="G747" s="26"/>
    </row>
    <row r="748" customFormat="false" ht="15" hidden="false" customHeight="false" outlineLevel="0" collapsed="false">
      <c r="A748" s="26"/>
      <c r="B748" s="26"/>
      <c r="C748" s="26"/>
      <c r="D748" s="26"/>
      <c r="E748" s="26"/>
      <c r="F748" s="26"/>
      <c r="G748" s="26"/>
    </row>
    <row r="749" customFormat="false" ht="15" hidden="false" customHeight="false" outlineLevel="0" collapsed="false">
      <c r="A749" s="26"/>
      <c r="B749" s="26"/>
      <c r="C749" s="26"/>
      <c r="D749" s="26"/>
      <c r="E749" s="26"/>
      <c r="F749" s="26"/>
      <c r="G749" s="26"/>
    </row>
    <row r="750" customFormat="false" ht="15" hidden="false" customHeight="false" outlineLevel="0" collapsed="false">
      <c r="A750" s="26"/>
      <c r="B750" s="26"/>
      <c r="C750" s="26"/>
      <c r="D750" s="26"/>
      <c r="E750" s="26"/>
      <c r="F750" s="26"/>
      <c r="G750" s="26"/>
    </row>
    <row r="751" customFormat="false" ht="15" hidden="false" customHeight="false" outlineLevel="0" collapsed="false">
      <c r="A751" s="26"/>
      <c r="B751" s="26"/>
      <c r="C751" s="26"/>
      <c r="D751" s="26"/>
      <c r="E751" s="26"/>
      <c r="F751" s="26"/>
      <c r="G751" s="26"/>
    </row>
    <row r="752" customFormat="false" ht="15" hidden="false" customHeight="false" outlineLevel="0" collapsed="false">
      <c r="A752" s="26"/>
      <c r="B752" s="26"/>
      <c r="C752" s="26"/>
      <c r="D752" s="26"/>
      <c r="E752" s="26"/>
      <c r="F752" s="26"/>
      <c r="G752" s="26"/>
    </row>
    <row r="753" customFormat="false" ht="15" hidden="false" customHeight="false" outlineLevel="0" collapsed="false">
      <c r="A753" s="26"/>
      <c r="B753" s="26"/>
      <c r="C753" s="26"/>
      <c r="D753" s="26"/>
      <c r="E753" s="26"/>
      <c r="F753" s="26"/>
      <c r="G753" s="26"/>
    </row>
    <row r="754" customFormat="false" ht="15" hidden="false" customHeight="false" outlineLevel="0" collapsed="false">
      <c r="A754" s="26"/>
      <c r="B754" s="26"/>
      <c r="C754" s="26"/>
      <c r="D754" s="26"/>
      <c r="E754" s="26"/>
      <c r="F754" s="26"/>
      <c r="G754" s="26"/>
    </row>
    <row r="755" customFormat="false" ht="15" hidden="false" customHeight="false" outlineLevel="0" collapsed="false">
      <c r="A755" s="26"/>
      <c r="B755" s="26"/>
      <c r="C755" s="26"/>
      <c r="D755" s="26"/>
      <c r="E755" s="26"/>
      <c r="F755" s="26"/>
      <c r="G755" s="26"/>
    </row>
    <row r="756" customFormat="false" ht="15" hidden="false" customHeight="false" outlineLevel="0" collapsed="false">
      <c r="A756" s="26"/>
      <c r="B756" s="26"/>
      <c r="C756" s="26"/>
      <c r="D756" s="26"/>
      <c r="E756" s="26"/>
      <c r="F756" s="26"/>
      <c r="G756" s="26"/>
    </row>
    <row r="757" customFormat="false" ht="15" hidden="false" customHeight="false" outlineLevel="0" collapsed="false">
      <c r="A757" s="26"/>
      <c r="B757" s="26"/>
      <c r="C757" s="26"/>
      <c r="D757" s="26"/>
      <c r="E757" s="26"/>
      <c r="F757" s="26"/>
      <c r="G757" s="26"/>
    </row>
    <row r="758" customFormat="false" ht="15" hidden="false" customHeight="false" outlineLevel="0" collapsed="false">
      <c r="A758" s="26"/>
      <c r="B758" s="26"/>
      <c r="C758" s="26"/>
      <c r="D758" s="26"/>
      <c r="E758" s="26"/>
      <c r="F758" s="26"/>
      <c r="G758" s="26"/>
    </row>
    <row r="759" customFormat="false" ht="15" hidden="false" customHeight="false" outlineLevel="0" collapsed="false">
      <c r="A759" s="26"/>
      <c r="B759" s="26"/>
      <c r="C759" s="26"/>
      <c r="D759" s="26"/>
      <c r="E759" s="26"/>
      <c r="F759" s="26"/>
      <c r="G759" s="26"/>
    </row>
    <row r="760" customFormat="false" ht="15" hidden="false" customHeight="false" outlineLevel="0" collapsed="false">
      <c r="A760" s="26"/>
      <c r="B760" s="26"/>
      <c r="C760" s="26"/>
      <c r="D760" s="26"/>
      <c r="E760" s="26"/>
      <c r="F760" s="26"/>
      <c r="G760" s="26"/>
    </row>
    <row r="761" customFormat="false" ht="15" hidden="false" customHeight="false" outlineLevel="0" collapsed="false">
      <c r="A761" s="26"/>
      <c r="B761" s="26"/>
      <c r="C761" s="26"/>
      <c r="D761" s="26"/>
      <c r="E761" s="26"/>
      <c r="F761" s="26"/>
      <c r="G761" s="26"/>
    </row>
    <row r="762" customFormat="false" ht="15" hidden="false" customHeight="false" outlineLevel="0" collapsed="false">
      <c r="A762" s="26"/>
      <c r="B762" s="26"/>
      <c r="C762" s="26"/>
      <c r="D762" s="26"/>
      <c r="E762" s="26"/>
      <c r="F762" s="26"/>
      <c r="G762" s="26"/>
    </row>
    <row r="763" customFormat="false" ht="15" hidden="false" customHeight="false" outlineLevel="0" collapsed="false">
      <c r="A763" s="26"/>
      <c r="B763" s="26"/>
      <c r="C763" s="26"/>
      <c r="D763" s="26"/>
      <c r="E763" s="26"/>
      <c r="F763" s="26"/>
      <c r="G763" s="26"/>
    </row>
    <row r="764" customFormat="false" ht="15" hidden="false" customHeight="false" outlineLevel="0" collapsed="false">
      <c r="A764" s="26"/>
      <c r="B764" s="26"/>
      <c r="C764" s="26"/>
      <c r="D764" s="26"/>
      <c r="E764" s="26"/>
      <c r="F764" s="26"/>
      <c r="G764" s="26"/>
    </row>
    <row r="765" customFormat="false" ht="15" hidden="false" customHeight="false" outlineLevel="0" collapsed="false">
      <c r="A765" s="26"/>
      <c r="B765" s="26"/>
      <c r="C765" s="26"/>
      <c r="D765" s="26"/>
      <c r="E765" s="26"/>
      <c r="F765" s="26"/>
      <c r="G765" s="26"/>
    </row>
    <row r="766" customFormat="false" ht="15" hidden="false" customHeight="false" outlineLevel="0" collapsed="false">
      <c r="A766" s="26"/>
      <c r="B766" s="26"/>
      <c r="C766" s="26"/>
      <c r="D766" s="26"/>
      <c r="E766" s="26"/>
      <c r="F766" s="26"/>
      <c r="G766" s="26"/>
    </row>
    <row r="767" customFormat="false" ht="15" hidden="false" customHeight="false" outlineLevel="0" collapsed="false">
      <c r="A767" s="26"/>
      <c r="B767" s="26"/>
      <c r="C767" s="26"/>
      <c r="D767" s="26"/>
      <c r="E767" s="26"/>
      <c r="F767" s="26"/>
      <c r="G767" s="26"/>
    </row>
    <row r="768" customFormat="false" ht="15" hidden="false" customHeight="false" outlineLevel="0" collapsed="false">
      <c r="A768" s="26"/>
      <c r="B768" s="26"/>
      <c r="C768" s="26"/>
      <c r="D768" s="26"/>
      <c r="E768" s="26"/>
      <c r="F768" s="26"/>
      <c r="G768" s="26"/>
    </row>
    <row r="769" customFormat="false" ht="15" hidden="false" customHeight="false" outlineLevel="0" collapsed="false">
      <c r="A769" s="26"/>
      <c r="B769" s="26"/>
      <c r="C769" s="26"/>
      <c r="D769" s="26"/>
      <c r="E769" s="26"/>
      <c r="F769" s="26"/>
      <c r="G769" s="26"/>
    </row>
    <row r="770" customFormat="false" ht="15" hidden="false" customHeight="false" outlineLevel="0" collapsed="false">
      <c r="A770" s="26"/>
      <c r="B770" s="26"/>
      <c r="C770" s="26"/>
      <c r="D770" s="26"/>
      <c r="E770" s="26"/>
      <c r="F770" s="26"/>
      <c r="G770" s="26"/>
    </row>
    <row r="771" customFormat="false" ht="15" hidden="false" customHeight="false" outlineLevel="0" collapsed="false">
      <c r="A771" s="26"/>
      <c r="B771" s="26"/>
      <c r="C771" s="26"/>
      <c r="D771" s="26"/>
      <c r="E771" s="26"/>
      <c r="F771" s="26"/>
      <c r="G771" s="26"/>
    </row>
    <row r="772" customFormat="false" ht="15" hidden="false" customHeight="false" outlineLevel="0" collapsed="false">
      <c r="A772" s="26"/>
      <c r="B772" s="26"/>
      <c r="C772" s="26"/>
      <c r="D772" s="26"/>
      <c r="E772" s="26"/>
      <c r="F772" s="26"/>
      <c r="G772" s="26"/>
    </row>
    <row r="773" customFormat="false" ht="15" hidden="false" customHeight="false" outlineLevel="0" collapsed="false">
      <c r="A773" s="26"/>
      <c r="B773" s="26"/>
      <c r="C773" s="26"/>
      <c r="D773" s="26"/>
      <c r="E773" s="26"/>
      <c r="F773" s="26"/>
      <c r="G773" s="26"/>
    </row>
    <row r="774" customFormat="false" ht="15" hidden="false" customHeight="false" outlineLevel="0" collapsed="false">
      <c r="A774" s="26"/>
      <c r="B774" s="26"/>
      <c r="C774" s="26"/>
      <c r="D774" s="26"/>
      <c r="E774" s="26"/>
      <c r="F774" s="26"/>
      <c r="G774" s="26"/>
    </row>
    <row r="775" customFormat="false" ht="15" hidden="false" customHeight="false" outlineLevel="0" collapsed="false">
      <c r="A775" s="26"/>
      <c r="B775" s="26"/>
      <c r="C775" s="26"/>
      <c r="D775" s="26"/>
      <c r="E775" s="26"/>
      <c r="F775" s="26"/>
      <c r="G775" s="26"/>
    </row>
    <row r="776" customFormat="false" ht="15" hidden="false" customHeight="false" outlineLevel="0" collapsed="false">
      <c r="A776" s="26"/>
      <c r="B776" s="26"/>
      <c r="C776" s="26"/>
      <c r="D776" s="26"/>
      <c r="E776" s="26"/>
      <c r="F776" s="26"/>
      <c r="G776" s="26"/>
    </row>
    <row r="777" customFormat="false" ht="15" hidden="false" customHeight="false" outlineLevel="0" collapsed="false">
      <c r="A777" s="26"/>
      <c r="B777" s="26"/>
      <c r="C777" s="26"/>
      <c r="D777" s="26"/>
      <c r="E777" s="26"/>
      <c r="F777" s="26"/>
      <c r="G777" s="26"/>
    </row>
    <row r="778" customFormat="false" ht="15" hidden="false" customHeight="false" outlineLevel="0" collapsed="false">
      <c r="A778" s="26"/>
      <c r="B778" s="26"/>
      <c r="C778" s="26"/>
      <c r="D778" s="26"/>
      <c r="E778" s="26"/>
      <c r="F778" s="26"/>
      <c r="G778" s="26"/>
    </row>
    <row r="779" customFormat="false" ht="15" hidden="false" customHeight="false" outlineLevel="0" collapsed="false">
      <c r="A779" s="26"/>
      <c r="B779" s="26"/>
      <c r="C779" s="26"/>
      <c r="D779" s="26"/>
      <c r="E779" s="26"/>
      <c r="F779" s="26"/>
      <c r="G779" s="26"/>
    </row>
    <row r="780" customFormat="false" ht="15" hidden="false" customHeight="false" outlineLevel="0" collapsed="false">
      <c r="A780" s="26"/>
      <c r="B780" s="26"/>
      <c r="C780" s="26"/>
      <c r="D780" s="26"/>
      <c r="E780" s="26"/>
      <c r="F780" s="26"/>
      <c r="G780" s="26"/>
    </row>
    <row r="781" customFormat="false" ht="15" hidden="false" customHeight="false" outlineLevel="0" collapsed="false">
      <c r="A781" s="26"/>
      <c r="B781" s="26"/>
      <c r="C781" s="26"/>
      <c r="D781" s="26"/>
      <c r="E781" s="26"/>
      <c r="F781" s="26"/>
      <c r="G781" s="26"/>
    </row>
    <row r="782" customFormat="false" ht="15" hidden="false" customHeight="false" outlineLevel="0" collapsed="false">
      <c r="A782" s="26"/>
      <c r="B782" s="26"/>
      <c r="C782" s="26"/>
      <c r="D782" s="26"/>
      <c r="E782" s="26"/>
      <c r="F782" s="26"/>
      <c r="G782" s="26"/>
    </row>
    <row r="783" customFormat="false" ht="15" hidden="false" customHeight="false" outlineLevel="0" collapsed="false">
      <c r="A783" s="26"/>
      <c r="B783" s="26"/>
      <c r="C783" s="26"/>
      <c r="D783" s="26"/>
      <c r="E783" s="26"/>
      <c r="F783" s="26"/>
      <c r="G783" s="26"/>
    </row>
    <row r="784" customFormat="false" ht="15" hidden="false" customHeight="false" outlineLevel="0" collapsed="false">
      <c r="A784" s="26"/>
      <c r="B784" s="26"/>
      <c r="C784" s="26"/>
      <c r="D784" s="26"/>
      <c r="E784" s="26"/>
      <c r="F784" s="26"/>
      <c r="G784" s="26"/>
    </row>
    <row r="785" customFormat="false" ht="15" hidden="false" customHeight="false" outlineLevel="0" collapsed="false">
      <c r="A785" s="26"/>
      <c r="B785" s="26"/>
      <c r="C785" s="26"/>
      <c r="D785" s="26"/>
      <c r="E785" s="26"/>
      <c r="F785" s="26"/>
      <c r="G785" s="26"/>
    </row>
    <row r="786" customFormat="false" ht="15" hidden="false" customHeight="false" outlineLevel="0" collapsed="false">
      <c r="A786" s="26"/>
      <c r="B786" s="26"/>
      <c r="C786" s="26"/>
      <c r="D786" s="26"/>
      <c r="E786" s="26"/>
      <c r="F786" s="26"/>
      <c r="G786" s="26"/>
    </row>
    <row r="787" customFormat="false" ht="15" hidden="false" customHeight="false" outlineLevel="0" collapsed="false">
      <c r="A787" s="26"/>
      <c r="B787" s="26"/>
      <c r="C787" s="26"/>
      <c r="D787" s="26"/>
      <c r="E787" s="26"/>
      <c r="F787" s="26"/>
      <c r="G787" s="26"/>
    </row>
    <row r="788" customFormat="false" ht="15" hidden="false" customHeight="false" outlineLevel="0" collapsed="false">
      <c r="A788" s="26"/>
      <c r="B788" s="26"/>
      <c r="C788" s="26"/>
      <c r="D788" s="26"/>
      <c r="E788" s="26"/>
      <c r="F788" s="26"/>
      <c r="G788" s="26"/>
    </row>
    <row r="789" customFormat="false" ht="15" hidden="false" customHeight="false" outlineLevel="0" collapsed="false">
      <c r="A789" s="26"/>
      <c r="B789" s="26"/>
      <c r="C789" s="26"/>
      <c r="D789" s="26"/>
      <c r="E789" s="26"/>
      <c r="F789" s="26"/>
      <c r="G789" s="26"/>
    </row>
    <row r="790" customFormat="false" ht="15" hidden="false" customHeight="false" outlineLevel="0" collapsed="false">
      <c r="A790" s="26"/>
      <c r="B790" s="26"/>
      <c r="C790" s="26"/>
      <c r="D790" s="26"/>
      <c r="E790" s="26"/>
      <c r="F790" s="26"/>
      <c r="G790" s="26"/>
    </row>
    <row r="791" customFormat="false" ht="15" hidden="false" customHeight="false" outlineLevel="0" collapsed="false">
      <c r="A791" s="26"/>
      <c r="B791" s="26"/>
      <c r="C791" s="26"/>
      <c r="D791" s="26"/>
      <c r="E791" s="26"/>
      <c r="F791" s="26"/>
      <c r="G791" s="26"/>
    </row>
    <row r="792" customFormat="false" ht="15" hidden="false" customHeight="false" outlineLevel="0" collapsed="false">
      <c r="A792" s="26"/>
      <c r="B792" s="26"/>
      <c r="C792" s="26"/>
      <c r="D792" s="26"/>
      <c r="E792" s="26"/>
      <c r="F792" s="26"/>
      <c r="G792" s="26"/>
    </row>
    <row r="793" customFormat="false" ht="15" hidden="false" customHeight="false" outlineLevel="0" collapsed="false">
      <c r="A793" s="26"/>
      <c r="B793" s="26"/>
      <c r="C793" s="26"/>
      <c r="D793" s="26"/>
      <c r="E793" s="26"/>
      <c r="F793" s="26"/>
      <c r="G793" s="26"/>
    </row>
    <row r="794" customFormat="false" ht="15" hidden="false" customHeight="false" outlineLevel="0" collapsed="false">
      <c r="A794" s="26"/>
      <c r="B794" s="26"/>
      <c r="C794" s="26"/>
      <c r="D794" s="26"/>
      <c r="E794" s="26"/>
      <c r="F794" s="26"/>
      <c r="G794" s="26"/>
    </row>
    <row r="795" customFormat="false" ht="15" hidden="false" customHeight="false" outlineLevel="0" collapsed="false">
      <c r="A795" s="26"/>
      <c r="B795" s="26"/>
      <c r="C795" s="26"/>
      <c r="D795" s="26"/>
      <c r="E795" s="26"/>
      <c r="F795" s="26"/>
      <c r="G795" s="26"/>
    </row>
    <row r="796" customFormat="false" ht="15" hidden="false" customHeight="false" outlineLevel="0" collapsed="false">
      <c r="A796" s="26"/>
      <c r="B796" s="26"/>
      <c r="C796" s="26"/>
      <c r="D796" s="26"/>
      <c r="E796" s="26"/>
      <c r="F796" s="26"/>
      <c r="G796" s="26"/>
    </row>
    <row r="797" customFormat="false" ht="15" hidden="false" customHeight="false" outlineLevel="0" collapsed="false">
      <c r="A797" s="26"/>
      <c r="B797" s="26"/>
      <c r="C797" s="26"/>
      <c r="D797" s="26"/>
      <c r="E797" s="26"/>
      <c r="F797" s="26"/>
      <c r="G797" s="26"/>
    </row>
    <row r="798" customFormat="false" ht="15" hidden="false" customHeight="false" outlineLevel="0" collapsed="false">
      <c r="A798" s="26"/>
      <c r="B798" s="26"/>
      <c r="C798" s="26"/>
      <c r="D798" s="26"/>
      <c r="E798" s="26"/>
      <c r="F798" s="26"/>
      <c r="G798" s="26"/>
    </row>
    <row r="799" customFormat="false" ht="15" hidden="false" customHeight="false" outlineLevel="0" collapsed="false">
      <c r="A799" s="26"/>
      <c r="B799" s="26"/>
      <c r="C799" s="26"/>
      <c r="D799" s="26"/>
      <c r="E799" s="26"/>
      <c r="F799" s="26"/>
      <c r="G799" s="26"/>
    </row>
    <row r="800" customFormat="false" ht="15" hidden="false" customHeight="false" outlineLevel="0" collapsed="false">
      <c r="A800" s="26"/>
      <c r="B800" s="26"/>
      <c r="C800" s="26"/>
      <c r="D800" s="26"/>
      <c r="E800" s="26"/>
      <c r="F800" s="26"/>
      <c r="G800" s="26"/>
    </row>
    <row r="801" customFormat="false" ht="15" hidden="false" customHeight="false" outlineLevel="0" collapsed="false">
      <c r="A801" s="26"/>
      <c r="B801" s="26"/>
      <c r="C801" s="26"/>
      <c r="D801" s="26"/>
      <c r="E801" s="26"/>
      <c r="F801" s="26"/>
      <c r="G801" s="26"/>
    </row>
    <row r="802" customFormat="false" ht="15" hidden="false" customHeight="false" outlineLevel="0" collapsed="false">
      <c r="A802" s="26"/>
      <c r="B802" s="26"/>
      <c r="C802" s="26"/>
      <c r="D802" s="26"/>
      <c r="E802" s="26"/>
      <c r="F802" s="26"/>
      <c r="G802" s="26"/>
    </row>
    <row r="803" customFormat="false" ht="15" hidden="false" customHeight="false" outlineLevel="0" collapsed="false">
      <c r="A803" s="26"/>
      <c r="B803" s="26"/>
      <c r="C803" s="26"/>
      <c r="D803" s="26"/>
      <c r="E803" s="26"/>
      <c r="F803" s="26"/>
      <c r="G803" s="26"/>
    </row>
    <row r="804" customFormat="false" ht="15" hidden="false" customHeight="false" outlineLevel="0" collapsed="false">
      <c r="A804" s="26"/>
      <c r="B804" s="26"/>
      <c r="C804" s="26"/>
      <c r="D804" s="26"/>
      <c r="E804" s="26"/>
      <c r="F804" s="26"/>
      <c r="G804" s="26"/>
    </row>
    <row r="805" customFormat="false" ht="15" hidden="false" customHeight="false" outlineLevel="0" collapsed="false">
      <c r="A805" s="26"/>
      <c r="B805" s="26"/>
      <c r="C805" s="26"/>
      <c r="D805" s="26"/>
      <c r="E805" s="26"/>
      <c r="F805" s="26"/>
      <c r="G805" s="26"/>
    </row>
    <row r="806" customFormat="false" ht="15" hidden="false" customHeight="false" outlineLevel="0" collapsed="false">
      <c r="A806" s="26"/>
      <c r="B806" s="26"/>
      <c r="C806" s="26"/>
      <c r="D806" s="26"/>
      <c r="E806" s="26"/>
      <c r="F806" s="26"/>
      <c r="G806" s="26"/>
    </row>
    <row r="807" customFormat="false" ht="15" hidden="false" customHeight="false" outlineLevel="0" collapsed="false">
      <c r="A807" s="26"/>
      <c r="B807" s="26"/>
      <c r="C807" s="26"/>
      <c r="D807" s="26"/>
      <c r="E807" s="26"/>
      <c r="F807" s="26"/>
      <c r="G807" s="26"/>
    </row>
    <row r="808" customFormat="false" ht="15" hidden="false" customHeight="false" outlineLevel="0" collapsed="false">
      <c r="A808" s="26"/>
      <c r="B808" s="26"/>
      <c r="C808" s="26"/>
      <c r="D808" s="26"/>
      <c r="E808" s="26"/>
      <c r="F808" s="26"/>
      <c r="G808" s="26"/>
    </row>
    <row r="809" customFormat="false" ht="15" hidden="false" customHeight="false" outlineLevel="0" collapsed="false">
      <c r="A809" s="26"/>
      <c r="B809" s="26"/>
      <c r="C809" s="26"/>
      <c r="D809" s="26"/>
      <c r="E809" s="26"/>
      <c r="F809" s="26"/>
      <c r="G809" s="26"/>
    </row>
    <row r="810" customFormat="false" ht="15" hidden="false" customHeight="false" outlineLevel="0" collapsed="false">
      <c r="A810" s="26"/>
      <c r="B810" s="26"/>
      <c r="C810" s="26"/>
      <c r="D810" s="26"/>
      <c r="E810" s="26"/>
      <c r="F810" s="26"/>
      <c r="G810" s="26"/>
    </row>
    <row r="811" customFormat="false" ht="15" hidden="false" customHeight="false" outlineLevel="0" collapsed="false">
      <c r="A811" s="26"/>
      <c r="B811" s="26"/>
      <c r="C811" s="26"/>
      <c r="D811" s="26"/>
      <c r="E811" s="26"/>
      <c r="F811" s="26"/>
      <c r="G811" s="26"/>
    </row>
    <row r="812" customFormat="false" ht="15" hidden="false" customHeight="false" outlineLevel="0" collapsed="false">
      <c r="A812" s="26"/>
      <c r="B812" s="26"/>
      <c r="C812" s="26"/>
      <c r="D812" s="26"/>
      <c r="E812" s="26"/>
      <c r="F812" s="26"/>
      <c r="G812" s="26"/>
    </row>
    <row r="813" customFormat="false" ht="15" hidden="false" customHeight="false" outlineLevel="0" collapsed="false">
      <c r="A813" s="26"/>
      <c r="B813" s="26"/>
      <c r="C813" s="26"/>
      <c r="D813" s="26"/>
      <c r="E813" s="26"/>
      <c r="F813" s="26"/>
      <c r="G813" s="26"/>
    </row>
    <row r="814" customFormat="false" ht="15" hidden="false" customHeight="false" outlineLevel="0" collapsed="false">
      <c r="A814" s="26"/>
      <c r="B814" s="26"/>
      <c r="C814" s="26"/>
      <c r="D814" s="26"/>
      <c r="E814" s="26"/>
      <c r="F814" s="26"/>
      <c r="G814" s="26"/>
    </row>
    <row r="815" customFormat="false" ht="15" hidden="false" customHeight="false" outlineLevel="0" collapsed="false">
      <c r="A815" s="26"/>
      <c r="B815" s="26"/>
      <c r="C815" s="26"/>
      <c r="D815" s="26"/>
      <c r="E815" s="26"/>
      <c r="F815" s="26"/>
      <c r="G815" s="26"/>
    </row>
    <row r="816" customFormat="false" ht="15" hidden="false" customHeight="false" outlineLevel="0" collapsed="false">
      <c r="A816" s="26"/>
      <c r="B816" s="26"/>
      <c r="C816" s="26"/>
      <c r="D816" s="26"/>
      <c r="E816" s="26"/>
      <c r="F816" s="26"/>
      <c r="G816" s="26"/>
    </row>
    <row r="817" customFormat="false" ht="15" hidden="false" customHeight="false" outlineLevel="0" collapsed="false">
      <c r="A817" s="26"/>
      <c r="B817" s="26"/>
      <c r="C817" s="26"/>
      <c r="D817" s="26"/>
      <c r="E817" s="26"/>
      <c r="F817" s="26"/>
      <c r="G817" s="26"/>
    </row>
    <row r="818" customFormat="false" ht="15" hidden="false" customHeight="false" outlineLevel="0" collapsed="false">
      <c r="A818" s="26"/>
      <c r="B818" s="26"/>
      <c r="C818" s="26"/>
      <c r="D818" s="26"/>
      <c r="E818" s="26"/>
      <c r="F818" s="26"/>
      <c r="G818" s="26"/>
    </row>
    <row r="819" customFormat="false" ht="15" hidden="false" customHeight="false" outlineLevel="0" collapsed="false">
      <c r="A819" s="26"/>
      <c r="B819" s="26"/>
      <c r="C819" s="26"/>
      <c r="D819" s="26"/>
      <c r="E819" s="26"/>
      <c r="F819" s="26"/>
      <c r="G819" s="26"/>
    </row>
    <row r="820" customFormat="false" ht="15" hidden="false" customHeight="false" outlineLevel="0" collapsed="false">
      <c r="A820" s="26"/>
      <c r="B820" s="26"/>
      <c r="C820" s="26"/>
      <c r="D820" s="26"/>
      <c r="E820" s="26"/>
      <c r="F820" s="26"/>
      <c r="G820" s="26"/>
    </row>
    <row r="821" customFormat="false" ht="15" hidden="false" customHeight="false" outlineLevel="0" collapsed="false">
      <c r="A821" s="26"/>
      <c r="B821" s="26"/>
      <c r="C821" s="26"/>
      <c r="D821" s="26"/>
      <c r="E821" s="26"/>
      <c r="F821" s="26"/>
      <c r="G821" s="26"/>
    </row>
    <row r="822" customFormat="false" ht="15" hidden="false" customHeight="false" outlineLevel="0" collapsed="false">
      <c r="A822" s="26"/>
      <c r="B822" s="26"/>
      <c r="C822" s="26"/>
      <c r="D822" s="26"/>
      <c r="E822" s="26"/>
      <c r="F822" s="26"/>
      <c r="G822" s="26"/>
    </row>
    <row r="823" customFormat="false" ht="15" hidden="false" customHeight="false" outlineLevel="0" collapsed="false">
      <c r="A823" s="26"/>
      <c r="B823" s="26"/>
      <c r="C823" s="26"/>
      <c r="D823" s="26"/>
      <c r="E823" s="26"/>
      <c r="F823" s="26"/>
      <c r="G823" s="26"/>
    </row>
    <row r="824" customFormat="false" ht="15" hidden="false" customHeight="false" outlineLevel="0" collapsed="false">
      <c r="A824" s="26"/>
      <c r="B824" s="26"/>
      <c r="C824" s="26"/>
      <c r="D824" s="26"/>
      <c r="E824" s="26"/>
      <c r="F824" s="26"/>
      <c r="G824" s="26"/>
    </row>
    <row r="825" customFormat="false" ht="15" hidden="false" customHeight="false" outlineLevel="0" collapsed="false">
      <c r="A825" s="26"/>
      <c r="B825" s="26"/>
      <c r="C825" s="26"/>
      <c r="D825" s="26"/>
      <c r="E825" s="26"/>
      <c r="F825" s="26"/>
      <c r="G825" s="26"/>
    </row>
    <row r="826" customFormat="false" ht="15" hidden="false" customHeight="false" outlineLevel="0" collapsed="false">
      <c r="A826" s="26"/>
      <c r="B826" s="26"/>
      <c r="C826" s="26"/>
      <c r="D826" s="26"/>
      <c r="E826" s="26"/>
      <c r="F826" s="26"/>
      <c r="G826" s="26"/>
    </row>
    <row r="827" customFormat="false" ht="15" hidden="false" customHeight="false" outlineLevel="0" collapsed="false">
      <c r="A827" s="26"/>
      <c r="B827" s="26"/>
      <c r="C827" s="26"/>
      <c r="D827" s="26"/>
      <c r="E827" s="26"/>
      <c r="F827" s="26"/>
      <c r="G827" s="26"/>
    </row>
    <row r="828" customFormat="false" ht="15" hidden="false" customHeight="false" outlineLevel="0" collapsed="false">
      <c r="A828" s="26"/>
      <c r="B828" s="26"/>
      <c r="C828" s="26"/>
      <c r="D828" s="26"/>
      <c r="E828" s="26"/>
      <c r="F828" s="26"/>
      <c r="G828" s="26"/>
    </row>
    <row r="829" customFormat="false" ht="15" hidden="false" customHeight="false" outlineLevel="0" collapsed="false">
      <c r="A829" s="26"/>
      <c r="B829" s="26"/>
      <c r="C829" s="26"/>
      <c r="D829" s="26"/>
      <c r="E829" s="26"/>
      <c r="F829" s="26"/>
      <c r="G829" s="26"/>
    </row>
    <row r="830" customFormat="false" ht="15" hidden="false" customHeight="false" outlineLevel="0" collapsed="false">
      <c r="A830" s="26"/>
      <c r="B830" s="26"/>
      <c r="C830" s="26"/>
      <c r="D830" s="26"/>
      <c r="E830" s="26"/>
      <c r="F830" s="26"/>
      <c r="G830" s="26"/>
    </row>
    <row r="831" customFormat="false" ht="15" hidden="false" customHeight="false" outlineLevel="0" collapsed="false">
      <c r="A831" s="26"/>
      <c r="B831" s="26"/>
      <c r="C831" s="26"/>
      <c r="D831" s="26"/>
      <c r="E831" s="26"/>
      <c r="F831" s="26"/>
      <c r="G831" s="26"/>
    </row>
    <row r="832" customFormat="false" ht="15" hidden="false" customHeight="false" outlineLevel="0" collapsed="false">
      <c r="A832" s="26"/>
      <c r="B832" s="26"/>
      <c r="C832" s="26"/>
      <c r="D832" s="26"/>
      <c r="E832" s="26"/>
      <c r="F832" s="26"/>
      <c r="G832" s="26"/>
    </row>
    <row r="833" customFormat="false" ht="15" hidden="false" customHeight="false" outlineLevel="0" collapsed="false">
      <c r="A833" s="26"/>
      <c r="B833" s="26"/>
      <c r="C833" s="26"/>
      <c r="D833" s="26"/>
      <c r="E833" s="26"/>
      <c r="F833" s="26"/>
      <c r="G833" s="26"/>
    </row>
    <row r="834" customFormat="false" ht="15" hidden="false" customHeight="false" outlineLevel="0" collapsed="false">
      <c r="A834" s="26"/>
      <c r="B834" s="26"/>
      <c r="C834" s="26"/>
      <c r="D834" s="26"/>
      <c r="E834" s="26"/>
      <c r="F834" s="26"/>
      <c r="G834" s="26"/>
    </row>
    <row r="835" customFormat="false" ht="15" hidden="false" customHeight="false" outlineLevel="0" collapsed="false">
      <c r="A835" s="26"/>
      <c r="B835" s="26"/>
      <c r="C835" s="26"/>
      <c r="D835" s="26"/>
      <c r="E835" s="26"/>
      <c r="F835" s="26"/>
      <c r="G835" s="26"/>
    </row>
    <row r="836" customFormat="false" ht="15" hidden="false" customHeight="false" outlineLevel="0" collapsed="false">
      <c r="A836" s="26"/>
      <c r="B836" s="26"/>
      <c r="C836" s="26"/>
      <c r="D836" s="26"/>
      <c r="E836" s="26"/>
      <c r="F836" s="26"/>
      <c r="G836" s="26"/>
    </row>
    <row r="837" customFormat="false" ht="15" hidden="false" customHeight="false" outlineLevel="0" collapsed="false">
      <c r="A837" s="26"/>
      <c r="B837" s="26"/>
      <c r="C837" s="26"/>
      <c r="D837" s="26"/>
      <c r="E837" s="26"/>
      <c r="F837" s="26"/>
      <c r="G837" s="26"/>
    </row>
    <row r="838" customFormat="false" ht="15" hidden="false" customHeight="false" outlineLevel="0" collapsed="false">
      <c r="A838" s="26"/>
      <c r="B838" s="26"/>
      <c r="C838" s="26"/>
      <c r="D838" s="26"/>
      <c r="E838" s="26"/>
      <c r="F838" s="26"/>
      <c r="G838" s="26"/>
    </row>
    <row r="839" customFormat="false" ht="15" hidden="false" customHeight="false" outlineLevel="0" collapsed="false">
      <c r="A839" s="26"/>
      <c r="B839" s="26"/>
      <c r="C839" s="26"/>
      <c r="D839" s="26"/>
      <c r="E839" s="26"/>
      <c r="F839" s="26"/>
      <c r="G839" s="26"/>
    </row>
    <row r="840" customFormat="false" ht="15" hidden="false" customHeight="false" outlineLevel="0" collapsed="false">
      <c r="A840" s="26"/>
      <c r="B840" s="26"/>
      <c r="C840" s="26"/>
      <c r="D840" s="26"/>
      <c r="E840" s="26"/>
      <c r="F840" s="26"/>
      <c r="G840" s="26"/>
    </row>
    <row r="841" customFormat="false" ht="15" hidden="false" customHeight="false" outlineLevel="0" collapsed="false">
      <c r="A841" s="26"/>
      <c r="B841" s="26"/>
      <c r="C841" s="26"/>
      <c r="D841" s="26"/>
      <c r="E841" s="26"/>
      <c r="F841" s="26"/>
      <c r="G841" s="26"/>
    </row>
    <row r="842" customFormat="false" ht="15" hidden="false" customHeight="false" outlineLevel="0" collapsed="false">
      <c r="A842" s="26"/>
      <c r="B842" s="26"/>
      <c r="C842" s="26"/>
      <c r="D842" s="26"/>
      <c r="E842" s="26"/>
      <c r="F842" s="26"/>
      <c r="G842" s="26"/>
    </row>
    <row r="843" customFormat="false" ht="15" hidden="false" customHeight="false" outlineLevel="0" collapsed="false">
      <c r="A843" s="26"/>
      <c r="B843" s="26"/>
      <c r="C843" s="26"/>
      <c r="D843" s="26"/>
      <c r="E843" s="26"/>
      <c r="F843" s="26"/>
      <c r="G843" s="26"/>
    </row>
    <row r="844" customFormat="false" ht="15" hidden="false" customHeight="false" outlineLevel="0" collapsed="false">
      <c r="A844" s="26"/>
      <c r="B844" s="26"/>
      <c r="C844" s="26"/>
      <c r="D844" s="26"/>
      <c r="E844" s="26"/>
      <c r="F844" s="26"/>
      <c r="G844" s="26"/>
    </row>
    <row r="845" customFormat="false" ht="15" hidden="false" customHeight="false" outlineLevel="0" collapsed="false">
      <c r="A845" s="26"/>
      <c r="B845" s="26"/>
      <c r="C845" s="26"/>
      <c r="D845" s="26"/>
      <c r="E845" s="26"/>
      <c r="F845" s="26"/>
      <c r="G845" s="26"/>
    </row>
    <row r="846" customFormat="false" ht="15" hidden="false" customHeight="false" outlineLevel="0" collapsed="false">
      <c r="A846" s="26"/>
      <c r="B846" s="26"/>
      <c r="C846" s="26"/>
      <c r="D846" s="26"/>
      <c r="E846" s="26"/>
      <c r="F846" s="26"/>
      <c r="G846" s="26"/>
    </row>
    <row r="847" customFormat="false" ht="15" hidden="false" customHeight="false" outlineLevel="0" collapsed="false">
      <c r="A847" s="26"/>
      <c r="B847" s="26"/>
      <c r="C847" s="26"/>
      <c r="D847" s="26"/>
      <c r="E847" s="26"/>
      <c r="F847" s="26"/>
      <c r="G847" s="26"/>
    </row>
    <row r="848" customFormat="false" ht="15" hidden="false" customHeight="false" outlineLevel="0" collapsed="false">
      <c r="A848" s="26"/>
      <c r="B848" s="26"/>
      <c r="C848" s="26"/>
      <c r="D848" s="26"/>
      <c r="E848" s="26"/>
      <c r="F848" s="26"/>
      <c r="G848" s="26"/>
    </row>
    <row r="849" customFormat="false" ht="15" hidden="false" customHeight="false" outlineLevel="0" collapsed="false">
      <c r="A849" s="26"/>
      <c r="B849" s="26"/>
      <c r="C849" s="26"/>
      <c r="D849" s="26"/>
      <c r="E849" s="26"/>
      <c r="F849" s="26"/>
      <c r="G849" s="26"/>
    </row>
    <row r="850" customFormat="false" ht="15" hidden="false" customHeight="false" outlineLevel="0" collapsed="false">
      <c r="A850" s="26"/>
      <c r="B850" s="26"/>
      <c r="C850" s="26"/>
      <c r="D850" s="26"/>
      <c r="E850" s="26"/>
      <c r="F850" s="26"/>
      <c r="G850" s="26"/>
    </row>
    <row r="851" customFormat="false" ht="15" hidden="false" customHeight="false" outlineLevel="0" collapsed="false">
      <c r="A851" s="26"/>
      <c r="B851" s="26"/>
      <c r="C851" s="26"/>
      <c r="D851" s="26"/>
      <c r="E851" s="26"/>
      <c r="F851" s="26"/>
      <c r="G851" s="26"/>
    </row>
    <row r="852" customFormat="false" ht="15" hidden="false" customHeight="false" outlineLevel="0" collapsed="false">
      <c r="A852" s="26"/>
      <c r="B852" s="26"/>
      <c r="C852" s="26"/>
      <c r="D852" s="26"/>
      <c r="E852" s="26"/>
      <c r="F852" s="26"/>
      <c r="G852" s="26"/>
    </row>
    <row r="853" customFormat="false" ht="15" hidden="false" customHeight="false" outlineLevel="0" collapsed="false">
      <c r="A853" s="26"/>
      <c r="B853" s="26"/>
      <c r="C853" s="26"/>
      <c r="D853" s="26"/>
      <c r="E853" s="26"/>
      <c r="F853" s="26"/>
      <c r="G853" s="26"/>
    </row>
    <row r="854" customFormat="false" ht="15" hidden="false" customHeight="false" outlineLevel="0" collapsed="false">
      <c r="A854" s="26"/>
      <c r="B854" s="26"/>
      <c r="C854" s="26"/>
      <c r="D854" s="26"/>
      <c r="E854" s="26"/>
      <c r="F854" s="26"/>
      <c r="G854" s="26"/>
    </row>
    <row r="855" customFormat="false" ht="15" hidden="false" customHeight="false" outlineLevel="0" collapsed="false">
      <c r="A855" s="26"/>
      <c r="B855" s="26"/>
      <c r="C855" s="26"/>
      <c r="D855" s="26"/>
      <c r="E855" s="26"/>
      <c r="F855" s="26"/>
      <c r="G855" s="26"/>
    </row>
    <row r="856" customFormat="false" ht="15" hidden="false" customHeight="false" outlineLevel="0" collapsed="false">
      <c r="A856" s="26"/>
      <c r="B856" s="26"/>
      <c r="C856" s="26"/>
      <c r="D856" s="26"/>
      <c r="E856" s="26"/>
      <c r="F856" s="26"/>
      <c r="G856" s="26"/>
    </row>
    <row r="857" customFormat="false" ht="15" hidden="false" customHeight="false" outlineLevel="0" collapsed="false">
      <c r="A857" s="26"/>
      <c r="B857" s="26"/>
      <c r="C857" s="26"/>
      <c r="D857" s="26"/>
      <c r="E857" s="26"/>
      <c r="F857" s="26"/>
      <c r="G857" s="26"/>
    </row>
    <row r="858" customFormat="false" ht="15" hidden="false" customHeight="false" outlineLevel="0" collapsed="false">
      <c r="A858" s="26"/>
      <c r="B858" s="26"/>
      <c r="C858" s="26"/>
      <c r="D858" s="26"/>
      <c r="E858" s="26"/>
      <c r="F858" s="26"/>
      <c r="G858" s="26"/>
    </row>
    <row r="859" customFormat="false" ht="15" hidden="false" customHeight="false" outlineLevel="0" collapsed="false">
      <c r="A859" s="26"/>
      <c r="B859" s="26"/>
      <c r="C859" s="26"/>
      <c r="D859" s="26"/>
      <c r="E859" s="26"/>
      <c r="F859" s="26"/>
      <c r="G859" s="26"/>
    </row>
    <row r="860" customFormat="false" ht="15" hidden="false" customHeight="false" outlineLevel="0" collapsed="false">
      <c r="A860" s="26"/>
      <c r="B860" s="26"/>
      <c r="C860" s="26"/>
      <c r="D860" s="26"/>
      <c r="E860" s="26"/>
      <c r="F860" s="26"/>
      <c r="G860" s="26"/>
    </row>
    <row r="861" customFormat="false" ht="15" hidden="false" customHeight="false" outlineLevel="0" collapsed="false">
      <c r="A861" s="26"/>
      <c r="B861" s="26"/>
      <c r="C861" s="26"/>
      <c r="D861" s="26"/>
      <c r="E861" s="26"/>
      <c r="F861" s="26"/>
      <c r="G861" s="26"/>
    </row>
    <row r="862" customFormat="false" ht="15" hidden="false" customHeight="false" outlineLevel="0" collapsed="false">
      <c r="A862" s="26"/>
      <c r="B862" s="26"/>
      <c r="C862" s="26"/>
      <c r="D862" s="26"/>
      <c r="E862" s="26"/>
      <c r="F862" s="26"/>
      <c r="G862" s="26"/>
    </row>
    <row r="863" customFormat="false" ht="15" hidden="false" customHeight="false" outlineLevel="0" collapsed="false">
      <c r="A863" s="26"/>
      <c r="B863" s="26"/>
      <c r="C863" s="26"/>
      <c r="D863" s="26"/>
      <c r="E863" s="26"/>
      <c r="F863" s="26"/>
      <c r="G863" s="26"/>
    </row>
    <row r="864" customFormat="false" ht="15" hidden="false" customHeight="false" outlineLevel="0" collapsed="false">
      <c r="A864" s="26"/>
      <c r="B864" s="26"/>
      <c r="C864" s="26"/>
      <c r="D864" s="26"/>
      <c r="E864" s="26"/>
      <c r="F864" s="26"/>
      <c r="G864" s="26"/>
    </row>
    <row r="865" customFormat="false" ht="15" hidden="false" customHeight="false" outlineLevel="0" collapsed="false">
      <c r="A865" s="26"/>
      <c r="B865" s="26"/>
      <c r="C865" s="26"/>
      <c r="D865" s="26"/>
      <c r="E865" s="26"/>
      <c r="F865" s="26"/>
      <c r="G865" s="26"/>
    </row>
    <row r="866" customFormat="false" ht="15" hidden="false" customHeight="false" outlineLevel="0" collapsed="false">
      <c r="A866" s="26"/>
      <c r="B866" s="26"/>
      <c r="C866" s="26"/>
      <c r="D866" s="26"/>
      <c r="E866" s="26"/>
      <c r="F866" s="26"/>
      <c r="G866" s="26"/>
    </row>
    <row r="867" customFormat="false" ht="15" hidden="false" customHeight="false" outlineLevel="0" collapsed="false">
      <c r="A867" s="26"/>
      <c r="B867" s="26"/>
      <c r="C867" s="26"/>
      <c r="D867" s="26"/>
      <c r="E867" s="26"/>
      <c r="F867" s="26"/>
      <c r="G867" s="26"/>
    </row>
    <row r="868" customFormat="false" ht="15" hidden="false" customHeight="false" outlineLevel="0" collapsed="false">
      <c r="A868" s="26"/>
      <c r="B868" s="26"/>
      <c r="C868" s="26"/>
      <c r="D868" s="26"/>
      <c r="E868" s="26"/>
      <c r="F868" s="26"/>
      <c r="G868" s="26"/>
    </row>
    <row r="869" customFormat="false" ht="15" hidden="false" customHeight="false" outlineLevel="0" collapsed="false">
      <c r="A869" s="26"/>
      <c r="B869" s="26"/>
      <c r="C869" s="26"/>
      <c r="D869" s="26"/>
      <c r="E869" s="26"/>
      <c r="F869" s="26"/>
      <c r="G869" s="26"/>
    </row>
    <row r="870" customFormat="false" ht="15" hidden="false" customHeight="false" outlineLevel="0" collapsed="false">
      <c r="A870" s="26"/>
      <c r="B870" s="26"/>
      <c r="C870" s="26"/>
      <c r="D870" s="26"/>
      <c r="E870" s="26"/>
      <c r="F870" s="26"/>
      <c r="G870" s="26"/>
    </row>
    <row r="871" customFormat="false" ht="15" hidden="false" customHeight="false" outlineLevel="0" collapsed="false">
      <c r="A871" s="26"/>
      <c r="B871" s="26"/>
      <c r="C871" s="26"/>
      <c r="D871" s="26"/>
      <c r="E871" s="26"/>
      <c r="F871" s="26"/>
      <c r="G871" s="26"/>
    </row>
    <row r="872" customFormat="false" ht="15" hidden="false" customHeight="false" outlineLevel="0" collapsed="false">
      <c r="A872" s="26"/>
      <c r="B872" s="26"/>
      <c r="C872" s="26"/>
      <c r="D872" s="26"/>
      <c r="E872" s="26"/>
      <c r="F872" s="26"/>
      <c r="G872" s="26"/>
    </row>
    <row r="873" customFormat="false" ht="15" hidden="false" customHeight="false" outlineLevel="0" collapsed="false">
      <c r="A873" s="26"/>
      <c r="B873" s="26"/>
      <c r="C873" s="26"/>
      <c r="D873" s="26"/>
      <c r="E873" s="26"/>
      <c r="F873" s="26"/>
      <c r="G873" s="26"/>
    </row>
    <row r="874" customFormat="false" ht="15" hidden="false" customHeight="false" outlineLevel="0" collapsed="false">
      <c r="A874" s="26"/>
      <c r="B874" s="26"/>
      <c r="C874" s="26"/>
      <c r="D874" s="26"/>
      <c r="E874" s="26"/>
      <c r="F874" s="26"/>
      <c r="G874" s="26"/>
    </row>
    <row r="875" customFormat="false" ht="15" hidden="false" customHeight="false" outlineLevel="0" collapsed="false">
      <c r="A875" s="26"/>
      <c r="B875" s="26"/>
      <c r="C875" s="26"/>
      <c r="D875" s="26"/>
      <c r="E875" s="26"/>
      <c r="F875" s="26"/>
      <c r="G875" s="26"/>
    </row>
    <row r="876" customFormat="false" ht="15" hidden="false" customHeight="false" outlineLevel="0" collapsed="false">
      <c r="A876" s="26"/>
      <c r="B876" s="26"/>
      <c r="C876" s="26"/>
      <c r="D876" s="26"/>
      <c r="E876" s="26"/>
      <c r="F876" s="26"/>
      <c r="G876" s="26"/>
    </row>
    <row r="877" customFormat="false" ht="15" hidden="false" customHeight="false" outlineLevel="0" collapsed="false">
      <c r="A877" s="26"/>
      <c r="B877" s="26"/>
      <c r="C877" s="26"/>
      <c r="D877" s="26"/>
      <c r="E877" s="26"/>
      <c r="F877" s="26"/>
      <c r="G877" s="26"/>
    </row>
    <row r="878" customFormat="false" ht="15" hidden="false" customHeight="false" outlineLevel="0" collapsed="false">
      <c r="A878" s="26"/>
      <c r="B878" s="26"/>
      <c r="C878" s="26"/>
      <c r="D878" s="26"/>
      <c r="E878" s="26"/>
      <c r="F878" s="26"/>
      <c r="G878" s="26"/>
    </row>
    <row r="879" customFormat="false" ht="15" hidden="false" customHeight="false" outlineLevel="0" collapsed="false">
      <c r="A879" s="26"/>
      <c r="B879" s="26"/>
      <c r="C879" s="26"/>
      <c r="D879" s="26"/>
      <c r="E879" s="26"/>
      <c r="F879" s="26"/>
      <c r="G879" s="26"/>
    </row>
    <row r="880" customFormat="false" ht="15" hidden="false" customHeight="false" outlineLevel="0" collapsed="false">
      <c r="A880" s="26"/>
      <c r="B880" s="26"/>
      <c r="C880" s="26"/>
      <c r="D880" s="26"/>
      <c r="E880" s="26"/>
      <c r="F880" s="26"/>
      <c r="G880" s="26"/>
    </row>
    <row r="881" customFormat="false" ht="15" hidden="false" customHeight="false" outlineLevel="0" collapsed="false">
      <c r="A881" s="26"/>
      <c r="B881" s="26"/>
      <c r="C881" s="26"/>
      <c r="D881" s="26"/>
      <c r="E881" s="26"/>
      <c r="F881" s="26"/>
      <c r="G881" s="26"/>
    </row>
    <row r="882" customFormat="false" ht="15" hidden="false" customHeight="false" outlineLevel="0" collapsed="false">
      <c r="A882" s="26"/>
      <c r="B882" s="26"/>
      <c r="C882" s="26"/>
      <c r="D882" s="26"/>
      <c r="E882" s="26"/>
      <c r="F882" s="26"/>
      <c r="G882" s="26"/>
    </row>
    <row r="883" customFormat="false" ht="15" hidden="false" customHeight="false" outlineLevel="0" collapsed="false">
      <c r="A883" s="26"/>
      <c r="B883" s="26"/>
      <c r="C883" s="26"/>
      <c r="D883" s="26"/>
      <c r="E883" s="26"/>
      <c r="F883" s="26"/>
      <c r="G883" s="26"/>
    </row>
    <row r="884" customFormat="false" ht="15" hidden="false" customHeight="false" outlineLevel="0" collapsed="false">
      <c r="A884" s="26"/>
      <c r="B884" s="26"/>
      <c r="C884" s="26"/>
      <c r="D884" s="26"/>
      <c r="E884" s="26"/>
      <c r="F884" s="26"/>
      <c r="G884" s="26"/>
    </row>
    <row r="885" customFormat="false" ht="15" hidden="false" customHeight="false" outlineLevel="0" collapsed="false">
      <c r="A885" s="26"/>
      <c r="B885" s="26"/>
      <c r="C885" s="26"/>
      <c r="D885" s="26"/>
      <c r="E885" s="26"/>
      <c r="F885" s="26"/>
      <c r="G885" s="26"/>
    </row>
    <row r="886" customFormat="false" ht="15" hidden="false" customHeight="false" outlineLevel="0" collapsed="false">
      <c r="A886" s="26"/>
      <c r="B886" s="26"/>
      <c r="C886" s="26"/>
      <c r="D886" s="26"/>
      <c r="E886" s="26"/>
      <c r="F886" s="26"/>
      <c r="G886" s="26"/>
    </row>
    <row r="887" customFormat="false" ht="15" hidden="false" customHeight="false" outlineLevel="0" collapsed="false">
      <c r="A887" s="26"/>
      <c r="B887" s="26"/>
      <c r="C887" s="26"/>
      <c r="D887" s="26"/>
      <c r="E887" s="26"/>
      <c r="F887" s="26"/>
      <c r="G887" s="26"/>
    </row>
    <row r="888" customFormat="false" ht="15" hidden="false" customHeight="false" outlineLevel="0" collapsed="false">
      <c r="A888" s="26"/>
      <c r="B888" s="26"/>
      <c r="C888" s="26"/>
      <c r="D888" s="26"/>
      <c r="E888" s="26"/>
      <c r="F888" s="26"/>
      <c r="G888" s="26"/>
    </row>
    <row r="889" customFormat="false" ht="15" hidden="false" customHeight="false" outlineLevel="0" collapsed="false">
      <c r="A889" s="26"/>
      <c r="B889" s="26"/>
      <c r="C889" s="26"/>
      <c r="D889" s="26"/>
      <c r="E889" s="26"/>
      <c r="F889" s="26"/>
      <c r="G889" s="26"/>
    </row>
    <row r="890" customFormat="false" ht="15" hidden="false" customHeight="false" outlineLevel="0" collapsed="false">
      <c r="A890" s="26"/>
      <c r="B890" s="26"/>
      <c r="C890" s="26"/>
      <c r="D890" s="26"/>
      <c r="E890" s="26"/>
      <c r="F890" s="26"/>
      <c r="G890" s="26"/>
    </row>
    <row r="891" customFormat="false" ht="15" hidden="false" customHeight="false" outlineLevel="0" collapsed="false">
      <c r="A891" s="26"/>
      <c r="B891" s="26"/>
      <c r="C891" s="26"/>
      <c r="D891" s="26"/>
      <c r="E891" s="26"/>
      <c r="F891" s="26"/>
      <c r="G891" s="26"/>
    </row>
    <row r="892" customFormat="false" ht="15" hidden="false" customHeight="false" outlineLevel="0" collapsed="false">
      <c r="A892" s="26"/>
      <c r="B892" s="26"/>
      <c r="C892" s="26"/>
      <c r="D892" s="26"/>
      <c r="E892" s="26"/>
      <c r="F892" s="26"/>
      <c r="G892" s="26"/>
    </row>
    <row r="893" customFormat="false" ht="15" hidden="false" customHeight="false" outlineLevel="0" collapsed="false">
      <c r="A893" s="26"/>
      <c r="B893" s="26"/>
      <c r="C893" s="26"/>
      <c r="D893" s="26"/>
      <c r="E893" s="26"/>
      <c r="F893" s="26"/>
      <c r="G893" s="26"/>
    </row>
    <row r="894" customFormat="false" ht="15" hidden="false" customHeight="false" outlineLevel="0" collapsed="false">
      <c r="A894" s="26"/>
      <c r="B894" s="26"/>
      <c r="C894" s="26"/>
      <c r="D894" s="26"/>
      <c r="E894" s="26"/>
      <c r="F894" s="26"/>
      <c r="G894" s="26"/>
    </row>
    <row r="895" customFormat="false" ht="15" hidden="false" customHeight="false" outlineLevel="0" collapsed="false">
      <c r="A895" s="26"/>
      <c r="B895" s="26"/>
      <c r="C895" s="26"/>
      <c r="D895" s="26"/>
      <c r="E895" s="26"/>
      <c r="F895" s="26"/>
      <c r="G895" s="26"/>
    </row>
    <row r="896" customFormat="false" ht="15" hidden="false" customHeight="false" outlineLevel="0" collapsed="false">
      <c r="A896" s="26"/>
      <c r="B896" s="26"/>
      <c r="C896" s="26"/>
      <c r="D896" s="26"/>
      <c r="E896" s="26"/>
      <c r="F896" s="26"/>
      <c r="G896" s="26"/>
    </row>
    <row r="897" customFormat="false" ht="15" hidden="false" customHeight="false" outlineLevel="0" collapsed="false">
      <c r="A897" s="26"/>
      <c r="B897" s="26"/>
      <c r="C897" s="26"/>
      <c r="D897" s="26"/>
      <c r="E897" s="26"/>
      <c r="F897" s="26"/>
      <c r="G897" s="26"/>
    </row>
    <row r="898" customFormat="false" ht="15" hidden="false" customHeight="false" outlineLevel="0" collapsed="false">
      <c r="A898" s="26"/>
      <c r="B898" s="26"/>
      <c r="C898" s="26"/>
      <c r="D898" s="26"/>
      <c r="E898" s="26"/>
      <c r="F898" s="26"/>
      <c r="G898" s="26"/>
    </row>
    <row r="899" customFormat="false" ht="15" hidden="false" customHeight="false" outlineLevel="0" collapsed="false">
      <c r="A899" s="26"/>
      <c r="B899" s="26"/>
      <c r="C899" s="26"/>
      <c r="D899" s="26"/>
      <c r="E899" s="26"/>
      <c r="F899" s="26"/>
      <c r="G899" s="26"/>
    </row>
    <row r="900" customFormat="false" ht="15" hidden="false" customHeight="false" outlineLevel="0" collapsed="false">
      <c r="A900" s="26"/>
      <c r="B900" s="26"/>
      <c r="C900" s="26"/>
      <c r="D900" s="26"/>
      <c r="E900" s="26"/>
      <c r="F900" s="26"/>
      <c r="G900" s="26"/>
    </row>
    <row r="901" customFormat="false" ht="15" hidden="false" customHeight="false" outlineLevel="0" collapsed="false">
      <c r="A901" s="26"/>
      <c r="B901" s="26"/>
      <c r="C901" s="26"/>
      <c r="D901" s="26"/>
      <c r="E901" s="26"/>
      <c r="F901" s="26"/>
      <c r="G901" s="26"/>
    </row>
    <row r="902" customFormat="false" ht="15" hidden="false" customHeight="false" outlineLevel="0" collapsed="false">
      <c r="A902" s="26"/>
      <c r="B902" s="26"/>
      <c r="C902" s="26"/>
      <c r="D902" s="26"/>
      <c r="E902" s="26"/>
      <c r="F902" s="26"/>
      <c r="G902" s="26"/>
    </row>
    <row r="903" customFormat="false" ht="15" hidden="false" customHeight="false" outlineLevel="0" collapsed="false">
      <c r="A903" s="26"/>
      <c r="B903" s="26"/>
      <c r="C903" s="26"/>
      <c r="D903" s="26"/>
      <c r="E903" s="26"/>
      <c r="F903" s="26"/>
      <c r="G903" s="26"/>
    </row>
    <row r="904" customFormat="false" ht="15" hidden="false" customHeight="false" outlineLevel="0" collapsed="false">
      <c r="A904" s="26"/>
      <c r="B904" s="26"/>
      <c r="C904" s="26"/>
      <c r="D904" s="26"/>
      <c r="E904" s="26"/>
      <c r="F904" s="26"/>
      <c r="G904" s="26"/>
    </row>
    <row r="905" customFormat="false" ht="15" hidden="false" customHeight="false" outlineLevel="0" collapsed="false">
      <c r="A905" s="26"/>
      <c r="B905" s="26"/>
      <c r="C905" s="26"/>
      <c r="D905" s="26"/>
      <c r="E905" s="26"/>
      <c r="F905" s="26"/>
      <c r="G905" s="26"/>
    </row>
    <row r="906" customFormat="false" ht="15" hidden="false" customHeight="false" outlineLevel="0" collapsed="false">
      <c r="A906" s="26"/>
      <c r="B906" s="26"/>
      <c r="C906" s="26"/>
      <c r="D906" s="26"/>
      <c r="E906" s="26"/>
      <c r="F906" s="26"/>
      <c r="G906" s="26"/>
    </row>
    <row r="907" customFormat="false" ht="15" hidden="false" customHeight="false" outlineLevel="0" collapsed="false">
      <c r="A907" s="26"/>
      <c r="B907" s="26"/>
      <c r="C907" s="26"/>
      <c r="D907" s="26"/>
      <c r="E907" s="26"/>
      <c r="F907" s="26"/>
      <c r="G907" s="26"/>
    </row>
    <row r="908" customFormat="false" ht="15" hidden="false" customHeight="false" outlineLevel="0" collapsed="false">
      <c r="A908" s="26"/>
      <c r="B908" s="26"/>
      <c r="C908" s="26"/>
      <c r="D908" s="26"/>
      <c r="E908" s="26"/>
      <c r="F908" s="26"/>
      <c r="G908" s="26"/>
    </row>
    <row r="909" customFormat="false" ht="15" hidden="false" customHeight="false" outlineLevel="0" collapsed="false">
      <c r="A909" s="26"/>
      <c r="B909" s="26"/>
      <c r="C909" s="26"/>
      <c r="D909" s="26"/>
      <c r="E909" s="26"/>
      <c r="F909" s="26"/>
      <c r="G909" s="26"/>
    </row>
    <row r="910" customFormat="false" ht="15" hidden="false" customHeight="false" outlineLevel="0" collapsed="false">
      <c r="A910" s="26"/>
      <c r="B910" s="26"/>
      <c r="C910" s="26"/>
      <c r="D910" s="26"/>
      <c r="E910" s="26"/>
      <c r="F910" s="26"/>
      <c r="G910" s="26"/>
    </row>
    <row r="911" customFormat="false" ht="15" hidden="false" customHeight="false" outlineLevel="0" collapsed="false">
      <c r="A911" s="26"/>
      <c r="B911" s="26"/>
      <c r="C911" s="26"/>
      <c r="D911" s="26"/>
      <c r="E911" s="26"/>
      <c r="F911" s="26"/>
      <c r="G911" s="26"/>
    </row>
    <row r="912" customFormat="false" ht="15" hidden="false" customHeight="false" outlineLevel="0" collapsed="false">
      <c r="A912" s="26"/>
      <c r="B912" s="26"/>
      <c r="C912" s="26"/>
      <c r="D912" s="26"/>
      <c r="E912" s="26"/>
      <c r="F912" s="26"/>
      <c r="G912" s="26"/>
    </row>
    <row r="913" customFormat="false" ht="15" hidden="false" customHeight="false" outlineLevel="0" collapsed="false">
      <c r="A913" s="26"/>
      <c r="B913" s="26"/>
      <c r="C913" s="26"/>
      <c r="D913" s="26"/>
      <c r="E913" s="26"/>
      <c r="F913" s="26"/>
      <c r="G913" s="26"/>
    </row>
    <row r="914" customFormat="false" ht="15" hidden="false" customHeight="false" outlineLevel="0" collapsed="false">
      <c r="A914" s="26"/>
      <c r="B914" s="26"/>
      <c r="C914" s="26"/>
      <c r="D914" s="26"/>
      <c r="E914" s="26"/>
      <c r="F914" s="26"/>
      <c r="G914" s="26"/>
    </row>
    <row r="915" customFormat="false" ht="15" hidden="false" customHeight="false" outlineLevel="0" collapsed="false">
      <c r="A915" s="26"/>
      <c r="B915" s="26"/>
      <c r="C915" s="26"/>
      <c r="D915" s="26"/>
      <c r="E915" s="26"/>
      <c r="F915" s="26"/>
      <c r="G915" s="26"/>
    </row>
    <row r="916" customFormat="false" ht="15" hidden="false" customHeight="false" outlineLevel="0" collapsed="false">
      <c r="A916" s="26"/>
      <c r="B916" s="26"/>
      <c r="C916" s="26"/>
      <c r="D916" s="26"/>
      <c r="E916" s="26"/>
      <c r="F916" s="26"/>
      <c r="G916" s="26"/>
    </row>
    <row r="917" customFormat="false" ht="15" hidden="false" customHeight="false" outlineLevel="0" collapsed="false">
      <c r="A917" s="26"/>
      <c r="B917" s="26"/>
      <c r="C917" s="26"/>
      <c r="D917" s="26"/>
      <c r="E917" s="26"/>
      <c r="F917" s="26"/>
      <c r="G917" s="26"/>
    </row>
    <row r="918" customFormat="false" ht="15" hidden="false" customHeight="false" outlineLevel="0" collapsed="false">
      <c r="A918" s="26"/>
      <c r="B918" s="26"/>
      <c r="C918" s="26"/>
      <c r="D918" s="26"/>
      <c r="E918" s="26"/>
      <c r="F918" s="26"/>
      <c r="G918" s="26"/>
    </row>
    <row r="919" customFormat="false" ht="15" hidden="false" customHeight="false" outlineLevel="0" collapsed="false">
      <c r="A919" s="26"/>
      <c r="B919" s="26"/>
      <c r="C919" s="26"/>
      <c r="D919" s="26"/>
      <c r="E919" s="26"/>
      <c r="F919" s="26"/>
      <c r="G919" s="26"/>
    </row>
    <row r="920" customFormat="false" ht="15" hidden="false" customHeight="false" outlineLevel="0" collapsed="false">
      <c r="A920" s="26"/>
      <c r="B920" s="26"/>
      <c r="C920" s="26"/>
      <c r="D920" s="26"/>
      <c r="E920" s="26"/>
      <c r="F920" s="26"/>
      <c r="G920" s="26"/>
    </row>
    <row r="921" customFormat="false" ht="15" hidden="false" customHeight="false" outlineLevel="0" collapsed="false">
      <c r="A921" s="26"/>
      <c r="B921" s="26"/>
      <c r="C921" s="26"/>
      <c r="D921" s="26"/>
      <c r="E921" s="26"/>
      <c r="F921" s="26"/>
      <c r="G921" s="26"/>
    </row>
    <row r="922" customFormat="false" ht="15" hidden="false" customHeight="false" outlineLevel="0" collapsed="false">
      <c r="A922" s="26"/>
      <c r="B922" s="26"/>
      <c r="C922" s="26"/>
      <c r="D922" s="26"/>
      <c r="E922" s="26"/>
      <c r="F922" s="26"/>
      <c r="G922" s="26"/>
    </row>
    <row r="923" customFormat="false" ht="15" hidden="false" customHeight="false" outlineLevel="0" collapsed="false">
      <c r="A923" s="26"/>
      <c r="B923" s="26"/>
      <c r="C923" s="26"/>
      <c r="D923" s="26"/>
      <c r="E923" s="26"/>
      <c r="F923" s="26"/>
      <c r="G923" s="26"/>
    </row>
    <row r="924" customFormat="false" ht="15" hidden="false" customHeight="false" outlineLevel="0" collapsed="false">
      <c r="A924" s="26"/>
      <c r="B924" s="26"/>
      <c r="C924" s="26"/>
      <c r="D924" s="26"/>
      <c r="E924" s="26"/>
      <c r="F924" s="26"/>
      <c r="G924" s="26"/>
    </row>
    <row r="925" customFormat="false" ht="15" hidden="false" customHeight="false" outlineLevel="0" collapsed="false">
      <c r="A925" s="26"/>
      <c r="B925" s="26"/>
      <c r="C925" s="26"/>
      <c r="D925" s="26"/>
      <c r="E925" s="26"/>
      <c r="F925" s="26"/>
      <c r="G925" s="26"/>
    </row>
    <row r="926" customFormat="false" ht="15" hidden="false" customHeight="false" outlineLevel="0" collapsed="false">
      <c r="A926" s="26"/>
      <c r="B926" s="26"/>
      <c r="C926" s="26"/>
      <c r="D926" s="26"/>
      <c r="E926" s="26"/>
      <c r="F926" s="26"/>
      <c r="G926" s="26"/>
    </row>
    <row r="927" customFormat="false" ht="15" hidden="false" customHeight="false" outlineLevel="0" collapsed="false">
      <c r="A927" s="26"/>
      <c r="B927" s="26"/>
      <c r="C927" s="26"/>
      <c r="D927" s="26"/>
      <c r="E927" s="26"/>
      <c r="F927" s="26"/>
      <c r="G927" s="26"/>
    </row>
    <row r="928" customFormat="false" ht="15" hidden="false" customHeight="false" outlineLevel="0" collapsed="false">
      <c r="A928" s="26"/>
      <c r="B928" s="26"/>
      <c r="C928" s="26"/>
      <c r="D928" s="26"/>
      <c r="E928" s="26"/>
      <c r="F928" s="26"/>
      <c r="G928" s="26"/>
    </row>
    <row r="929" customFormat="false" ht="15" hidden="false" customHeight="false" outlineLevel="0" collapsed="false">
      <c r="A929" s="26"/>
      <c r="B929" s="26"/>
      <c r="C929" s="26"/>
      <c r="D929" s="26"/>
      <c r="E929" s="26"/>
      <c r="F929" s="26"/>
      <c r="G929" s="26"/>
    </row>
    <row r="930" customFormat="false" ht="15" hidden="false" customHeight="false" outlineLevel="0" collapsed="false">
      <c r="A930" s="26"/>
      <c r="B930" s="26"/>
      <c r="C930" s="26"/>
      <c r="D930" s="26"/>
      <c r="E930" s="26"/>
      <c r="F930" s="26"/>
      <c r="G930" s="26"/>
    </row>
    <row r="931" customFormat="false" ht="15" hidden="false" customHeight="false" outlineLevel="0" collapsed="false">
      <c r="A931" s="26"/>
      <c r="B931" s="26"/>
      <c r="C931" s="26"/>
      <c r="D931" s="26"/>
      <c r="E931" s="26"/>
      <c r="F931" s="26"/>
      <c r="G931" s="26"/>
    </row>
    <row r="932" customFormat="false" ht="15" hidden="false" customHeight="false" outlineLevel="0" collapsed="false">
      <c r="A932" s="26"/>
      <c r="B932" s="26"/>
      <c r="C932" s="26"/>
      <c r="D932" s="26"/>
      <c r="E932" s="26"/>
      <c r="F932" s="26"/>
      <c r="G932" s="26"/>
    </row>
    <row r="933" customFormat="false" ht="15" hidden="false" customHeight="false" outlineLevel="0" collapsed="false">
      <c r="A933" s="26"/>
      <c r="B933" s="26"/>
      <c r="C933" s="26"/>
      <c r="D933" s="26"/>
      <c r="E933" s="26"/>
      <c r="F933" s="26"/>
      <c r="G933" s="26"/>
    </row>
    <row r="934" customFormat="false" ht="15" hidden="false" customHeight="false" outlineLevel="0" collapsed="false">
      <c r="A934" s="26"/>
      <c r="B934" s="26"/>
      <c r="C934" s="26"/>
      <c r="D934" s="26"/>
      <c r="E934" s="26"/>
      <c r="F934" s="26"/>
      <c r="G934" s="26"/>
    </row>
    <row r="935" customFormat="false" ht="15" hidden="false" customHeight="false" outlineLevel="0" collapsed="false">
      <c r="A935" s="26"/>
      <c r="B935" s="26"/>
      <c r="C935" s="26"/>
      <c r="D935" s="26"/>
      <c r="E935" s="26"/>
      <c r="F935" s="26"/>
      <c r="G935" s="26"/>
    </row>
    <row r="936" customFormat="false" ht="15" hidden="false" customHeight="false" outlineLevel="0" collapsed="false">
      <c r="A936" s="26"/>
      <c r="B936" s="26"/>
      <c r="C936" s="26"/>
      <c r="D936" s="26"/>
      <c r="E936" s="26"/>
      <c r="F936" s="26"/>
      <c r="G936" s="26"/>
    </row>
    <row r="937" customFormat="false" ht="15" hidden="false" customHeight="false" outlineLevel="0" collapsed="false">
      <c r="A937" s="26"/>
      <c r="B937" s="26"/>
      <c r="C937" s="26"/>
      <c r="D937" s="26"/>
      <c r="E937" s="26"/>
      <c r="F937" s="26"/>
      <c r="G937" s="26"/>
    </row>
    <row r="938" customFormat="false" ht="15" hidden="false" customHeight="false" outlineLevel="0" collapsed="false">
      <c r="A938" s="26"/>
      <c r="B938" s="26"/>
      <c r="C938" s="26"/>
      <c r="D938" s="26"/>
      <c r="E938" s="26"/>
      <c r="F938" s="26"/>
      <c r="G938" s="26"/>
    </row>
    <row r="939" customFormat="false" ht="15" hidden="false" customHeight="false" outlineLevel="0" collapsed="false">
      <c r="A939" s="26"/>
      <c r="B939" s="26"/>
      <c r="C939" s="26"/>
      <c r="D939" s="26"/>
      <c r="E939" s="26"/>
      <c r="F939" s="26"/>
      <c r="G939" s="26"/>
    </row>
    <row r="940" customFormat="false" ht="15" hidden="false" customHeight="false" outlineLevel="0" collapsed="false">
      <c r="A940" s="26"/>
      <c r="B940" s="26"/>
      <c r="C940" s="26"/>
      <c r="D940" s="26"/>
      <c r="E940" s="26"/>
      <c r="F940" s="26"/>
      <c r="G940" s="26"/>
    </row>
    <row r="941" customFormat="false" ht="15" hidden="false" customHeight="false" outlineLevel="0" collapsed="false">
      <c r="A941" s="26"/>
      <c r="B941" s="26"/>
      <c r="C941" s="26"/>
      <c r="D941" s="26"/>
      <c r="E941" s="26"/>
      <c r="F941" s="26"/>
      <c r="G941" s="26"/>
    </row>
    <row r="942" customFormat="false" ht="15" hidden="false" customHeight="false" outlineLevel="0" collapsed="false">
      <c r="A942" s="26"/>
      <c r="B942" s="26"/>
      <c r="C942" s="26"/>
      <c r="D942" s="26"/>
      <c r="E942" s="26"/>
      <c r="F942" s="26"/>
      <c r="G942" s="26"/>
    </row>
    <row r="943" customFormat="false" ht="15" hidden="false" customHeight="false" outlineLevel="0" collapsed="false">
      <c r="A943" s="26"/>
      <c r="B943" s="26"/>
      <c r="C943" s="26"/>
      <c r="D943" s="26"/>
      <c r="E943" s="26"/>
      <c r="F943" s="26"/>
      <c r="G943" s="26"/>
    </row>
    <row r="944" customFormat="false" ht="15" hidden="false" customHeight="false" outlineLevel="0" collapsed="false">
      <c r="A944" s="26"/>
      <c r="B944" s="26"/>
      <c r="C944" s="26"/>
      <c r="D944" s="26"/>
      <c r="E944" s="26"/>
      <c r="F944" s="26"/>
      <c r="G944" s="26"/>
    </row>
    <row r="945" customFormat="false" ht="15" hidden="false" customHeight="false" outlineLevel="0" collapsed="false">
      <c r="A945" s="26"/>
      <c r="B945" s="26"/>
      <c r="C945" s="26"/>
      <c r="D945" s="26"/>
      <c r="E945" s="26"/>
      <c r="F945" s="26"/>
      <c r="G945" s="26"/>
    </row>
    <row r="946" customFormat="false" ht="15" hidden="false" customHeight="false" outlineLevel="0" collapsed="false">
      <c r="A946" s="26"/>
      <c r="B946" s="26"/>
      <c r="C946" s="26"/>
      <c r="D946" s="26"/>
      <c r="E946" s="26"/>
      <c r="F946" s="26"/>
      <c r="G946" s="26"/>
    </row>
    <row r="947" customFormat="false" ht="15" hidden="false" customHeight="false" outlineLevel="0" collapsed="false">
      <c r="A947" s="26"/>
      <c r="B947" s="26"/>
      <c r="C947" s="26"/>
      <c r="D947" s="26"/>
      <c r="E947" s="26"/>
      <c r="F947" s="26"/>
      <c r="G947" s="26"/>
    </row>
    <row r="948" customFormat="false" ht="15" hidden="false" customHeight="false" outlineLevel="0" collapsed="false">
      <c r="A948" s="26"/>
      <c r="B948" s="26"/>
      <c r="C948" s="26"/>
      <c r="D948" s="26"/>
      <c r="E948" s="26"/>
      <c r="F948" s="26"/>
      <c r="G948" s="26"/>
    </row>
    <row r="949" customFormat="false" ht="15" hidden="false" customHeight="false" outlineLevel="0" collapsed="false">
      <c r="A949" s="26"/>
      <c r="B949" s="26"/>
      <c r="C949" s="26"/>
      <c r="D949" s="26"/>
      <c r="E949" s="26"/>
      <c r="F949" s="26"/>
      <c r="G949" s="26"/>
    </row>
    <row r="950" customFormat="false" ht="15" hidden="false" customHeight="false" outlineLevel="0" collapsed="false">
      <c r="A950" s="26"/>
      <c r="B950" s="26"/>
      <c r="C950" s="26"/>
      <c r="D950" s="26"/>
      <c r="E950" s="26"/>
      <c r="F950" s="26"/>
      <c r="G950" s="26"/>
    </row>
    <row r="951" customFormat="false" ht="15" hidden="false" customHeight="false" outlineLevel="0" collapsed="false">
      <c r="A951" s="26"/>
      <c r="B951" s="26"/>
      <c r="C951" s="26"/>
      <c r="D951" s="26"/>
      <c r="E951" s="26"/>
      <c r="F951" s="26"/>
      <c r="G951" s="26"/>
    </row>
    <row r="952" customFormat="false" ht="15" hidden="false" customHeight="false" outlineLevel="0" collapsed="false">
      <c r="A952" s="26"/>
      <c r="B952" s="26"/>
      <c r="C952" s="26"/>
      <c r="D952" s="26"/>
      <c r="E952" s="26"/>
      <c r="F952" s="26"/>
      <c r="G952" s="26"/>
    </row>
    <row r="953" customFormat="false" ht="15" hidden="false" customHeight="false" outlineLevel="0" collapsed="false">
      <c r="A953" s="26"/>
      <c r="B953" s="26"/>
      <c r="C953" s="26"/>
      <c r="D953" s="26"/>
      <c r="E953" s="26"/>
      <c r="F953" s="26"/>
      <c r="G953" s="26"/>
    </row>
    <row r="954" customFormat="false" ht="15" hidden="false" customHeight="false" outlineLevel="0" collapsed="false">
      <c r="A954" s="26"/>
      <c r="B954" s="26"/>
      <c r="C954" s="26"/>
      <c r="D954" s="26"/>
      <c r="E954" s="26"/>
      <c r="F954" s="26"/>
      <c r="G954" s="26"/>
    </row>
    <row r="955" customFormat="false" ht="15" hidden="false" customHeight="false" outlineLevel="0" collapsed="false">
      <c r="A955" s="26"/>
      <c r="B955" s="26"/>
      <c r="C955" s="26"/>
      <c r="D955" s="26"/>
      <c r="E955" s="26"/>
      <c r="F955" s="26"/>
      <c r="G955" s="26"/>
    </row>
    <row r="956" customFormat="false" ht="15" hidden="false" customHeight="false" outlineLevel="0" collapsed="false">
      <c r="A956" s="26"/>
      <c r="B956" s="26"/>
      <c r="C956" s="26"/>
      <c r="D956" s="26"/>
      <c r="E956" s="26"/>
      <c r="F956" s="26"/>
      <c r="G956" s="26"/>
    </row>
    <row r="957" customFormat="false" ht="15" hidden="false" customHeight="false" outlineLevel="0" collapsed="false">
      <c r="A957" s="26"/>
      <c r="B957" s="26"/>
      <c r="C957" s="26"/>
      <c r="D957" s="26"/>
      <c r="E957" s="26"/>
      <c r="F957" s="26"/>
      <c r="G957" s="26"/>
    </row>
    <row r="958" customFormat="false" ht="15" hidden="false" customHeight="false" outlineLevel="0" collapsed="false">
      <c r="A958" s="26"/>
      <c r="B958" s="26"/>
      <c r="C958" s="26"/>
      <c r="D958" s="26"/>
      <c r="E958" s="26"/>
      <c r="F958" s="26"/>
      <c r="G958" s="26"/>
    </row>
    <row r="959" customFormat="false" ht="15" hidden="false" customHeight="false" outlineLevel="0" collapsed="false">
      <c r="A959" s="26"/>
      <c r="B959" s="26"/>
      <c r="C959" s="26"/>
      <c r="D959" s="26"/>
      <c r="E959" s="26"/>
      <c r="F959" s="26"/>
      <c r="G959" s="26"/>
    </row>
    <row r="960" customFormat="false" ht="15" hidden="false" customHeight="false" outlineLevel="0" collapsed="false">
      <c r="A960" s="26"/>
      <c r="B960" s="26"/>
      <c r="C960" s="26"/>
      <c r="D960" s="26"/>
      <c r="E960" s="26"/>
      <c r="F960" s="26"/>
      <c r="G960" s="26"/>
    </row>
    <row r="961" customFormat="false" ht="15" hidden="false" customHeight="false" outlineLevel="0" collapsed="false">
      <c r="A961" s="26"/>
      <c r="B961" s="26"/>
      <c r="C961" s="26"/>
      <c r="D961" s="26"/>
      <c r="E961" s="26"/>
      <c r="F961" s="26"/>
      <c r="G961" s="26"/>
    </row>
    <row r="962" customFormat="false" ht="15" hidden="false" customHeight="false" outlineLevel="0" collapsed="false">
      <c r="A962" s="26"/>
      <c r="B962" s="26"/>
      <c r="C962" s="26"/>
      <c r="D962" s="26"/>
      <c r="E962" s="26"/>
      <c r="F962" s="26"/>
      <c r="G962" s="26"/>
    </row>
    <row r="963" customFormat="false" ht="15" hidden="false" customHeight="false" outlineLevel="0" collapsed="false">
      <c r="A963" s="26"/>
      <c r="B963" s="26"/>
      <c r="C963" s="26"/>
      <c r="D963" s="26"/>
      <c r="E963" s="26"/>
      <c r="F963" s="26"/>
      <c r="G963" s="26"/>
    </row>
    <row r="964" customFormat="false" ht="15" hidden="false" customHeight="false" outlineLevel="0" collapsed="false">
      <c r="A964" s="26"/>
      <c r="B964" s="26"/>
      <c r="C964" s="26"/>
      <c r="D964" s="26"/>
      <c r="E964" s="26"/>
      <c r="F964" s="26"/>
      <c r="G964" s="26"/>
    </row>
    <row r="965" customFormat="false" ht="15" hidden="false" customHeight="false" outlineLevel="0" collapsed="false">
      <c r="A965" s="26"/>
      <c r="B965" s="26"/>
      <c r="C965" s="26"/>
      <c r="D965" s="26"/>
      <c r="E965" s="26"/>
      <c r="F965" s="26"/>
      <c r="G965" s="26"/>
    </row>
    <row r="966" customFormat="false" ht="15" hidden="false" customHeight="false" outlineLevel="0" collapsed="false">
      <c r="A966" s="26"/>
      <c r="B966" s="26"/>
      <c r="C966" s="26"/>
      <c r="D966" s="26"/>
      <c r="E966" s="26"/>
      <c r="F966" s="26"/>
      <c r="G966" s="26"/>
    </row>
    <row r="967" customFormat="false" ht="15" hidden="false" customHeight="false" outlineLevel="0" collapsed="false">
      <c r="A967" s="26"/>
      <c r="B967" s="26"/>
      <c r="C967" s="26"/>
      <c r="D967" s="26"/>
      <c r="E967" s="26"/>
      <c r="F967" s="26"/>
      <c r="G967" s="26"/>
    </row>
    <row r="968" customFormat="false" ht="15" hidden="false" customHeight="false" outlineLevel="0" collapsed="false">
      <c r="A968" s="26"/>
      <c r="B968" s="26"/>
      <c r="C968" s="26"/>
      <c r="D968" s="26"/>
      <c r="E968" s="26"/>
      <c r="F968" s="26"/>
      <c r="G968" s="26"/>
    </row>
    <row r="969" customFormat="false" ht="15" hidden="false" customHeight="false" outlineLevel="0" collapsed="false">
      <c r="A969" s="26"/>
      <c r="B969" s="26"/>
      <c r="C969" s="26"/>
      <c r="D969" s="26"/>
      <c r="E969" s="26"/>
      <c r="F969" s="26"/>
      <c r="G969" s="26"/>
    </row>
    <row r="970" customFormat="false" ht="15" hidden="false" customHeight="false" outlineLevel="0" collapsed="false">
      <c r="A970" s="26"/>
      <c r="B970" s="26"/>
      <c r="C970" s="26"/>
      <c r="D970" s="26"/>
      <c r="E970" s="26"/>
      <c r="F970" s="26"/>
      <c r="G970" s="26"/>
    </row>
    <row r="971" customFormat="false" ht="15" hidden="false" customHeight="false" outlineLevel="0" collapsed="false">
      <c r="A971" s="26"/>
      <c r="B971" s="26"/>
      <c r="C971" s="26"/>
      <c r="D971" s="26"/>
      <c r="E971" s="26"/>
      <c r="F971" s="26"/>
      <c r="G971" s="26"/>
    </row>
    <row r="972" customFormat="false" ht="15" hidden="false" customHeight="false" outlineLevel="0" collapsed="false">
      <c r="A972" s="26"/>
      <c r="B972" s="26"/>
      <c r="C972" s="26"/>
      <c r="D972" s="26"/>
      <c r="E972" s="26"/>
      <c r="F972" s="26"/>
      <c r="G972" s="26"/>
    </row>
    <row r="973" customFormat="false" ht="15" hidden="false" customHeight="false" outlineLevel="0" collapsed="false">
      <c r="A973" s="26"/>
      <c r="B973" s="26"/>
      <c r="C973" s="26"/>
      <c r="D973" s="26"/>
      <c r="E973" s="26"/>
      <c r="F973" s="26"/>
      <c r="G973" s="26"/>
    </row>
    <row r="974" customFormat="false" ht="15" hidden="false" customHeight="false" outlineLevel="0" collapsed="false">
      <c r="A974" s="26"/>
      <c r="B974" s="26"/>
      <c r="C974" s="26"/>
      <c r="D974" s="26"/>
      <c r="E974" s="26"/>
      <c r="F974" s="26"/>
      <c r="G974" s="26"/>
    </row>
    <row r="975" customFormat="false" ht="15" hidden="false" customHeight="false" outlineLevel="0" collapsed="false">
      <c r="A975" s="26"/>
      <c r="B975" s="26"/>
      <c r="C975" s="26"/>
      <c r="D975" s="26"/>
      <c r="E975" s="26"/>
      <c r="F975" s="26"/>
      <c r="G975" s="26"/>
    </row>
    <row r="976" customFormat="false" ht="15" hidden="false" customHeight="false" outlineLevel="0" collapsed="false">
      <c r="A976" s="26"/>
      <c r="B976" s="26"/>
      <c r="C976" s="26"/>
      <c r="D976" s="26"/>
      <c r="E976" s="26"/>
      <c r="F976" s="26"/>
      <c r="G976" s="26"/>
    </row>
    <row r="977" customFormat="false" ht="15" hidden="false" customHeight="false" outlineLevel="0" collapsed="false">
      <c r="A977" s="26"/>
      <c r="B977" s="26"/>
      <c r="C977" s="26"/>
      <c r="D977" s="26"/>
      <c r="E977" s="26"/>
      <c r="F977" s="26"/>
      <c r="G977" s="26"/>
    </row>
    <row r="978" customFormat="false" ht="15" hidden="false" customHeight="false" outlineLevel="0" collapsed="false">
      <c r="A978" s="26"/>
      <c r="B978" s="26"/>
      <c r="C978" s="26"/>
      <c r="D978" s="26"/>
      <c r="E978" s="26"/>
      <c r="F978" s="26"/>
      <c r="G978" s="26"/>
    </row>
    <row r="979" customFormat="false" ht="15" hidden="false" customHeight="false" outlineLevel="0" collapsed="false">
      <c r="A979" s="26"/>
      <c r="B979" s="26"/>
      <c r="C979" s="26"/>
      <c r="D979" s="26"/>
      <c r="E979" s="26"/>
      <c r="F979" s="26"/>
      <c r="G979" s="26"/>
    </row>
    <row r="980" customFormat="false" ht="15" hidden="false" customHeight="false" outlineLevel="0" collapsed="false">
      <c r="A980" s="26"/>
      <c r="B980" s="26"/>
      <c r="C980" s="26"/>
      <c r="D980" s="26"/>
      <c r="E980" s="26"/>
      <c r="F980" s="26"/>
      <c r="G980" s="26"/>
    </row>
    <row r="981" customFormat="false" ht="15" hidden="false" customHeight="false" outlineLevel="0" collapsed="false">
      <c r="A981" s="26"/>
      <c r="B981" s="26"/>
      <c r="C981" s="26"/>
      <c r="D981" s="26"/>
      <c r="E981" s="26"/>
      <c r="F981" s="26"/>
      <c r="G981" s="26"/>
    </row>
    <row r="982" customFormat="false" ht="15" hidden="false" customHeight="false" outlineLevel="0" collapsed="false">
      <c r="A982" s="26"/>
      <c r="B982" s="26"/>
      <c r="C982" s="26"/>
      <c r="D982" s="26"/>
      <c r="E982" s="26"/>
      <c r="F982" s="26"/>
      <c r="G982" s="26"/>
    </row>
    <row r="983" customFormat="false" ht="15" hidden="false" customHeight="false" outlineLevel="0" collapsed="false">
      <c r="A983" s="26"/>
      <c r="B983" s="26"/>
      <c r="C983" s="26"/>
      <c r="D983" s="26"/>
      <c r="E983" s="26"/>
      <c r="F983" s="26"/>
      <c r="G983" s="26"/>
    </row>
    <row r="984" customFormat="false" ht="15" hidden="false" customHeight="false" outlineLevel="0" collapsed="false">
      <c r="A984" s="26"/>
      <c r="B984" s="26"/>
      <c r="C984" s="26"/>
      <c r="D984" s="26"/>
      <c r="E984" s="26"/>
      <c r="F984" s="26"/>
      <c r="G984" s="26"/>
    </row>
    <row r="985" customFormat="false" ht="15" hidden="false" customHeight="false" outlineLevel="0" collapsed="false">
      <c r="A985" s="26"/>
      <c r="B985" s="26"/>
      <c r="C985" s="26"/>
      <c r="D985" s="26"/>
      <c r="E985" s="26"/>
      <c r="F985" s="26"/>
      <c r="G985" s="26"/>
    </row>
    <row r="986" customFormat="false" ht="15" hidden="false" customHeight="false" outlineLevel="0" collapsed="false">
      <c r="A986" s="26"/>
      <c r="B986" s="26"/>
      <c r="C986" s="26"/>
      <c r="D986" s="26"/>
      <c r="E986" s="26"/>
      <c r="F986" s="26"/>
      <c r="G986" s="26"/>
    </row>
    <row r="987" customFormat="false" ht="15" hidden="false" customHeight="false" outlineLevel="0" collapsed="false">
      <c r="A987" s="26"/>
      <c r="B987" s="26"/>
      <c r="C987" s="26"/>
      <c r="D987" s="26"/>
      <c r="E987" s="26"/>
      <c r="F987" s="26"/>
      <c r="G987" s="26"/>
    </row>
    <row r="988" customFormat="false" ht="15" hidden="false" customHeight="false" outlineLevel="0" collapsed="false">
      <c r="A988" s="26"/>
      <c r="B988" s="26"/>
      <c r="C988" s="26"/>
      <c r="D988" s="26"/>
      <c r="E988" s="26"/>
      <c r="F988" s="26"/>
      <c r="G988" s="26"/>
    </row>
    <row r="989" customFormat="false" ht="15" hidden="false" customHeight="false" outlineLevel="0" collapsed="false">
      <c r="A989" s="26"/>
      <c r="B989" s="26"/>
      <c r="C989" s="26"/>
      <c r="D989" s="26"/>
      <c r="E989" s="26"/>
      <c r="F989" s="26"/>
      <c r="G989" s="26"/>
    </row>
    <row r="990" customFormat="false" ht="15" hidden="false" customHeight="false" outlineLevel="0" collapsed="false">
      <c r="A990" s="26"/>
      <c r="B990" s="26"/>
      <c r="C990" s="26"/>
      <c r="D990" s="26"/>
      <c r="E990" s="26"/>
      <c r="F990" s="26"/>
      <c r="G990" s="26"/>
    </row>
    <row r="991" customFormat="false" ht="15" hidden="false" customHeight="false" outlineLevel="0" collapsed="false">
      <c r="A991" s="26"/>
      <c r="B991" s="26"/>
      <c r="C991" s="26"/>
      <c r="D991" s="26"/>
      <c r="E991" s="26"/>
      <c r="F991" s="26"/>
      <c r="G991" s="26"/>
    </row>
    <row r="992" customFormat="false" ht="15" hidden="false" customHeight="false" outlineLevel="0" collapsed="false">
      <c r="A992" s="26"/>
      <c r="B992" s="26"/>
      <c r="C992" s="26"/>
      <c r="D992" s="26"/>
      <c r="E992" s="26"/>
      <c r="F992" s="26"/>
      <c r="G992" s="26"/>
    </row>
    <row r="993" customFormat="false" ht="15" hidden="false" customHeight="false" outlineLevel="0" collapsed="false">
      <c r="A993" s="26"/>
      <c r="B993" s="26"/>
      <c r="C993" s="26"/>
      <c r="D993" s="26"/>
      <c r="E993" s="26"/>
      <c r="F993" s="26"/>
      <c r="G993" s="26"/>
    </row>
    <row r="994" customFormat="false" ht="15" hidden="false" customHeight="false" outlineLevel="0" collapsed="false">
      <c r="A994" s="26"/>
      <c r="B994" s="26"/>
      <c r="C994" s="26"/>
      <c r="D994" s="26"/>
      <c r="E994" s="26"/>
      <c r="F994" s="26"/>
      <c r="G994" s="26"/>
    </row>
    <row r="995" customFormat="false" ht="15" hidden="false" customHeight="false" outlineLevel="0" collapsed="false">
      <c r="A995" s="26"/>
      <c r="B995" s="26"/>
      <c r="C995" s="26"/>
      <c r="D995" s="26"/>
      <c r="E995" s="26"/>
      <c r="F995" s="26"/>
      <c r="G995" s="26"/>
    </row>
    <row r="996" customFormat="false" ht="15" hidden="false" customHeight="false" outlineLevel="0" collapsed="false">
      <c r="A996" s="26"/>
      <c r="B996" s="26"/>
      <c r="C996" s="26"/>
      <c r="D996" s="26"/>
      <c r="E996" s="26"/>
      <c r="F996" s="26"/>
      <c r="G996" s="26"/>
    </row>
    <row r="997" customFormat="false" ht="15" hidden="false" customHeight="false" outlineLevel="0" collapsed="false">
      <c r="A997" s="26"/>
      <c r="B997" s="26"/>
      <c r="C997" s="26"/>
      <c r="D997" s="26"/>
      <c r="E997" s="26"/>
      <c r="F997" s="26"/>
      <c r="G997" s="26"/>
    </row>
    <row r="998" customFormat="false" ht="15" hidden="false" customHeight="false" outlineLevel="0" collapsed="false">
      <c r="A998" s="26"/>
      <c r="B998" s="26"/>
      <c r="C998" s="26"/>
      <c r="D998" s="26"/>
      <c r="E998" s="26"/>
      <c r="F998" s="26"/>
      <c r="G998" s="26"/>
    </row>
    <row r="999" customFormat="false" ht="15" hidden="false" customHeight="false" outlineLevel="0" collapsed="false">
      <c r="A999" s="26"/>
      <c r="B999" s="26"/>
      <c r="C999" s="26"/>
      <c r="D999" s="26"/>
      <c r="E999" s="26"/>
      <c r="F999" s="26"/>
      <c r="G999" s="26"/>
    </row>
    <row r="1000" customFormat="false" ht="15" hidden="false" customHeight="false" outlineLevel="0" collapsed="false">
      <c r="A1000" s="26"/>
      <c r="B1000" s="26"/>
      <c r="C1000" s="26"/>
      <c r="D1000" s="26"/>
      <c r="E1000" s="26"/>
      <c r="F1000" s="26"/>
      <c r="G1000" s="26"/>
    </row>
    <row r="1001" customFormat="false" ht="15" hidden="false" customHeight="false" outlineLevel="0" collapsed="false">
      <c r="A1001" s="26"/>
      <c r="B1001" s="26"/>
      <c r="C1001" s="26"/>
      <c r="D1001" s="26"/>
      <c r="E1001" s="26"/>
      <c r="F1001" s="26"/>
      <c r="G1001" s="26"/>
    </row>
  </sheetData>
  <hyperlinks>
    <hyperlink ref="A3" r:id="rId1" location="gid=133251357%20" display="https://docs.google.com/spreadsheets/d/1nC7Wt3_sS_Ov6XZY0KzrMMU95c3EsMciThLac86e-kU/edit?gid=133251357#gid=133251357 "/>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2" activeCellId="0" sqref="A2"/>
    </sheetView>
  </sheetViews>
  <sheetFormatPr defaultColWidth="14.4296875" defaultRowHeight="15" zeroHeight="false" outlineLevelRow="0" outlineLevelCol="0"/>
  <cols>
    <col collapsed="false" customWidth="true" hidden="false" outlineLevel="0" max="1" min="1" style="0" width="18"/>
    <col collapsed="false" customWidth="true" hidden="false" outlineLevel="0" max="2" min="2" style="0" width="46.29"/>
    <col collapsed="false" customWidth="true" hidden="false" outlineLevel="0" max="6" min="3" style="0" width="22"/>
    <col collapsed="false" customWidth="true" hidden="false" outlineLevel="0" max="26" min="7" style="0" width="8.72"/>
  </cols>
  <sheetData>
    <row r="1" customFormat="false" ht="29.25" hidden="false" customHeight="true" outlineLevel="0" collapsed="false">
      <c r="A1" s="44" t="s">
        <v>74</v>
      </c>
    </row>
    <row r="2" customFormat="false" ht="22.5" hidden="false" customHeight="true" outlineLevel="0" collapsed="false">
      <c r="A2" s="45" t="s">
        <v>75</v>
      </c>
    </row>
    <row r="4" customFormat="false" ht="79.5" hidden="false" customHeight="true" outlineLevel="0" collapsed="false">
      <c r="A4" s="46" t="s">
        <v>8</v>
      </c>
      <c r="B4" s="46" t="s">
        <v>76</v>
      </c>
      <c r="C4" s="46" t="s">
        <v>77</v>
      </c>
      <c r="D4" s="46" t="s">
        <v>78</v>
      </c>
      <c r="E4" s="46" t="s">
        <v>79</v>
      </c>
      <c r="F4" s="46" t="s">
        <v>80</v>
      </c>
    </row>
    <row r="5" customFormat="false" ht="15" hidden="false" customHeight="false" outlineLevel="0" collapsed="false">
      <c r="A5" s="47" t="s">
        <v>58</v>
      </c>
      <c r="B5" s="48" t="s">
        <v>59</v>
      </c>
      <c r="C5" s="49" t="n">
        <v>0.1001</v>
      </c>
      <c r="D5" s="49" t="n">
        <v>0.6725</v>
      </c>
      <c r="E5" s="49" t="n">
        <v>0.2336</v>
      </c>
      <c r="F5" s="49" t="n">
        <v>0.1781</v>
      </c>
    </row>
    <row r="6" customFormat="false" ht="15" hidden="false" customHeight="false" outlineLevel="0" collapsed="false">
      <c r="A6" s="47" t="s">
        <v>58</v>
      </c>
      <c r="B6" s="48" t="s">
        <v>70</v>
      </c>
      <c r="C6" s="49" t="n">
        <v>0.1013</v>
      </c>
      <c r="D6" s="49" t="n">
        <v>0.5068</v>
      </c>
      <c r="E6" s="49" t="n">
        <v>0.2358</v>
      </c>
      <c r="F6" s="49" t="n">
        <v>0.1499</v>
      </c>
    </row>
    <row r="7" customFormat="false" ht="15" hidden="false" customHeight="false" outlineLevel="0" collapsed="false">
      <c r="A7" s="50" t="s">
        <v>71</v>
      </c>
      <c r="B7" s="48" t="s">
        <v>81</v>
      </c>
      <c r="C7" s="49" t="n">
        <v>0.161</v>
      </c>
      <c r="D7" s="49" t="n">
        <v>0.6892</v>
      </c>
      <c r="E7" s="49" t="n">
        <v>0.3044</v>
      </c>
      <c r="F7" s="49" t="n">
        <v>0.2389</v>
      </c>
    </row>
    <row r="8" customFormat="false" ht="15" hidden="false" customHeight="false" outlineLevel="0" collapsed="false">
      <c r="A8" s="51" t="s">
        <v>82</v>
      </c>
      <c r="B8" s="48" t="s">
        <v>83</v>
      </c>
      <c r="C8" s="49" t="n">
        <v>0.1467</v>
      </c>
      <c r="D8" s="49" t="n">
        <v>0.782</v>
      </c>
      <c r="E8" s="49" t="n">
        <v>0.4186</v>
      </c>
      <c r="F8" s="49" t="n">
        <v>0.2878</v>
      </c>
    </row>
    <row r="9" customFormat="false" ht="15" hidden="false" customHeight="false" outlineLevel="0" collapsed="false">
      <c r="A9" s="51" t="s">
        <v>82</v>
      </c>
      <c r="B9" s="48" t="s">
        <v>84</v>
      </c>
      <c r="C9" s="49" t="n">
        <v>0.1528</v>
      </c>
      <c r="D9" s="49" t="n">
        <v>0.782</v>
      </c>
      <c r="E9" s="49" t="n">
        <v>0.3915</v>
      </c>
      <c r="F9" s="49" t="n">
        <v>0.2817</v>
      </c>
    </row>
    <row r="10" customFormat="false" ht="15" hidden="false" customHeight="false" outlineLevel="0" collapsed="false">
      <c r="A10" s="51" t="s">
        <v>82</v>
      </c>
      <c r="B10" s="48" t="s">
        <v>85</v>
      </c>
      <c r="C10" s="49" t="n">
        <v>0.1791</v>
      </c>
      <c r="D10" s="49" t="n">
        <v>0.8718</v>
      </c>
      <c r="E10" s="49" t="n">
        <v>0.4613</v>
      </c>
      <c r="F10" s="49" t="n">
        <v>0.3254</v>
      </c>
    </row>
    <row r="11" customFormat="false" ht="15" hidden="false" customHeight="false" outlineLevel="0" collapsed="false">
      <c r="A11" s="51" t="s">
        <v>82</v>
      </c>
      <c r="B11" s="48" t="s">
        <v>86</v>
      </c>
      <c r="C11" s="49" t="n">
        <v>0.1675</v>
      </c>
      <c r="D11" s="49" t="n">
        <v>0.8718</v>
      </c>
      <c r="E11" s="49" t="n">
        <v>0.4447</v>
      </c>
      <c r="F11" s="49" t="n">
        <v>0.3065</v>
      </c>
    </row>
    <row r="12" customFormat="false" ht="15" hidden="false" customHeight="false" outlineLevel="0" collapsed="false">
      <c r="A12" s="51" t="s">
        <v>82</v>
      </c>
      <c r="B12" s="48" t="s">
        <v>87</v>
      </c>
      <c r="C12" s="35" t="s">
        <v>88</v>
      </c>
      <c r="D12" s="35" t="s">
        <v>88</v>
      </c>
      <c r="E12" s="35" t="s">
        <v>88</v>
      </c>
      <c r="F12" s="35" t="s">
        <v>88</v>
      </c>
    </row>
    <row r="13" customFormat="false" ht="15" hidden="false" customHeight="false" outlineLevel="0" collapsed="false">
      <c r="A13" s="51" t="s">
        <v>82</v>
      </c>
      <c r="B13" s="48" t="s">
        <v>89</v>
      </c>
      <c r="C13" s="35" t="s">
        <v>88</v>
      </c>
      <c r="D13" s="35" t="s">
        <v>88</v>
      </c>
      <c r="E13" s="35" t="s">
        <v>88</v>
      </c>
      <c r="F13" s="35" t="s">
        <v>88</v>
      </c>
    </row>
    <row r="14" customFormat="false" ht="15" hidden="false" customHeight="false" outlineLevel="0" collapsed="false">
      <c r="A14" s="51" t="s">
        <v>82</v>
      </c>
      <c r="B14" s="48" t="s">
        <v>90</v>
      </c>
      <c r="C14" s="35" t="s">
        <v>88</v>
      </c>
      <c r="D14" s="35" t="s">
        <v>88</v>
      </c>
      <c r="E14" s="35" t="s">
        <v>88</v>
      </c>
      <c r="F14" s="35" t="s">
        <v>88</v>
      </c>
    </row>
    <row r="15" customFormat="false" ht="15" hidden="false" customHeight="false" outlineLevel="0" collapsed="false">
      <c r="A15" s="51" t="s">
        <v>82</v>
      </c>
      <c r="B15" s="48" t="s">
        <v>91</v>
      </c>
      <c r="C15" s="35" t="s">
        <v>88</v>
      </c>
      <c r="D15" s="35" t="s">
        <v>88</v>
      </c>
      <c r="E15" s="35" t="s">
        <v>88</v>
      </c>
      <c r="F15" s="35" t="s">
        <v>88</v>
      </c>
    </row>
    <row r="16" customFormat="false" ht="15" hidden="false" customHeight="false" outlineLevel="0" collapsed="false">
      <c r="A16" s="51" t="s">
        <v>82</v>
      </c>
      <c r="B16" s="48" t="s">
        <v>92</v>
      </c>
      <c r="C16" s="35" t="s">
        <v>88</v>
      </c>
      <c r="D16" s="35" t="s">
        <v>88</v>
      </c>
      <c r="E16" s="35" t="s">
        <v>88</v>
      </c>
      <c r="F16" s="35" t="s">
        <v>88</v>
      </c>
    </row>
    <row r="17" customFormat="false" ht="15" hidden="false" customHeight="false" outlineLevel="0" collapsed="false">
      <c r="A17" s="51" t="s">
        <v>82</v>
      </c>
      <c r="B17" s="48" t="s">
        <v>93</v>
      </c>
      <c r="C17" s="35" t="s">
        <v>88</v>
      </c>
      <c r="D17" s="35" t="s">
        <v>88</v>
      </c>
      <c r="E17" s="35" t="s">
        <v>88</v>
      </c>
      <c r="F17" s="35" t="s">
        <v>88</v>
      </c>
    </row>
    <row r="18" customFormat="false" ht="15" hidden="false" customHeight="false" outlineLevel="0" collapsed="false">
      <c r="A18" s="51" t="s">
        <v>82</v>
      </c>
      <c r="B18" s="48" t="s">
        <v>94</v>
      </c>
      <c r="C18" s="35" t="s">
        <v>88</v>
      </c>
      <c r="D18" s="35" t="s">
        <v>88</v>
      </c>
      <c r="E18" s="35" t="s">
        <v>88</v>
      </c>
      <c r="F18" s="35" t="s">
        <v>88</v>
      </c>
    </row>
    <row r="19" customFormat="false" ht="15" hidden="false" customHeight="false" outlineLevel="0" collapsed="false">
      <c r="A19" s="51" t="s">
        <v>82</v>
      </c>
      <c r="B19" s="48" t="s">
        <v>95</v>
      </c>
      <c r="C19" s="35" t="s">
        <v>88</v>
      </c>
      <c r="D19" s="35" t="s">
        <v>88</v>
      </c>
      <c r="E19" s="35" t="s">
        <v>88</v>
      </c>
      <c r="F19" s="35" t="s">
        <v>88</v>
      </c>
    </row>
    <row r="20" customFormat="false" ht="15" hidden="false" customHeight="false" outlineLevel="0" collapsed="false">
      <c r="A20" s="51" t="s">
        <v>82</v>
      </c>
      <c r="B20" s="48" t="s">
        <v>96</v>
      </c>
      <c r="C20" s="35" t="s">
        <v>88</v>
      </c>
      <c r="D20" s="35" t="s">
        <v>88</v>
      </c>
      <c r="E20" s="35" t="s">
        <v>88</v>
      </c>
      <c r="F20" s="35" t="s">
        <v>88</v>
      </c>
    </row>
    <row r="21" customFormat="false" ht="15.75" hidden="false" customHeight="true" outlineLevel="0" collapsed="false">
      <c r="A21" s="51" t="s">
        <v>82</v>
      </c>
      <c r="B21" s="48" t="s">
        <v>97</v>
      </c>
      <c r="C21" s="35" t="s">
        <v>88</v>
      </c>
      <c r="D21" s="35" t="s">
        <v>88</v>
      </c>
      <c r="E21" s="35" t="s">
        <v>88</v>
      </c>
      <c r="F21" s="35" t="s">
        <v>88</v>
      </c>
    </row>
    <row r="22" customFormat="false" ht="15.75" hidden="false" customHeight="true" outlineLevel="0" collapsed="false">
      <c r="A22" s="51" t="s">
        <v>82</v>
      </c>
      <c r="B22" s="48" t="s">
        <v>98</v>
      </c>
      <c r="C22" s="35" t="s">
        <v>88</v>
      </c>
      <c r="D22" s="35" t="s">
        <v>88</v>
      </c>
      <c r="E22" s="35" t="s">
        <v>88</v>
      </c>
      <c r="F22" s="35" t="s">
        <v>88</v>
      </c>
    </row>
    <row r="23" customFormat="false" ht="15.75" hidden="false" customHeight="true" outlineLevel="0" collapsed="false">
      <c r="A23" s="51" t="s">
        <v>82</v>
      </c>
      <c r="B23" s="48" t="s">
        <v>99</v>
      </c>
      <c r="C23" s="35" t="s">
        <v>88</v>
      </c>
      <c r="D23" s="35" t="s">
        <v>88</v>
      </c>
      <c r="E23" s="35" t="s">
        <v>88</v>
      </c>
      <c r="F23" s="35" t="s">
        <v>88</v>
      </c>
    </row>
    <row r="24" customFormat="false" ht="15.75" hidden="false" customHeight="true" outlineLevel="0" collapsed="false">
      <c r="A24" s="51" t="s">
        <v>82</v>
      </c>
      <c r="B24" s="48" t="s">
        <v>100</v>
      </c>
      <c r="C24" s="35" t="s">
        <v>88</v>
      </c>
      <c r="D24" s="35" t="s">
        <v>88</v>
      </c>
      <c r="E24" s="35" t="s">
        <v>88</v>
      </c>
      <c r="F24" s="35" t="s">
        <v>88</v>
      </c>
    </row>
    <row r="25" customFormat="false" ht="15.75" hidden="false" customHeight="true" outlineLevel="0" collapsed="false">
      <c r="A25" s="51" t="s">
        <v>82</v>
      </c>
      <c r="B25" s="48" t="s">
        <v>101</v>
      </c>
      <c r="C25" s="35" t="s">
        <v>88</v>
      </c>
      <c r="D25" s="35" t="s">
        <v>88</v>
      </c>
      <c r="E25" s="35" t="s">
        <v>88</v>
      </c>
      <c r="F25" s="35" t="s">
        <v>88</v>
      </c>
    </row>
    <row r="26" customFormat="false" ht="15.75" hidden="false" customHeight="true" outlineLevel="0" collapsed="false">
      <c r="A26" s="51" t="s">
        <v>82</v>
      </c>
      <c r="B26" s="48" t="s">
        <v>102</v>
      </c>
      <c r="C26" s="35" t="s">
        <v>88</v>
      </c>
      <c r="D26" s="35" t="s">
        <v>88</v>
      </c>
      <c r="E26" s="35" t="s">
        <v>88</v>
      </c>
      <c r="F26" s="35" t="s">
        <v>88</v>
      </c>
    </row>
    <row r="27" customFormat="false" ht="15.75" hidden="false" customHeight="true" outlineLevel="0" collapsed="false">
      <c r="A27" s="51" t="s">
        <v>82</v>
      </c>
      <c r="B27" s="48" t="s">
        <v>103</v>
      </c>
      <c r="C27" s="35" t="s">
        <v>88</v>
      </c>
      <c r="D27" s="35" t="s">
        <v>88</v>
      </c>
      <c r="E27" s="35" t="s">
        <v>88</v>
      </c>
      <c r="F27" s="35" t="s">
        <v>88</v>
      </c>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2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2" topLeftCell="B5" activePane="bottomRight" state="frozen"/>
      <selection pane="topLeft" activeCell="A1" activeCellId="0" sqref="A1"/>
      <selection pane="topRight" activeCell="B1" activeCellId="0" sqref="B1"/>
      <selection pane="bottomLeft" activeCell="A5" activeCellId="0" sqref="A5"/>
      <selection pane="bottomRight" activeCell="E21" activeCellId="0" sqref="E21"/>
    </sheetView>
  </sheetViews>
  <sheetFormatPr defaultColWidth="11.4296875" defaultRowHeight="12.75" zeroHeight="false" outlineLevelRow="0" outlineLevelCol="0"/>
  <cols>
    <col collapsed="false" customWidth="false" hidden="false" outlineLevel="0" max="1" min="1" style="52" width="11.43"/>
    <col collapsed="false" customWidth="true" hidden="false" outlineLevel="0" max="2" min="2" style="52" width="18.43"/>
    <col collapsed="false" customWidth="true" hidden="false" outlineLevel="0" max="4" min="3" style="52" width="22.86"/>
    <col collapsed="false" customWidth="true" hidden="false" outlineLevel="0" max="7" min="5" style="52" width="19.57"/>
    <col collapsed="false" customWidth="false" hidden="false" outlineLevel="0" max="12" min="8" style="52" width="11.43"/>
    <col collapsed="false" customWidth="true" hidden="false" outlineLevel="0" max="21" min="13" style="52" width="16.29"/>
    <col collapsed="false" customWidth="false" hidden="false" outlineLevel="0" max="34" min="22" style="52" width="11.43"/>
    <col collapsed="false" customWidth="true" hidden="false" outlineLevel="0" max="35" min="35" style="52" width="13"/>
    <col collapsed="false" customWidth="false" hidden="false" outlineLevel="0" max="16384" min="36" style="52" width="11.43"/>
  </cols>
  <sheetData>
    <row r="1" customFormat="false" ht="12.75" hidden="false" customHeight="false" outlineLevel="0" collapsed="false">
      <c r="B1" s="52" t="s">
        <v>104</v>
      </c>
      <c r="C1" s="52" t="s">
        <v>104</v>
      </c>
      <c r="D1" s="52" t="s">
        <v>104</v>
      </c>
      <c r="E1" s="52" t="s">
        <v>105</v>
      </c>
      <c r="F1" s="52" t="s">
        <v>104</v>
      </c>
      <c r="G1" s="52" t="s">
        <v>104</v>
      </c>
      <c r="H1" s="53" t="s">
        <v>106</v>
      </c>
      <c r="I1" s="53" t="s">
        <v>106</v>
      </c>
      <c r="J1" s="53"/>
      <c r="K1" s="52" t="s">
        <v>107</v>
      </c>
      <c r="M1" s="53" t="s">
        <v>106</v>
      </c>
      <c r="N1" s="53" t="s">
        <v>106</v>
      </c>
      <c r="O1" s="53" t="s">
        <v>106</v>
      </c>
      <c r="P1" s="53" t="s">
        <v>106</v>
      </c>
      <c r="Q1" s="53" t="s">
        <v>106</v>
      </c>
      <c r="R1" s="53" t="s">
        <v>106</v>
      </c>
      <c r="S1" s="53"/>
      <c r="T1" s="53" t="s">
        <v>106</v>
      </c>
      <c r="U1" s="53"/>
      <c r="AF1" s="52" t="s">
        <v>108</v>
      </c>
      <c r="AG1" s="52" t="s">
        <v>108</v>
      </c>
      <c r="AH1" s="52" t="s">
        <v>108</v>
      </c>
    </row>
    <row r="2" customFormat="false" ht="83.75" hidden="false" customHeight="false" outlineLevel="0" collapsed="false">
      <c r="B2" s="54" t="s">
        <v>109</v>
      </c>
      <c r="C2" s="54" t="s">
        <v>110</v>
      </c>
      <c r="D2" s="54" t="s">
        <v>111</v>
      </c>
      <c r="E2" s="54" t="s">
        <v>110</v>
      </c>
      <c r="F2" s="54" t="s">
        <v>112</v>
      </c>
      <c r="G2" s="55" t="s">
        <v>113</v>
      </c>
      <c r="H2" s="54" t="s">
        <v>114</v>
      </c>
      <c r="I2" s="54" t="s">
        <v>115</v>
      </c>
      <c r="J2" s="54" t="s">
        <v>116</v>
      </c>
      <c r="K2" s="56" t="s">
        <v>117</v>
      </c>
      <c r="L2" s="56" t="s">
        <v>118</v>
      </c>
      <c r="M2" s="54" t="s">
        <v>110</v>
      </c>
      <c r="N2" s="54" t="s">
        <v>111</v>
      </c>
      <c r="O2" s="54" t="s">
        <v>119</v>
      </c>
      <c r="P2" s="54" t="s">
        <v>120</v>
      </c>
      <c r="Q2" s="54" t="s">
        <v>121</v>
      </c>
      <c r="R2" s="54" t="s">
        <v>122</v>
      </c>
      <c r="S2" s="54" t="s">
        <v>123</v>
      </c>
      <c r="T2" s="54" t="s">
        <v>124</v>
      </c>
      <c r="U2" s="54" t="s">
        <v>125</v>
      </c>
      <c r="V2" s="54" t="s">
        <v>126</v>
      </c>
      <c r="W2" s="54" t="s">
        <v>127</v>
      </c>
      <c r="X2" s="54" t="s">
        <v>128</v>
      </c>
      <c r="Y2" s="54" t="s">
        <v>129</v>
      </c>
      <c r="Z2" s="54" t="s">
        <v>130</v>
      </c>
      <c r="AA2" s="54" t="s">
        <v>131</v>
      </c>
      <c r="AB2" s="54" t="s">
        <v>132</v>
      </c>
      <c r="AC2" s="54" t="s">
        <v>133</v>
      </c>
      <c r="AF2" s="54" t="s">
        <v>134</v>
      </c>
      <c r="AG2" s="54" t="s">
        <v>135</v>
      </c>
      <c r="AH2" s="54" t="s">
        <v>136</v>
      </c>
      <c r="AI2" s="54" t="s">
        <v>137</v>
      </c>
    </row>
    <row r="3" customFormat="false" ht="15" hidden="false" customHeight="false" outlineLevel="0" collapsed="false">
      <c r="A3" s="52" t="n">
        <v>2001</v>
      </c>
      <c r="B3" s="57" t="n">
        <v>89240215000</v>
      </c>
      <c r="C3" s="57" t="n">
        <v>39864241987.7854</v>
      </c>
      <c r="D3" s="57" t="n">
        <v>28622363000</v>
      </c>
      <c r="E3" s="57" t="n">
        <v>239461222920.088</v>
      </c>
      <c r="F3" s="57" t="n">
        <v>5086917680.6166</v>
      </c>
      <c r="G3" s="57" t="n">
        <v>3539644000</v>
      </c>
      <c r="K3" s="58" t="n">
        <v>13.408852</v>
      </c>
      <c r="L3" s="52" t="n">
        <v>19.078999</v>
      </c>
      <c r="M3" s="59" t="n">
        <f aca="false">C3/K3/1000000</f>
        <v>2972.97949054739</v>
      </c>
      <c r="N3" s="59" t="n">
        <f aca="false">D3/K3/1000000</f>
        <v>2134.58713691523</v>
      </c>
      <c r="O3" s="59" t="n">
        <f aca="false">F3/K3/1000000</f>
        <v>379.370111670753</v>
      </c>
      <c r="P3" s="59" t="n">
        <f aca="false">G3/K3/1000000</f>
        <v>263.978154132807</v>
      </c>
      <c r="Q3" s="59"/>
      <c r="R3" s="59"/>
      <c r="S3" s="59"/>
      <c r="T3" s="59"/>
      <c r="U3" s="59"/>
      <c r="X3" s="52" t="n">
        <f aca="false">N3/N$8*100</f>
        <v>89.8594146760421</v>
      </c>
      <c r="Y3" s="60" t="n">
        <f aca="false">'[1]rama-C'!AD2</f>
        <v>0.127606030541739</v>
      </c>
    </row>
    <row r="4" customFormat="false" ht="15" hidden="false" customHeight="false" outlineLevel="0" collapsed="false">
      <c r="A4" s="52" t="n">
        <v>2002</v>
      </c>
      <c r="B4" s="57" t="n">
        <v>104934883446</v>
      </c>
      <c r="C4" s="57" t="n">
        <v>50476907405.3015</v>
      </c>
      <c r="D4" s="57"/>
      <c r="E4" s="57" t="n">
        <v>209996122529.835</v>
      </c>
      <c r="F4" s="57" t="n">
        <v>13485389944.9646</v>
      </c>
      <c r="G4" s="57"/>
      <c r="K4" s="58" t="n">
        <v>21.587268</v>
      </c>
      <c r="L4" s="52" t="n">
        <v>22.652647</v>
      </c>
      <c r="M4" s="59" t="n">
        <f aca="false">C4/K4/1000000</f>
        <v>2338.27214288077</v>
      </c>
      <c r="N4" s="59"/>
      <c r="O4" s="59" t="n">
        <f aca="false">F4/K4/1000000</f>
        <v>624.691829691677</v>
      </c>
      <c r="P4" s="59"/>
      <c r="Q4" s="59"/>
      <c r="R4" s="59"/>
      <c r="S4" s="59"/>
      <c r="T4" s="59"/>
      <c r="U4" s="59"/>
      <c r="Y4" s="60" t="n">
        <f aca="false">'[1]rama-C'!AD3</f>
        <v>0.267159591150948</v>
      </c>
    </row>
    <row r="5" customFormat="false" ht="15" hidden="false" customHeight="false" outlineLevel="0" collapsed="false">
      <c r="A5" s="52" t="n">
        <v>2003</v>
      </c>
      <c r="B5" s="57" t="n">
        <v>139349946300</v>
      </c>
      <c r="C5" s="57" t="n">
        <v>65662459347.9581</v>
      </c>
      <c r="D5" s="57" t="n">
        <v>48103564060</v>
      </c>
      <c r="E5" s="57" t="n">
        <v>198569505416.453</v>
      </c>
      <c r="F5" s="57" t="n">
        <v>12655823088.4766</v>
      </c>
      <c r="G5" s="57" t="n">
        <v>6899547696</v>
      </c>
      <c r="K5" s="58" t="n">
        <v>28.369939</v>
      </c>
      <c r="L5" s="52" t="n">
        <v>26.367312</v>
      </c>
      <c r="M5" s="59" t="n">
        <f aca="false">C5/K5/1000000</f>
        <v>2314.50830218416</v>
      </c>
      <c r="N5" s="59" t="n">
        <f aca="false">D5/K5/1000000</f>
        <v>1695.58221679645</v>
      </c>
      <c r="O5" s="59" t="n">
        <f aca="false">F5/K5/1000000</f>
        <v>446.099763854854</v>
      </c>
      <c r="P5" s="59" t="n">
        <f aca="false">G5/K5/1000000</f>
        <v>243.199243255334</v>
      </c>
      <c r="Q5" s="59"/>
      <c r="R5" s="59"/>
      <c r="S5" s="59"/>
      <c r="T5" s="59"/>
      <c r="U5" s="59"/>
      <c r="X5" s="52" t="n">
        <f aca="false">N5/N$8*100</f>
        <v>71.3786862580939</v>
      </c>
      <c r="Y5" s="60" t="n">
        <f aca="false">'[1]rama-C'!AD4</f>
        <v>0.192740619436914</v>
      </c>
    </row>
    <row r="6" customFormat="false" ht="15" hidden="false" customHeight="false" outlineLevel="0" collapsed="false">
      <c r="A6" s="52" t="n">
        <v>2004</v>
      </c>
      <c r="B6" s="57" t="n">
        <v>179010449525</v>
      </c>
      <c r="C6" s="57" t="n">
        <v>72889932573.5682</v>
      </c>
      <c r="D6" s="57" t="n">
        <v>50525577181</v>
      </c>
      <c r="E6" s="57" t="n">
        <v>249774503499.928</v>
      </c>
      <c r="F6" s="57" t="n">
        <v>19229598213.0502</v>
      </c>
      <c r="G6" s="57" t="n">
        <v>6396127195</v>
      </c>
      <c r="K6" s="58" t="n">
        <v>28.703792</v>
      </c>
      <c r="L6" s="52" t="n">
        <v>29.122846</v>
      </c>
      <c r="M6" s="59" t="n">
        <f aca="false">C6/K6/1000000</f>
        <v>2539.38338786625</v>
      </c>
      <c r="N6" s="59" t="n">
        <f aca="false">D6/K6/1000000</f>
        <v>1760.240499966</v>
      </c>
      <c r="O6" s="59" t="n">
        <f aca="false">F6/K6/1000000</f>
        <v>669.932328559593</v>
      </c>
      <c r="P6" s="59" t="n">
        <f aca="false">G6/K6/1000000</f>
        <v>222.832132946058</v>
      </c>
      <c r="Q6" s="59"/>
      <c r="R6" s="59"/>
      <c r="S6" s="59"/>
      <c r="T6" s="59"/>
      <c r="U6" s="59"/>
      <c r="X6" s="52" t="n">
        <f aca="false">N6/N$8*100</f>
        <v>74.100596916644</v>
      </c>
      <c r="Y6" s="60" t="n">
        <f aca="false">'[1]rama-C'!AD5</f>
        <v>0.263816929637597</v>
      </c>
    </row>
    <row r="7" customFormat="false" ht="15" hidden="false" customHeight="false" outlineLevel="0" collapsed="false">
      <c r="A7" s="52" t="n">
        <v>2005</v>
      </c>
      <c r="B7" s="57" t="n">
        <v>184862461743</v>
      </c>
      <c r="C7" s="57" t="n">
        <v>75872496535.8448</v>
      </c>
      <c r="D7" s="57" t="n">
        <v>52418214093</v>
      </c>
      <c r="E7" s="57" t="n">
        <v>304509275539.286</v>
      </c>
      <c r="F7" s="57" t="n">
        <v>17354019747.2241</v>
      </c>
      <c r="G7" s="57" t="n">
        <v>6464007473</v>
      </c>
      <c r="K7" s="58" t="n">
        <v>24.478579</v>
      </c>
      <c r="L7" s="52" t="n">
        <v>28.325217</v>
      </c>
      <c r="M7" s="59" t="n">
        <f aca="false">C7/K7/1000000</f>
        <v>3099.54660913302</v>
      </c>
      <c r="N7" s="59" t="n">
        <f aca="false">D7/K7/1000000</f>
        <v>2141.39121772551</v>
      </c>
      <c r="O7" s="59" t="n">
        <f aca="false">F7/K7/1000000</f>
        <v>708.947187956625</v>
      </c>
      <c r="P7" s="59" t="n">
        <f aca="false">G7/K7/1000000</f>
        <v>264.067921303765</v>
      </c>
      <c r="Q7" s="59"/>
      <c r="R7" s="59"/>
      <c r="S7" s="59"/>
      <c r="T7" s="59"/>
      <c r="U7" s="59"/>
      <c r="X7" s="52" t="n">
        <f aca="false">N7/N$8*100</f>
        <v>90.1458451095656</v>
      </c>
      <c r="Y7" s="60" t="n">
        <f aca="false">'[1]rama-C'!AD6</f>
        <v>0.228726093638232</v>
      </c>
    </row>
    <row r="8" customFormat="false" ht="15" hidden="false" customHeight="false" outlineLevel="0" collapsed="false">
      <c r="A8" s="52" t="n">
        <v>2006</v>
      </c>
      <c r="B8" s="57" t="n">
        <v>185039597745.125</v>
      </c>
      <c r="C8" s="57" t="n">
        <v>80567670011.131</v>
      </c>
      <c r="D8" s="57" t="n">
        <v>57185676835.0951</v>
      </c>
      <c r="E8" s="57" t="n">
        <v>273923165915.572</v>
      </c>
      <c r="F8" s="57" t="n">
        <v>17995064622.0193</v>
      </c>
      <c r="G8" s="57" t="n">
        <v>6516136919.59274</v>
      </c>
      <c r="H8" s="61" t="n">
        <v>1556.81481626941</v>
      </c>
      <c r="I8" s="61" t="n">
        <v>83.7534602731673</v>
      </c>
      <c r="J8" s="61" t="n">
        <f aca="false">I8*0.9</f>
        <v>75.3781142458506</v>
      </c>
      <c r="K8" s="58" t="n">
        <v>24.073374</v>
      </c>
      <c r="L8" s="52" t="n">
        <v>29.954262</v>
      </c>
      <c r="M8" s="59" t="n">
        <f aca="false">C8/K8/1000000</f>
        <v>3346.75438561836</v>
      </c>
      <c r="N8" s="59" t="n">
        <f aca="false">D8/K8/1000000</f>
        <v>2375.4741165528</v>
      </c>
      <c r="O8" s="59" t="n">
        <f aca="false">F8/K8/1000000</f>
        <v>747.509037246682</v>
      </c>
      <c r="P8" s="59" t="n">
        <f aca="false">G8/K8/1000000</f>
        <v>270.678174135156</v>
      </c>
      <c r="Q8" s="59" t="n">
        <f aca="false">O8-I8</f>
        <v>663.755576973515</v>
      </c>
      <c r="R8" s="59" t="n">
        <f aca="false">Q8-P8</f>
        <v>393.077402838358</v>
      </c>
      <c r="S8" s="62" t="n">
        <f aca="false">I8/O8</f>
        <v>0.112043408306685</v>
      </c>
      <c r="T8" s="59" t="n">
        <f aca="false">M8-H8</f>
        <v>1789.93956934895</v>
      </c>
      <c r="U8" s="59" t="n">
        <f aca="false">N8-H8</f>
        <v>818.659300283386</v>
      </c>
      <c r="V8" s="52" t="n">
        <f aca="false">H8/M8</f>
        <v>0.465171517503448</v>
      </c>
      <c r="W8" s="52" t="n">
        <f aca="false">H8/H$8*100</f>
        <v>100</v>
      </c>
      <c r="X8" s="52" t="n">
        <f aca="false">N8/N$8*100</f>
        <v>100</v>
      </c>
      <c r="Y8" s="60" t="n">
        <f aca="false">'[1]rama-C'!AD7</f>
        <v>0.223353419796466</v>
      </c>
      <c r="AF8" s="59" t="n">
        <f aca="false">$J8*K8</f>
        <v>1814.60553565509</v>
      </c>
      <c r="AG8" s="59" t="n">
        <f aca="false">$J8*L8</f>
        <v>2257.89578318614</v>
      </c>
      <c r="AH8" s="59" t="n">
        <f aca="false">AG8-AF8</f>
        <v>443.290247531052</v>
      </c>
      <c r="AI8" s="62" t="n">
        <f aca="false">AH8/(F8/1000000)</f>
        <v>0.0246339903102448</v>
      </c>
      <c r="AK8" s="63" t="n">
        <f aca="false">(AF8*1000000)/B8</f>
        <v>0.0098065795525266</v>
      </c>
    </row>
    <row r="9" customFormat="false" ht="15" hidden="false" customHeight="false" outlineLevel="0" collapsed="false">
      <c r="A9" s="52" t="n">
        <v>2007</v>
      </c>
      <c r="B9" s="57" t="n">
        <v>235394001073.246</v>
      </c>
      <c r="C9" s="57" t="n">
        <v>118120892097.419</v>
      </c>
      <c r="D9" s="57" t="n">
        <v>88288212567.6234</v>
      </c>
      <c r="E9" s="57" t="n">
        <v>324292281811.256</v>
      </c>
      <c r="F9" s="57" t="n">
        <v>24110500055.0133</v>
      </c>
      <c r="G9" s="57" t="n">
        <v>17359289524.5189</v>
      </c>
      <c r="H9" s="61" t="n">
        <v>1737.30805230711</v>
      </c>
      <c r="I9" s="61" t="n">
        <v>89.0357224984576</v>
      </c>
      <c r="J9" s="61" t="n">
        <f aca="false">I9*0.9</f>
        <v>80.1321502486119</v>
      </c>
      <c r="K9" s="58" t="n">
        <v>23.471036</v>
      </c>
      <c r="L9" s="52" t="n">
        <v>30.861639</v>
      </c>
      <c r="M9" s="59" t="n">
        <f aca="false">C9/K9/1000000</f>
        <v>5032.62370256767</v>
      </c>
      <c r="N9" s="59" t="n">
        <f aca="false">D9/K9/1000000</f>
        <v>3761.58140474172</v>
      </c>
      <c r="O9" s="59" t="n">
        <f aca="false">F9/K9/1000000</f>
        <v>1027.24481590899</v>
      </c>
      <c r="P9" s="59" t="n">
        <f aca="false">G9/K9/1000000</f>
        <v>739.604741968735</v>
      </c>
      <c r="Q9" s="59" t="n">
        <f aca="false">O9-I9</f>
        <v>938.209093410533</v>
      </c>
      <c r="R9" s="59" t="n">
        <f aca="false">Q9-P9</f>
        <v>198.604351441797</v>
      </c>
      <c r="S9" s="62" t="n">
        <f aca="false">I9/O9</f>
        <v>0.086674297226481</v>
      </c>
      <c r="T9" s="59" t="n">
        <f aca="false">M9-H9</f>
        <v>3295.31565026056</v>
      </c>
      <c r="U9" s="59" t="n">
        <f aca="false">N9-H9</f>
        <v>2024.27335243461</v>
      </c>
      <c r="V9" s="52" t="n">
        <f aca="false">H9/M9</f>
        <v>0.345209209943658</v>
      </c>
      <c r="W9" s="52" t="n">
        <f aca="false">H9/H$8*100</f>
        <v>111.593751173965</v>
      </c>
      <c r="X9" s="52" t="n">
        <f aca="false">N9/N$8*100</f>
        <v>158.35076368672</v>
      </c>
      <c r="Y9" s="60" t="n">
        <f aca="false">'[1]rama-C'!AD8</f>
        <v>0.204117151732383</v>
      </c>
      <c r="Z9" s="62" t="n">
        <f aca="false">T9/Q9</f>
        <v>3.51234673955417</v>
      </c>
      <c r="AA9" s="62" t="n">
        <f aca="false">R9/T9</f>
        <v>0.060268688198684</v>
      </c>
      <c r="AB9" s="62" t="n">
        <f aca="false">Q9/U9</f>
        <v>0.463479446726967</v>
      </c>
      <c r="AC9" s="64" t="n">
        <f aca="false">AVERAGE(AA$9:AA$26)</f>
        <v>0.0342436270657735</v>
      </c>
      <c r="AF9" s="59" t="n">
        <f aca="false">$J9*K9</f>
        <v>1880.78458324258</v>
      </c>
      <c r="AG9" s="59" t="n">
        <f aca="false">$J9*L9</f>
        <v>2473.00949326642</v>
      </c>
      <c r="AH9" s="59" t="n">
        <f aca="false">AG9-AF9</f>
        <v>592.224910023841</v>
      </c>
      <c r="AI9" s="62" t="n">
        <f aca="false">AH9/(F9/1000000)</f>
        <v>0.0245629459643124</v>
      </c>
      <c r="AK9" s="63" t="n">
        <f aca="false">(AF9*1000000)/F9</f>
        <v>0.0780068675038329</v>
      </c>
    </row>
    <row r="10" customFormat="false" ht="15" hidden="false" customHeight="false" outlineLevel="0" collapsed="false">
      <c r="A10" s="52" t="n">
        <v>2008</v>
      </c>
      <c r="B10" s="57" t="n">
        <v>284995693319.884</v>
      </c>
      <c r="C10" s="57" t="n">
        <v>144765634654.789</v>
      </c>
      <c r="D10" s="57" t="n">
        <v>107971212345.296</v>
      </c>
      <c r="E10" s="57" t="n">
        <v>349687299770.344</v>
      </c>
      <c r="F10" s="57" t="n">
        <v>26698283053.6856</v>
      </c>
      <c r="G10" s="57" t="n">
        <v>17442926160.2144</v>
      </c>
      <c r="H10" s="61" t="n">
        <v>1785.23714463912</v>
      </c>
      <c r="I10" s="61" t="n">
        <v>92.3777215434064</v>
      </c>
      <c r="J10" s="61" t="n">
        <f aca="false">I10*0.9</f>
        <v>83.1399493890658</v>
      </c>
      <c r="K10" s="58" t="n">
        <v>20.949345</v>
      </c>
      <c r="L10" s="52" t="n">
        <v>30.471964</v>
      </c>
      <c r="M10" s="59" t="n">
        <f aca="false">C10/K10/1000000</f>
        <v>6910.27020915399</v>
      </c>
      <c r="N10" s="59" t="n">
        <f aca="false">D10/K10/1000000</f>
        <v>5153.91828934489</v>
      </c>
      <c r="O10" s="59" t="n">
        <f aca="false">F10/K10/1000000</f>
        <v>1274.42089734479</v>
      </c>
      <c r="P10" s="59" t="n">
        <f aca="false">G10/K10/1000000</f>
        <v>832.623939326714</v>
      </c>
      <c r="Q10" s="59" t="n">
        <f aca="false">O10-I10</f>
        <v>1182.04317580138</v>
      </c>
      <c r="R10" s="59" t="n">
        <f aca="false">Q10-P10</f>
        <v>349.419236474668</v>
      </c>
      <c r="S10" s="62" t="n">
        <f aca="false">I10/O10</f>
        <v>0.0724860379611416</v>
      </c>
      <c r="T10" s="59" t="n">
        <f aca="false">M10-H10</f>
        <v>5125.03306451487</v>
      </c>
      <c r="U10" s="59" t="n">
        <f aca="false">N10-H10</f>
        <v>3368.68114470578</v>
      </c>
      <c r="V10" s="52" t="n">
        <f aca="false">H10/M10</f>
        <v>0.2583454902059</v>
      </c>
      <c r="W10" s="52" t="n">
        <f aca="false">H10/H$8*100</f>
        <v>114.672414855164</v>
      </c>
      <c r="X10" s="52" t="n">
        <f aca="false">N10/N$8*100</f>
        <v>216.96377381809</v>
      </c>
      <c r="Y10" s="60" t="n">
        <f aca="false">'[1]rama-C'!AD9</f>
        <v>0.184424177169884</v>
      </c>
      <c r="Z10" s="62" t="n">
        <f aca="false">T10/Q10</f>
        <v>4.3357410028955</v>
      </c>
      <c r="AA10" s="62" t="n">
        <f aca="false">R10/T10</f>
        <v>0.0681789233505645</v>
      </c>
      <c r="AB10" s="62" t="n">
        <f aca="false">Q10/U10</f>
        <v>0.350891973750345</v>
      </c>
      <c r="AC10" s="64" t="n">
        <f aca="false">AVERAGE(AA$9:AA$26)</f>
        <v>0.0342436270657735</v>
      </c>
      <c r="AF10" s="59" t="n">
        <f aca="false">$J10*K10</f>
        <v>1741.72748303408</v>
      </c>
      <c r="AG10" s="59" t="n">
        <f aca="false">$J10*L10</f>
        <v>2533.43754474544</v>
      </c>
      <c r="AH10" s="59" t="n">
        <f aca="false">AG10-AF10</f>
        <v>791.710061711356</v>
      </c>
      <c r="AI10" s="62" t="n">
        <f aca="false">AH10/(F10/1000000)</f>
        <v>0.0296539691379916</v>
      </c>
      <c r="AK10" s="63" t="n">
        <f aca="false">(AF10*1000000)/F10</f>
        <v>0.0652374341650274</v>
      </c>
    </row>
    <row r="11" customFormat="false" ht="15" hidden="false" customHeight="false" outlineLevel="0" collapsed="false">
      <c r="A11" s="52" t="n">
        <v>2009</v>
      </c>
      <c r="B11" s="57" t="n">
        <v>262347159926.776</v>
      </c>
      <c r="C11" s="57" t="n">
        <v>127638989405.789</v>
      </c>
      <c r="D11" s="57" t="n">
        <v>93192117548.196</v>
      </c>
      <c r="E11" s="57" t="n">
        <v>335593659520.992</v>
      </c>
      <c r="F11" s="57" t="n">
        <v>18018680108.0367</v>
      </c>
      <c r="G11" s="57" t="n">
        <v>7961085386.42427</v>
      </c>
      <c r="H11" s="61" t="n">
        <v>1666.644847</v>
      </c>
      <c r="I11" s="61" t="n">
        <v>93.6359201932349</v>
      </c>
      <c r="J11" s="61" t="n">
        <f aca="false">I11*0.9</f>
        <v>84.2723281739114</v>
      </c>
      <c r="K11" s="58" t="n">
        <v>22.567971</v>
      </c>
      <c r="L11" s="52" t="n">
        <v>32.276463</v>
      </c>
      <c r="M11" s="59" t="n">
        <f aca="false">C11/K11/1000000</f>
        <v>5655.75830480237</v>
      </c>
      <c r="N11" s="59" t="n">
        <f aca="false">D11/K11/1000000</f>
        <v>4129.39725721005</v>
      </c>
      <c r="O11" s="59" t="n">
        <f aca="false">F11/K11/1000000</f>
        <v>798.418258692228</v>
      </c>
      <c r="P11" s="59" t="n">
        <f aca="false">G11/K11/1000000</f>
        <v>352.760351669376</v>
      </c>
      <c r="Q11" s="59" t="n">
        <f aca="false">O11-I11</f>
        <v>704.782338498993</v>
      </c>
      <c r="R11" s="59" t="n">
        <f aca="false">Q11-P11</f>
        <v>352.021986829617</v>
      </c>
      <c r="S11" s="62" t="n">
        <f aca="false">I11/O11</f>
        <v>0.11727677714511</v>
      </c>
      <c r="T11" s="59" t="n">
        <f aca="false">M11-H11</f>
        <v>3989.11345780237</v>
      </c>
      <c r="U11" s="59" t="n">
        <f aca="false">N11-H11</f>
        <v>2462.75241021005</v>
      </c>
      <c r="V11" s="52" t="n">
        <f aca="false">H11/M11</f>
        <v>0.294681059051769</v>
      </c>
      <c r="W11" s="52" t="n">
        <f aca="false">H11/H$8*100</f>
        <v>107.054790947698</v>
      </c>
      <c r="X11" s="52" t="n">
        <f aca="false">N11/N$8*100</f>
        <v>173.83465592976</v>
      </c>
      <c r="Y11" s="60" t="n">
        <f aca="false">'[1]rama-C'!AD10</f>
        <v>0.141169090980122</v>
      </c>
      <c r="Z11" s="62" t="n">
        <f aca="false">T11/Q11</f>
        <v>5.6600644481219</v>
      </c>
      <c r="AA11" s="62" t="n">
        <f aca="false">R11/T11</f>
        <v>0.0882456692579381</v>
      </c>
      <c r="AB11" s="62" t="n">
        <f aca="false">Q11/U11</f>
        <v>0.286176692215228</v>
      </c>
      <c r="AC11" s="64" t="n">
        <f aca="false">AVERAGE(AA$9:AA$26)</f>
        <v>0.0342436270657735</v>
      </c>
      <c r="AF11" s="59" t="n">
        <f aca="false">$J11*K11</f>
        <v>1901.85545833132</v>
      </c>
      <c r="AG11" s="59" t="n">
        <f aca="false">$J11*L11</f>
        <v>2720.01268222911</v>
      </c>
      <c r="AH11" s="59" t="n">
        <f aca="false">AG11-AF11</f>
        <v>818.157223897794</v>
      </c>
      <c r="AI11" s="62" t="n">
        <f aca="false">AH11/(F11/1000000)</f>
        <v>0.045406057435521</v>
      </c>
      <c r="AK11" s="63" t="n">
        <f aca="false">(AF11*1000000)/F11</f>
        <v>0.105549099430599</v>
      </c>
    </row>
    <row r="12" customFormat="false" ht="15" hidden="false" customHeight="false" outlineLevel="0" collapsed="false">
      <c r="A12" s="52" t="n">
        <v>2010</v>
      </c>
      <c r="B12" s="57" t="n">
        <v>298614685114.745</v>
      </c>
      <c r="C12" s="57" t="n">
        <v>138171906936.903</v>
      </c>
      <c r="D12" s="57" t="n">
        <v>99737810059.4515</v>
      </c>
      <c r="E12" s="57" t="n">
        <v>406929488750.464</v>
      </c>
      <c r="F12" s="57" t="n">
        <v>24477634469.897</v>
      </c>
      <c r="G12" s="57" t="n">
        <v>10581328732.3151</v>
      </c>
      <c r="H12" s="61" t="n">
        <v>1792.830276</v>
      </c>
      <c r="I12" s="61" t="n">
        <v>74.5288903460525</v>
      </c>
      <c r="J12" s="61" t="n">
        <f aca="false">I12*0.9</f>
        <v>67.0760013114472</v>
      </c>
      <c r="K12" s="58" t="n">
        <v>20.059238</v>
      </c>
      <c r="L12" s="52" t="n">
        <v>32.828748</v>
      </c>
      <c r="M12" s="59" t="n">
        <f aca="false">C12/K12/1000000</f>
        <v>6888.1932073842</v>
      </c>
      <c r="N12" s="59" t="n">
        <f aca="false">D12/K12/1000000</f>
        <v>4972.16345204397</v>
      </c>
      <c r="O12" s="59" t="n">
        <f aca="false">F12/K12/1000000</f>
        <v>1220.26741344297</v>
      </c>
      <c r="P12" s="59" t="n">
        <f aca="false">G12/K12/1000000</f>
        <v>527.504022451655</v>
      </c>
      <c r="Q12" s="59" t="n">
        <f aca="false">O12-I12</f>
        <v>1145.73852309692</v>
      </c>
      <c r="R12" s="59" t="n">
        <f aca="false">Q12-P12</f>
        <v>618.234500645263</v>
      </c>
      <c r="S12" s="62" t="n">
        <f aca="false">I12/O12</f>
        <v>0.0610758670804541</v>
      </c>
      <c r="T12" s="59" t="n">
        <f aca="false">M12-H12</f>
        <v>5095.3629313842</v>
      </c>
      <c r="U12" s="59" t="n">
        <f aca="false">N12-H12</f>
        <v>3179.33317604397</v>
      </c>
      <c r="V12" s="52" t="n">
        <f aca="false">H12/M12</f>
        <v>0.260275840416043</v>
      </c>
      <c r="W12" s="52" t="n">
        <f aca="false">H12/H$8*100</f>
        <v>115.16014989478</v>
      </c>
      <c r="X12" s="52" t="n">
        <f aca="false">N12/N$8*100</f>
        <v>209.312465978766</v>
      </c>
      <c r="Y12" s="60" t="n">
        <f aca="false">'[1]rama-C'!AD11</f>
        <v>0.17715348229995</v>
      </c>
      <c r="Z12" s="62" t="n">
        <f aca="false">T12/Q12</f>
        <v>4.44723017395932</v>
      </c>
      <c r="AA12" s="62" t="n">
        <f aca="false">R12/T12</f>
        <v>0.121332770397439</v>
      </c>
      <c r="AB12" s="62" t="n">
        <f aca="false">Q12/U12</f>
        <v>0.360370700287082</v>
      </c>
      <c r="AC12" s="64" t="n">
        <f aca="false">AVERAGE(AA$9:AA$26)</f>
        <v>0.0342436270657735</v>
      </c>
      <c r="AF12" s="59" t="n">
        <f aca="false">$J12*K12</f>
        <v>1345.49347439463</v>
      </c>
      <c r="AG12" s="59" t="n">
        <f aca="false">$J12*L12</f>
        <v>2202.02114390117</v>
      </c>
      <c r="AH12" s="59" t="n">
        <f aca="false">AG12-AF12</f>
        <v>856.527669506538</v>
      </c>
      <c r="AI12" s="62" t="n">
        <f aca="false">AH12/(F12/1000000)</f>
        <v>0.0349922567297061</v>
      </c>
      <c r="AK12" s="63" t="n">
        <f aca="false">(AF12*1000000)/F12</f>
        <v>0.0549682803724087</v>
      </c>
    </row>
    <row r="13" customFormat="false" ht="15" hidden="false" customHeight="false" outlineLevel="0" collapsed="false">
      <c r="A13" s="52" t="n">
        <v>2011</v>
      </c>
      <c r="B13" s="57" t="n">
        <v>322720110758.961</v>
      </c>
      <c r="C13" s="57" t="n">
        <v>164590514092.412</v>
      </c>
      <c r="D13" s="57"/>
      <c r="E13" s="57" t="n">
        <v>394553982689.071</v>
      </c>
      <c r="F13" s="57" t="n">
        <v>15603515946.6601</v>
      </c>
      <c r="G13" s="57"/>
      <c r="H13" s="61" t="n">
        <v>2051.703618</v>
      </c>
      <c r="I13" s="61" t="n">
        <v>85.105634776208</v>
      </c>
      <c r="J13" s="61" t="n">
        <f aca="false">I13*0.9</f>
        <v>76.5950712985872</v>
      </c>
      <c r="K13" s="58" t="n">
        <v>19.314209</v>
      </c>
      <c r="L13" s="52" t="n">
        <v>34.651025</v>
      </c>
      <c r="M13" s="59" t="n">
        <f aca="false">C13/K13/1000000</f>
        <v>8521.73206225593</v>
      </c>
      <c r="N13" s="59"/>
      <c r="O13" s="59" t="n">
        <f aca="false">F13/K13/1000000</f>
        <v>807.877555154347</v>
      </c>
      <c r="P13" s="59"/>
      <c r="Q13" s="59" t="n">
        <f aca="false">O13-I13</f>
        <v>722.771920378139</v>
      </c>
      <c r="R13" s="59" t="n">
        <f aca="false">Q13-P13</f>
        <v>722.771920378139</v>
      </c>
      <c r="S13" s="62" t="n">
        <f aca="false">I13/O13</f>
        <v>0.105344719918538</v>
      </c>
      <c r="T13" s="59" t="n">
        <f aca="false">M13-H13</f>
        <v>6470.02844425593</v>
      </c>
      <c r="U13" s="59"/>
      <c r="V13" s="52" t="n">
        <f aca="false">H13/M13</f>
        <v>0.240761338541412</v>
      </c>
      <c r="W13" s="52" t="n">
        <f aca="false">H13/H$8*100</f>
        <v>131.788546496268</v>
      </c>
      <c r="Y13" s="60" t="n">
        <f aca="false">'[1]rama-C'!AD12</f>
        <v>0.0948020366343788</v>
      </c>
      <c r="Z13" s="62" t="n">
        <f aca="false">T13/Q13</f>
        <v>8.95168760965554</v>
      </c>
      <c r="AA13" s="62" t="n">
        <f aca="false">R13/T13</f>
        <v>0.111710779420114</v>
      </c>
      <c r="AB13" s="62"/>
      <c r="AC13" s="64" t="n">
        <f aca="false">AVERAGE(AA$9:AA$26)</f>
        <v>0.0342436270657735</v>
      </c>
      <c r="AF13" s="59" t="n">
        <f aca="false">$J13*K13</f>
        <v>1479.37321543081</v>
      </c>
      <c r="AG13" s="59" t="n">
        <f aca="false">$J13*L13</f>
        <v>2654.09773044413</v>
      </c>
      <c r="AH13" s="59" t="n">
        <f aca="false">AG13-AF13</f>
        <v>1174.72451501331</v>
      </c>
      <c r="AI13" s="62" t="n">
        <f aca="false">AH13/(F13/1000000)</f>
        <v>0.0752858855035657</v>
      </c>
      <c r="AK13" s="63" t="n">
        <f aca="false">(AF13*1000000)/F13</f>
        <v>0.0948102479266843</v>
      </c>
    </row>
    <row r="14" customFormat="false" ht="15" hidden="false" customHeight="false" outlineLevel="0" collapsed="false">
      <c r="A14" s="52" t="n">
        <v>2012</v>
      </c>
      <c r="B14" s="57" t="n">
        <v>366495477250.288</v>
      </c>
      <c r="C14" s="57" t="n">
        <v>167784888060.709</v>
      </c>
      <c r="D14" s="57" t="n">
        <v>118070224347.511</v>
      </c>
      <c r="E14" s="57" t="n">
        <v>395091245724.246</v>
      </c>
      <c r="F14" s="57" t="n">
        <v>12653048671.5027</v>
      </c>
      <c r="G14" s="57" t="n">
        <v>17144628448.139</v>
      </c>
      <c r="H14" s="61" t="n">
        <v>2252.203478</v>
      </c>
      <c r="I14" s="61" t="n">
        <v>102.142188453012</v>
      </c>
      <c r="J14" s="61" t="n">
        <f aca="false">I14*0.9</f>
        <v>91.9279696077109</v>
      </c>
      <c r="K14" s="58" t="n">
        <v>20.310164</v>
      </c>
      <c r="L14" s="52" t="n">
        <v>35.243068</v>
      </c>
      <c r="M14" s="59" t="n">
        <f aca="false">C14/K14/1000000</f>
        <v>8261.12915979945</v>
      </c>
      <c r="N14" s="59" t="n">
        <f aca="false">D14/K14/1000000</f>
        <v>5813.35652176472</v>
      </c>
      <c r="O14" s="59" t="n">
        <f aca="false">F14/K14/1000000</f>
        <v>622.990965090323</v>
      </c>
      <c r="P14" s="59" t="n">
        <f aca="false">G14/K14/1000000</f>
        <v>844.14032541239</v>
      </c>
      <c r="Q14" s="59" t="n">
        <f aca="false">O14-I14</f>
        <v>520.848776637311</v>
      </c>
      <c r="R14" s="59" t="n">
        <f aca="false">Q14-P14</f>
        <v>-323.291548775078</v>
      </c>
      <c r="S14" s="62" t="n">
        <f aca="false">I14/O14</f>
        <v>0.163954526111311</v>
      </c>
      <c r="T14" s="59" t="n">
        <f aca="false">M14-H14</f>
        <v>6008.92568179945</v>
      </c>
      <c r="U14" s="59" t="n">
        <f aca="false">N14-H14</f>
        <v>3561.15304376472</v>
      </c>
      <c r="V14" s="52" t="n">
        <f aca="false">H14/M14</f>
        <v>0.272626590679606</v>
      </c>
      <c r="W14" s="52" t="n">
        <f aca="false">H14/H$8*100</f>
        <v>144.667397462015</v>
      </c>
      <c r="X14" s="52" t="n">
        <f aca="false">N14/N$8*100</f>
        <v>244.724052400994</v>
      </c>
      <c r="Y14" s="60" t="n">
        <f aca="false">'[1]rama-C'!AD13</f>
        <v>0.0754123259713624</v>
      </c>
      <c r="Z14" s="62" t="n">
        <f aca="false">T14/Q14</f>
        <v>11.5367952298825</v>
      </c>
      <c r="AA14" s="62" t="n">
        <f aca="false">R14/T14</f>
        <v>-0.0538018883732083</v>
      </c>
      <c r="AB14" s="62" t="n">
        <f aca="false">Q14/U14</f>
        <v>0.146258464670389</v>
      </c>
      <c r="AC14" s="64" t="n">
        <f aca="false">AVERAGE(AA$9:AA$26)</f>
        <v>0.0342436270657735</v>
      </c>
      <c r="AF14" s="59" t="n">
        <f aca="false">$J14*K14</f>
        <v>1867.07213891962</v>
      </c>
      <c r="AG14" s="59" t="n">
        <f aca="false">$J14*L14</f>
        <v>3239.82368398649</v>
      </c>
      <c r="AH14" s="59" t="n">
        <f aca="false">AG14-AF14</f>
        <v>1372.75154506686</v>
      </c>
      <c r="AI14" s="62" t="n">
        <f aca="false">AH14/(F14/1000000)</f>
        <v>0.108491762001879</v>
      </c>
      <c r="AK14" s="63" t="n">
        <f aca="false">(AF14*1000000)/F14</f>
        <v>0.14755907350018</v>
      </c>
    </row>
    <row r="15" customFormat="false" ht="15" hidden="false" customHeight="false" outlineLevel="0" collapsed="false">
      <c r="A15" s="52" t="n">
        <v>2013</v>
      </c>
      <c r="B15" s="57" t="n">
        <v>393495580200.293</v>
      </c>
      <c r="C15" s="57" t="n">
        <v>183498071401.983</v>
      </c>
      <c r="D15" s="57" t="n">
        <v>130303268121.312</v>
      </c>
      <c r="E15" s="57" t="n">
        <v>410912621918.95</v>
      </c>
      <c r="F15" s="57" t="n">
        <v>12278747465.4698</v>
      </c>
      <c r="G15" s="57" t="n">
        <v>28790672811.2985</v>
      </c>
      <c r="H15" s="61" t="n">
        <v>2329.927085</v>
      </c>
      <c r="I15" s="61" t="n">
        <v>115.22407424619</v>
      </c>
      <c r="J15" s="61" t="n">
        <f aca="false">I15*0.9</f>
        <v>103.701666821571</v>
      </c>
      <c r="K15" s="58" t="n">
        <v>20.481618</v>
      </c>
      <c r="L15" s="52" t="n">
        <v>35.991435</v>
      </c>
      <c r="M15" s="59" t="n">
        <f aca="false">C15/K15/1000000</f>
        <v>8959.15895912047</v>
      </c>
      <c r="N15" s="59" t="n">
        <f aca="false">D15/K15/1000000</f>
        <v>6361.96164391466</v>
      </c>
      <c r="O15" s="59" t="n">
        <f aca="false">F15/K15/1000000</f>
        <v>599.500853178189</v>
      </c>
      <c r="P15" s="59" t="n">
        <f aca="false">G15/K15/1000000</f>
        <v>1405.68351637544</v>
      </c>
      <c r="Q15" s="59" t="n">
        <f aca="false">O15-I15</f>
        <v>484.276778931999</v>
      </c>
      <c r="R15" s="59" t="n">
        <f aca="false">Q15-P15</f>
        <v>-921.406737443441</v>
      </c>
      <c r="S15" s="62" t="n">
        <f aca="false">I15/O15</f>
        <v>0.192200017123149</v>
      </c>
      <c r="T15" s="59" t="n">
        <f aca="false">M15-H15</f>
        <v>6629.23187412047</v>
      </c>
      <c r="U15" s="59" t="n">
        <f aca="false">N15-H15</f>
        <v>4032.03455891465</v>
      </c>
      <c r="V15" s="52" t="n">
        <f aca="false">H15/M15</f>
        <v>0.260060915944361</v>
      </c>
      <c r="W15" s="52" t="n">
        <f aca="false">H15/H$8*100</f>
        <v>149.659873521964</v>
      </c>
      <c r="X15" s="52" t="n">
        <f aca="false">N15/N$8*100</f>
        <v>267.818605119003</v>
      </c>
      <c r="Y15" s="60" t="n">
        <f aca="false">'[1]rama-C'!AD14</f>
        <v>0.0669148584050844</v>
      </c>
      <c r="Z15" s="62" t="n">
        <f aca="false">T15/Q15</f>
        <v>13.6889319548632</v>
      </c>
      <c r="AA15" s="62" t="n">
        <f aca="false">R15/T15</f>
        <v>-0.138991478189272</v>
      </c>
      <c r="AB15" s="62" t="n">
        <f aca="false">Q15/U15</f>
        <v>0.120107298649334</v>
      </c>
      <c r="AC15" s="64" t="n">
        <f aca="false">AVERAGE(AA$9:AA$26)</f>
        <v>0.0342436270657735</v>
      </c>
      <c r="AF15" s="59" t="n">
        <f aca="false">$J15*K15</f>
        <v>2123.97792580269</v>
      </c>
      <c r="AG15" s="59" t="n">
        <f aca="false">$J15*L15</f>
        <v>3732.37180080023</v>
      </c>
      <c r="AH15" s="59" t="n">
        <f aca="false">AG15-AF15</f>
        <v>1608.39387499754</v>
      </c>
      <c r="AI15" s="62" t="n">
        <f aca="false">AH15/(F15/1000000)</f>
        <v>0.130990060632867</v>
      </c>
      <c r="AK15" s="63" t="n">
        <f aca="false">(AF15*1000000)/F15</f>
        <v>0.172980015410834</v>
      </c>
    </row>
    <row r="16" customFormat="false" ht="15" hidden="false" customHeight="false" outlineLevel="0" collapsed="false">
      <c r="A16" s="52" t="n">
        <v>2014</v>
      </c>
      <c r="B16" s="57" t="n">
        <v>453640919223.416</v>
      </c>
      <c r="C16" s="57" t="n">
        <v>259377141950.675</v>
      </c>
      <c r="D16" s="57" t="n">
        <v>198429417562.734</v>
      </c>
      <c r="E16" s="57" t="n">
        <v>454201257170.142</v>
      </c>
      <c r="F16" s="57" t="n">
        <v>17067827885.2179</v>
      </c>
      <c r="G16" s="57" t="n">
        <v>78176629453.8231</v>
      </c>
      <c r="H16" s="61" t="n">
        <v>2179.486139</v>
      </c>
      <c r="I16" s="61" t="n">
        <v>118.364663014161</v>
      </c>
      <c r="J16" s="61" t="n">
        <f aca="false">I16*0.9</f>
        <v>106.528196712745</v>
      </c>
      <c r="K16" s="58" t="n">
        <v>23.246061</v>
      </c>
      <c r="L16" s="52" t="n">
        <v>38.372773</v>
      </c>
      <c r="M16" s="59" t="n">
        <f aca="false">C16/K16/1000000</f>
        <v>11157.8964690265</v>
      </c>
      <c r="N16" s="59" t="n">
        <f aca="false">D16/K16/1000000</f>
        <v>8536.04477604761</v>
      </c>
      <c r="O16" s="59" t="n">
        <f aca="false">F16/K16/1000000</f>
        <v>734.224515939191</v>
      </c>
      <c r="P16" s="59" t="n">
        <f aca="false">G16/K16/1000000</f>
        <v>3363.00543364414</v>
      </c>
      <c r="Q16" s="59" t="n">
        <f aca="false">O16-I16</f>
        <v>615.859852925029</v>
      </c>
      <c r="R16" s="59" t="n">
        <f aca="false">Q16-P16</f>
        <v>-2747.14558071911</v>
      </c>
      <c r="S16" s="62" t="n">
        <f aca="false">I16/O16</f>
        <v>0.161210447818885</v>
      </c>
      <c r="T16" s="59" t="n">
        <f aca="false">M16-H16</f>
        <v>8978.41033002652</v>
      </c>
      <c r="U16" s="59" t="n">
        <f aca="false">N16-H16</f>
        <v>6356.55863704761</v>
      </c>
      <c r="V16" s="52" t="n">
        <f aca="false">H16/M16</f>
        <v>0.195331274586576</v>
      </c>
      <c r="W16" s="52" t="n">
        <f aca="false">H16/H$8*100</f>
        <v>139.996492596511</v>
      </c>
      <c r="X16" s="52" t="n">
        <f aca="false">N16/N$8*100</f>
        <v>359.34067715437</v>
      </c>
      <c r="Y16" s="60" t="n">
        <f aca="false">'[1]rama-C'!AD15</f>
        <v>0.0658031303639842</v>
      </c>
      <c r="Z16" s="62" t="n">
        <f aca="false">T16/Q16</f>
        <v>14.5786582570426</v>
      </c>
      <c r="AA16" s="62" t="n">
        <f aca="false">R16/T16</f>
        <v>-0.305972380381394</v>
      </c>
      <c r="AB16" s="62" t="n">
        <f aca="false">Q16/U16</f>
        <v>0.0968857345758827</v>
      </c>
      <c r="AC16" s="64" t="n">
        <f aca="false">AVERAGE(AA$9:AA$26)</f>
        <v>0.0342436270657735</v>
      </c>
      <c r="AF16" s="59" t="n">
        <f aca="false">$J16*K16</f>
        <v>2476.36095900447</v>
      </c>
      <c r="AG16" s="59" t="n">
        <f aca="false">$J16*L16</f>
        <v>4087.78231055751</v>
      </c>
      <c r="AH16" s="59" t="n">
        <f aca="false">AG16-AF16</f>
        <v>1611.42135155304</v>
      </c>
      <c r="AI16" s="62" t="n">
        <f aca="false">AH16/(F16/1000000)</f>
        <v>0.0944127959568107</v>
      </c>
      <c r="AK16" s="63" t="n">
        <f aca="false">(AF16*1000000)/F16</f>
        <v>0.145089403036997</v>
      </c>
    </row>
    <row r="17" customFormat="false" ht="15" hidden="false" customHeight="false" outlineLevel="0" collapsed="false">
      <c r="A17" s="52" t="n">
        <v>2015</v>
      </c>
      <c r="B17" s="57" t="n">
        <v>478094966223.237</v>
      </c>
      <c r="C17" s="57" t="n">
        <v>270460042903.502</v>
      </c>
      <c r="D17" s="57" t="n">
        <v>207813793849.166</v>
      </c>
      <c r="E17" s="57" t="n">
        <v>454671896763.125</v>
      </c>
      <c r="F17" s="57" t="n">
        <v>24840445113.2698</v>
      </c>
      <c r="G17" s="57" t="n">
        <v>26806672376.5168</v>
      </c>
      <c r="H17" s="61" t="n">
        <v>2377.468353</v>
      </c>
      <c r="I17" s="61" t="n">
        <v>110.4421049598</v>
      </c>
      <c r="J17" s="61" t="n">
        <f aca="false">I17*0.9</f>
        <v>99.3978944638204</v>
      </c>
      <c r="K17" s="58" t="n">
        <v>27.327226</v>
      </c>
      <c r="L17" s="52" t="n">
        <v>41.149156</v>
      </c>
      <c r="M17" s="59" t="n">
        <f aca="false">C17/K17/1000000</f>
        <v>9897.09101478145</v>
      </c>
      <c r="N17" s="59" t="n">
        <f aca="false">D17/K17/1000000</f>
        <v>7604.64285138806</v>
      </c>
      <c r="O17" s="59" t="n">
        <f aca="false">F17/K17/1000000</f>
        <v>908.999878482719</v>
      </c>
      <c r="P17" s="59" t="n">
        <f aca="false">G17/K17/1000000</f>
        <v>980.951098970558</v>
      </c>
      <c r="Q17" s="59" t="n">
        <f aca="false">O17-I17</f>
        <v>798.557773522918</v>
      </c>
      <c r="R17" s="59" t="n">
        <f aca="false">Q17-P17</f>
        <v>-182.39332544764</v>
      </c>
      <c r="S17" s="62" t="n">
        <f aca="false">I17/O17</f>
        <v>0.121498481544517</v>
      </c>
      <c r="T17" s="59" t="n">
        <f aca="false">M17-H17</f>
        <v>7519.62266178145</v>
      </c>
      <c r="U17" s="59" t="n">
        <f aca="false">N17-H17</f>
        <v>5227.17449838806</v>
      </c>
      <c r="V17" s="52" t="n">
        <f aca="false">H17/M17</f>
        <v>0.240218903660603</v>
      </c>
      <c r="W17" s="52" t="n">
        <f aca="false">H17/H$8*100</f>
        <v>152.713625805355</v>
      </c>
      <c r="X17" s="52" t="n">
        <f aca="false">N17/N$8*100</f>
        <v>320.13158124508</v>
      </c>
      <c r="Y17" s="60" t="n">
        <f aca="false">'[1]rama-C'!AD16</f>
        <v>0.0918451570390849</v>
      </c>
      <c r="Z17" s="62" t="n">
        <f aca="false">T17/Q17</f>
        <v>9.41650424190084</v>
      </c>
      <c r="AA17" s="62" t="n">
        <f aca="false">R17/T17</f>
        <v>-0.0242556486743218</v>
      </c>
      <c r="AB17" s="62" t="n">
        <f aca="false">Q17/U17</f>
        <v>0.152770444868289</v>
      </c>
      <c r="AC17" s="64" t="n">
        <f aca="false">AVERAGE(AA$9:AA$26)</f>
        <v>0.0342436270657735</v>
      </c>
      <c r="AF17" s="59" t="n">
        <f aca="false">$J17*K17</f>
        <v>2716.26872593697</v>
      </c>
      <c r="AG17" s="59" t="n">
        <f aca="false">$J17*L17</f>
        <v>4090.13946536328</v>
      </c>
      <c r="AH17" s="59" t="n">
        <f aca="false">AG17-AF17</f>
        <v>1373.87073942631</v>
      </c>
      <c r="AI17" s="62" t="n">
        <f aca="false">AH17/(F17/1000000)</f>
        <v>0.0553078148624797</v>
      </c>
      <c r="AK17" s="63" t="n">
        <f aca="false">(AF17*1000000)/F17</f>
        <v>0.109348633390065</v>
      </c>
    </row>
    <row r="18" customFormat="false" ht="15" hidden="false" customHeight="false" outlineLevel="0" collapsed="false">
      <c r="A18" s="52" t="n">
        <v>2016</v>
      </c>
      <c r="B18" s="57" t="n">
        <v>488282856955.128</v>
      </c>
      <c r="C18" s="57" t="n">
        <v>283302377562.358</v>
      </c>
      <c r="D18" s="57" t="n">
        <v>218824498043.52</v>
      </c>
      <c r="E18" s="57" t="n">
        <v>458197444854.555</v>
      </c>
      <c r="F18" s="57" t="n">
        <v>19680939437.8423</v>
      </c>
      <c r="G18" s="57" t="n">
        <v>17409371770.145</v>
      </c>
      <c r="H18" s="61" t="n">
        <v>2353.915606</v>
      </c>
      <c r="I18" s="61" t="n">
        <v>116.703170567017</v>
      </c>
      <c r="J18" s="61" t="n">
        <f aca="false">I18*0.9</f>
        <v>105.032853510315</v>
      </c>
      <c r="K18" s="58" t="n">
        <v>30.1626</v>
      </c>
      <c r="L18" s="52" t="n">
        <v>44.043941</v>
      </c>
      <c r="M18" s="59" t="n">
        <f aca="false">C18/K18/1000000</f>
        <v>9392.50520718897</v>
      </c>
      <c r="N18" s="59" t="n">
        <f aca="false">D18/K18/1000000</f>
        <v>7254.82876288914</v>
      </c>
      <c r="O18" s="59" t="n">
        <f aca="false">F18/K18/1000000</f>
        <v>652.494792817672</v>
      </c>
      <c r="P18" s="59" t="n">
        <f aca="false">G18/K18/1000000</f>
        <v>577.18405476136</v>
      </c>
      <c r="Q18" s="59" t="n">
        <f aca="false">O18-I18</f>
        <v>535.791622250655</v>
      </c>
      <c r="R18" s="59" t="n">
        <f aca="false">Q18-P18</f>
        <v>-41.392432510705</v>
      </c>
      <c r="S18" s="62" t="n">
        <f aca="false">I18/O18</f>
        <v>0.178856861160618</v>
      </c>
      <c r="T18" s="59" t="n">
        <f aca="false">M18-H18</f>
        <v>7038.58960118897</v>
      </c>
      <c r="U18" s="59" t="n">
        <f aca="false">N18-H18</f>
        <v>4900.91315688914</v>
      </c>
      <c r="V18" s="52" t="n">
        <f aca="false">H18/M18</f>
        <v>0.250616374872843</v>
      </c>
      <c r="W18" s="52" t="n">
        <f aca="false">H18/H$8*100</f>
        <v>151.20074535523</v>
      </c>
      <c r="X18" s="52" t="n">
        <f aca="false">N18/N$8*100</f>
        <v>305.405506729624</v>
      </c>
      <c r="Y18" s="60" t="n">
        <f aca="false">'[1]rama-C'!AD17</f>
        <v>0.0694697291536507</v>
      </c>
      <c r="Z18" s="62" t="n">
        <f aca="false">T18/Q18</f>
        <v>13.1368041396813</v>
      </c>
      <c r="AA18" s="62" t="n">
        <f aca="false">R18/T18</f>
        <v>-0.00588078505155535</v>
      </c>
      <c r="AB18" s="62" t="n">
        <f aca="false">Q18/U18</f>
        <v>0.109324855409344</v>
      </c>
      <c r="AC18" s="64" t="n">
        <f aca="false">AVERAGE(AA$9:AA$26)</f>
        <v>0.0342436270657735</v>
      </c>
      <c r="AF18" s="59" t="n">
        <f aca="false">$J18*K18</f>
        <v>3168.06394729023</v>
      </c>
      <c r="AG18" s="59" t="n">
        <f aca="false">$J18*L18</f>
        <v>4626.06080306996</v>
      </c>
      <c r="AH18" s="59" t="n">
        <f aca="false">AG18-AF18</f>
        <v>1457.99685577973</v>
      </c>
      <c r="AI18" s="62" t="n">
        <f aca="false">AH18/(F18/1000000)</f>
        <v>0.0740816697487676</v>
      </c>
      <c r="AK18" s="63" t="n">
        <f aca="false">(AF18*1000000)/F18</f>
        <v>0.160971175044557</v>
      </c>
    </row>
    <row r="19" customFormat="false" ht="15" hidden="false" customHeight="false" outlineLevel="0" collapsed="false">
      <c r="A19" s="52" t="n">
        <v>2017</v>
      </c>
      <c r="B19" s="57" t="n">
        <v>484141525416.436</v>
      </c>
      <c r="C19" s="57" t="n">
        <v>273206637485.992</v>
      </c>
      <c r="D19" s="57" t="n">
        <v>209773097223.24</v>
      </c>
      <c r="E19" s="57" t="n">
        <v>456886334306.292</v>
      </c>
      <c r="F19" s="57" t="n">
        <v>47598174688.9543</v>
      </c>
      <c r="G19" s="57" t="n">
        <v>17036239960.98</v>
      </c>
      <c r="H19" s="61" t="n">
        <v>2159.433229</v>
      </c>
      <c r="I19" s="61" t="n">
        <v>109.686006500328</v>
      </c>
      <c r="J19" s="61" t="n">
        <f aca="false">I19*0.9</f>
        <v>98.7174058502952</v>
      </c>
      <c r="K19" s="58" t="n">
        <v>28.65</v>
      </c>
      <c r="L19" s="52" t="n">
        <v>44.520022</v>
      </c>
      <c r="M19" s="59" t="n">
        <f aca="false">C19/K19/1000000</f>
        <v>9536.00828921438</v>
      </c>
      <c r="N19" s="59" t="n">
        <f aca="false">D19/K19/1000000</f>
        <v>7321.92311424922</v>
      </c>
      <c r="O19" s="59" t="n">
        <f aca="false">F19/K19/1000000</f>
        <v>1661.3673538902</v>
      </c>
      <c r="P19" s="59" t="n">
        <f aca="false">G19/K19/1000000</f>
        <v>594.633157451309</v>
      </c>
      <c r="Q19" s="59" t="n">
        <f aca="false">O19-I19</f>
        <v>1551.68134738987</v>
      </c>
      <c r="R19" s="59" t="n">
        <f aca="false">Q19-P19</f>
        <v>957.048189938566</v>
      </c>
      <c r="S19" s="62" t="n">
        <f aca="false">I19/O19</f>
        <v>0.0660215251271736</v>
      </c>
      <c r="T19" s="59" t="n">
        <f aca="false">M19-H19</f>
        <v>7376.57506021438</v>
      </c>
      <c r="U19" s="59" t="n">
        <f aca="false">N19-H19</f>
        <v>5162.48988524922</v>
      </c>
      <c r="V19" s="52" t="n">
        <f aca="false">H19/M19</f>
        <v>0.226450435392596</v>
      </c>
      <c r="W19" s="52" t="n">
        <f aca="false">H19/H$8*100</f>
        <v>138.708419680553</v>
      </c>
      <c r="X19" s="52" t="n">
        <f aca="false">N19/N$8*100</f>
        <v>308.22996820839</v>
      </c>
      <c r="Y19" s="60" t="n">
        <f aca="false">'[1]rama-C'!AD18</f>
        <v>0.174220418387144</v>
      </c>
      <c r="Z19" s="62" t="n">
        <f aca="false">T19/Q19</f>
        <v>4.75392391138987</v>
      </c>
      <c r="AA19" s="62" t="n">
        <f aca="false">R19/T19</f>
        <v>0.129741537519277</v>
      </c>
      <c r="AB19" s="62" t="n">
        <f aca="false">Q19/U19</f>
        <v>0.300568404370824</v>
      </c>
      <c r="AC19" s="64" t="n">
        <f aca="false">AVERAGE(AA$9:AA$26)</f>
        <v>0.0342436270657735</v>
      </c>
      <c r="AF19" s="59" t="n">
        <f aca="false">$J19*K19</f>
        <v>2828.25367761096</v>
      </c>
      <c r="AG19" s="59" t="n">
        <f aca="false">$J19*L19</f>
        <v>4394.90108023807</v>
      </c>
      <c r="AH19" s="59" t="n">
        <f aca="false">AG19-AF19</f>
        <v>1566.64740262711</v>
      </c>
      <c r="AI19" s="62" t="n">
        <f aca="false">AH19/(F19/1000000)</f>
        <v>0.0329140227091664</v>
      </c>
      <c r="AK19" s="63" t="n">
        <f aca="false">(AF19*1000000)/F19</f>
        <v>0.0594193726144563</v>
      </c>
    </row>
    <row r="20" customFormat="false" ht="15" hidden="false" customHeight="false" outlineLevel="0" collapsed="false">
      <c r="A20" s="52" t="n">
        <v>2018</v>
      </c>
      <c r="B20" s="57" t="n">
        <v>570036849535.363</v>
      </c>
      <c r="C20" s="57" t="n">
        <v>303469927276</v>
      </c>
      <c r="D20" s="57" t="n">
        <v>230944653073.897</v>
      </c>
      <c r="E20" s="57" t="n">
        <v>466608647222.88</v>
      </c>
      <c r="F20" s="57" t="n">
        <v>73700680952.0035</v>
      </c>
      <c r="G20" s="57" t="n">
        <v>21403883661.2124</v>
      </c>
      <c r="H20" s="61" t="n">
        <v>2408.276491</v>
      </c>
      <c r="I20" s="61" t="n">
        <v>118.234413970419</v>
      </c>
      <c r="J20" s="61" t="n">
        <f aca="false">I20*0.9</f>
        <v>106.410972573377</v>
      </c>
      <c r="K20" s="58" t="n">
        <v>30.77</v>
      </c>
      <c r="L20" s="52" t="n">
        <v>47.58936</v>
      </c>
      <c r="M20" s="59" t="n">
        <f aca="false">C20/K20/1000000</f>
        <v>9862.52607331817</v>
      </c>
      <c r="N20" s="59" t="n">
        <f aca="false">D20/K20/1000000</f>
        <v>7505.51358706198</v>
      </c>
      <c r="O20" s="59" t="n">
        <f aca="false">F20/K20/1000000</f>
        <v>2395.21225063385</v>
      </c>
      <c r="P20" s="59" t="n">
        <f aca="false">G20/K20/1000000</f>
        <v>695.608828768684</v>
      </c>
      <c r="Q20" s="59" t="n">
        <f aca="false">O20-I20</f>
        <v>2276.97783666343</v>
      </c>
      <c r="R20" s="59" t="n">
        <f aca="false">Q20-P20</f>
        <v>1581.36900789474</v>
      </c>
      <c r="S20" s="62" t="n">
        <f aca="false">I20/O20</f>
        <v>0.0493628128109024</v>
      </c>
      <c r="T20" s="59" t="n">
        <f aca="false">M20-H20</f>
        <v>7454.24958231817</v>
      </c>
      <c r="U20" s="59" t="n">
        <f aca="false">N20-H20</f>
        <v>5097.23709606198</v>
      </c>
      <c r="V20" s="52" t="n">
        <f aca="false">H20/M20</f>
        <v>0.244184549992247</v>
      </c>
      <c r="W20" s="52" t="n">
        <f aca="false">H20/H$8*100</f>
        <v>154.692546976842</v>
      </c>
      <c r="X20" s="52" t="n">
        <f aca="false">N20/N$8*100</f>
        <v>315.958550537848</v>
      </c>
      <c r="Y20" s="60" t="n">
        <f aca="false">'[1]rama-C'!AD19</f>
        <v>0.242859915687705</v>
      </c>
      <c r="Z20" s="62" t="n">
        <f aca="false">T20/Q20</f>
        <v>3.27374709682781</v>
      </c>
      <c r="AA20" s="62" t="n">
        <f aca="false">R20/T20</f>
        <v>0.212143286917281</v>
      </c>
      <c r="AB20" s="62" t="n">
        <f aca="false">Q20/U20</f>
        <v>0.446708244829846</v>
      </c>
      <c r="AC20" s="64" t="n">
        <f aca="false">AVERAGE(AA$9:AA$26)</f>
        <v>0.0342436270657735</v>
      </c>
      <c r="AF20" s="59" t="n">
        <f aca="false">$J20*K20</f>
        <v>3274.26562608281</v>
      </c>
      <c r="AG20" s="59" t="n">
        <f aca="false">$J20*L20</f>
        <v>5064.03008174456</v>
      </c>
      <c r="AH20" s="59" t="n">
        <f aca="false">AG20-AF20</f>
        <v>1789.76445566175</v>
      </c>
      <c r="AI20" s="62" t="n">
        <f aca="false">AH20/(F20/1000000)</f>
        <v>0.0242842322831089</v>
      </c>
      <c r="AK20" s="63" t="n">
        <f aca="false">(AF20*1000000)/F20</f>
        <v>0.0444265315298122</v>
      </c>
    </row>
    <row r="21" customFormat="false" ht="15" hidden="false" customHeight="false" outlineLevel="0" collapsed="false">
      <c r="A21" s="52" t="n">
        <v>2019</v>
      </c>
      <c r="B21" s="57" t="n">
        <v>601651424497</v>
      </c>
      <c r="C21" s="57" t="n">
        <v>338490559626.545</v>
      </c>
      <c r="D21" s="57" t="n">
        <v>259048160897</v>
      </c>
      <c r="E21" s="57" t="n">
        <v>479657109055.976</v>
      </c>
      <c r="F21" s="57" t="n">
        <v>57159845925.7257</v>
      </c>
      <c r="G21" s="57" t="n">
        <v>30759048024</v>
      </c>
      <c r="H21" s="61" t="n">
        <v>2177.659151</v>
      </c>
      <c r="I21" s="61" t="n">
        <v>123.647063407539</v>
      </c>
      <c r="J21" s="61" t="n">
        <f aca="false">I21*0.9</f>
        <v>111.282357066785</v>
      </c>
      <c r="K21" s="58" t="n">
        <v>35.3</v>
      </c>
      <c r="L21" s="52" t="n">
        <v>50.391059</v>
      </c>
      <c r="M21" s="59" t="n">
        <f aca="false">C21/K21/1000000</f>
        <v>9588.96769480298</v>
      </c>
      <c r="N21" s="59" t="n">
        <f aca="false">D21/K21/1000000</f>
        <v>7338.47481294618</v>
      </c>
      <c r="O21" s="59" t="n">
        <f aca="false">F21/K21/1000000</f>
        <v>1619.25909138033</v>
      </c>
      <c r="P21" s="59" t="n">
        <f aca="false">G21/K21/1000000</f>
        <v>871.361133824363</v>
      </c>
      <c r="Q21" s="59" t="n">
        <f aca="false">O21-I21</f>
        <v>1495.61202797279</v>
      </c>
      <c r="R21" s="59" t="n">
        <f aca="false">Q21-P21</f>
        <v>624.250894148428</v>
      </c>
      <c r="S21" s="62" t="n">
        <f aca="false">I21/O21</f>
        <v>0.0763602712288229</v>
      </c>
      <c r="T21" s="59" t="n">
        <f aca="false">M21-H21</f>
        <v>7411.30854380298</v>
      </c>
      <c r="U21" s="59" t="n">
        <f aca="false">N21-H21</f>
        <v>5160.81566194618</v>
      </c>
      <c r="V21" s="52" t="n">
        <f aca="false">H21/M21</f>
        <v>0.227100478415445</v>
      </c>
      <c r="W21" s="52" t="n">
        <f aca="false">H21/H$8*100</f>
        <v>139.879138369091</v>
      </c>
      <c r="X21" s="52" t="n">
        <f aca="false">N21/N$8*100</f>
        <v>308.926742742013</v>
      </c>
      <c r="Y21" s="60" t="n">
        <f aca="false">'[1]rama-C'!AD20</f>
        <v>0.168866883581007</v>
      </c>
      <c r="Z21" s="62" t="n">
        <f aca="false">T21/Q21</f>
        <v>4.9553683744096</v>
      </c>
      <c r="AA21" s="62" t="n">
        <f aca="false">R21/T21</f>
        <v>0.0842295109505865</v>
      </c>
      <c r="AB21" s="62" t="n">
        <f aca="false">Q21/U21</f>
        <v>0.289801482157335</v>
      </c>
      <c r="AC21" s="64" t="n">
        <f aca="false">AVERAGE(AA$9:AA$26)</f>
        <v>0.0342436270657735</v>
      </c>
      <c r="AF21" s="59" t="n">
        <f aca="false">$J21*K21</f>
        <v>3928.26720445753</v>
      </c>
      <c r="AG21" s="59" t="n">
        <f aca="false">$J21*L21</f>
        <v>5607.63582061145</v>
      </c>
      <c r="AH21" s="59" t="n">
        <f aca="false">AG21-AF21</f>
        <v>1679.36861615393</v>
      </c>
      <c r="AI21" s="62" t="n">
        <f aca="false">AH21/(F21/1000000)</f>
        <v>0.0293802159357834</v>
      </c>
      <c r="AK21" s="63" t="n">
        <f aca="false">(AF21*1000000)/F21</f>
        <v>0.0687242441059407</v>
      </c>
    </row>
    <row r="22" customFormat="false" ht="15" hidden="false" customHeight="false" outlineLevel="0" collapsed="false">
      <c r="A22" s="52" t="n">
        <v>2020</v>
      </c>
      <c r="B22" s="57" t="n">
        <v>600817528391.498</v>
      </c>
      <c r="C22" s="57" t="n">
        <v>376276396874.061</v>
      </c>
      <c r="D22" s="57" t="n">
        <v>296322600807.052</v>
      </c>
      <c r="E22" s="57" t="n">
        <v>448150142520.282</v>
      </c>
      <c r="F22" s="57" t="n">
        <v>55200295364.4925</v>
      </c>
      <c r="G22" s="57" t="n">
        <v>40941559983.9069</v>
      </c>
      <c r="H22" s="61" t="n">
        <v>2172.80741045833</v>
      </c>
      <c r="I22" s="61" t="n">
        <v>106.454350551823</v>
      </c>
      <c r="J22" s="61" t="n">
        <f aca="false">I22*0.9</f>
        <v>95.8089154966409</v>
      </c>
      <c r="K22" s="58" t="n">
        <v>42</v>
      </c>
      <c r="L22" s="52" t="n">
        <v>57.605681</v>
      </c>
      <c r="M22" s="59" t="n">
        <f aca="false">C22/K22/1000000</f>
        <v>8958.96183033479</v>
      </c>
      <c r="N22" s="59" t="n">
        <f aca="false">D22/K22/1000000</f>
        <v>7055.30001921552</v>
      </c>
      <c r="O22" s="59" t="n">
        <f aca="false">F22/K22/1000000</f>
        <v>1314.29274677363</v>
      </c>
      <c r="P22" s="59" t="n">
        <f aca="false">G22/K22/1000000</f>
        <v>974.799047235879</v>
      </c>
      <c r="Q22" s="59" t="n">
        <f aca="false">O22-I22</f>
        <v>1207.83839622181</v>
      </c>
      <c r="R22" s="59" t="n">
        <f aca="false">Q22-P22</f>
        <v>233.039348985929</v>
      </c>
      <c r="S22" s="62" t="n">
        <f aca="false">I22/O22</f>
        <v>0.0809974420182649</v>
      </c>
      <c r="T22" s="59" t="n">
        <f aca="false">M22-H22</f>
        <v>6786.15441987645</v>
      </c>
      <c r="U22" s="59" t="n">
        <f aca="false">N22-H22</f>
        <v>4882.49260875719</v>
      </c>
      <c r="V22" s="52" t="n">
        <f aca="false">H22/M22</f>
        <v>0.242528928195817</v>
      </c>
      <c r="W22" s="52" t="n">
        <f aca="false">H22/H$8*100</f>
        <v>139.56749304744</v>
      </c>
      <c r="X22" s="52" t="n">
        <f aca="false">N22/N$8*100</f>
        <v>297.005973251939</v>
      </c>
      <c r="Y22" s="60" t="n">
        <f aca="false">'[1]rama-C'!AD21</f>
        <v>0.146701456224925</v>
      </c>
      <c r="Z22" s="62" t="n">
        <f aca="false">T22/Q22</f>
        <v>5.61842912189574</v>
      </c>
      <c r="AA22" s="62" t="n">
        <f aca="false">R22/T22</f>
        <v>0.0343404135195279</v>
      </c>
      <c r="AB22" s="62" t="n">
        <f aca="false">Q22/U22</f>
        <v>0.247381510430848</v>
      </c>
      <c r="AC22" s="64" t="n">
        <f aca="false">AVERAGE(AA$9:AA$26)</f>
        <v>0.0342436270657735</v>
      </c>
      <c r="AF22" s="59" t="n">
        <f aca="false">$J22*K22</f>
        <v>4023.97445085892</v>
      </c>
      <c r="AG22" s="59" t="n">
        <f aca="false">$J22*L22</f>
        <v>5519.13782305545</v>
      </c>
      <c r="AH22" s="59" t="n">
        <f aca="false">AG22-AF22</f>
        <v>1495.16337219653</v>
      </c>
      <c r="AI22" s="62" t="n">
        <f aca="false">AH22/(F22/1000000)</f>
        <v>0.0270861480418508</v>
      </c>
      <c r="AK22" s="63" t="n">
        <f aca="false">(AF22*1000000)/F22</f>
        <v>0.0728976978164384</v>
      </c>
    </row>
    <row r="23" customFormat="false" ht="15" hidden="false" customHeight="false" outlineLevel="0" collapsed="false">
      <c r="A23" s="52" t="n">
        <v>2021</v>
      </c>
      <c r="B23" s="57" t="n">
        <v>740451400483.521</v>
      </c>
      <c r="C23" s="57" t="n">
        <v>469698711522.275</v>
      </c>
      <c r="D23" s="57" t="n">
        <v>377193985828.289</v>
      </c>
      <c r="E23" s="57" t="n">
        <v>457591011871.852</v>
      </c>
      <c r="F23" s="57" t="n">
        <v>109339487870.682</v>
      </c>
      <c r="G23" s="57" t="n">
        <v>83942983585.5647</v>
      </c>
      <c r="H23" s="61" t="n">
        <v>2232.95241272917</v>
      </c>
      <c r="I23" s="61" t="n">
        <v>86.973256090721</v>
      </c>
      <c r="J23" s="61" t="n">
        <f aca="false">I23*0.9</f>
        <v>78.2759304816489</v>
      </c>
      <c r="K23" s="58" t="n">
        <v>43.56</v>
      </c>
      <c r="L23" s="52" t="n">
        <v>58.976208</v>
      </c>
      <c r="M23" s="59" t="n">
        <f aca="false">C23/K23/1000000</f>
        <v>10782.7987034498</v>
      </c>
      <c r="N23" s="59" t="n">
        <f aca="false">D23/K23/1000000</f>
        <v>8659.18241111775</v>
      </c>
      <c r="O23" s="59" t="n">
        <f aca="false">F23/K23/1000000</f>
        <v>2510.08925322962</v>
      </c>
      <c r="P23" s="59" t="n">
        <f aca="false">G23/K23/1000000</f>
        <v>1927.0657388789</v>
      </c>
      <c r="Q23" s="59" t="n">
        <f aca="false">O23-I23</f>
        <v>2423.1159971389</v>
      </c>
      <c r="R23" s="59" t="n">
        <f aca="false">Q23-P23</f>
        <v>496.050258260008</v>
      </c>
      <c r="S23" s="62" t="n">
        <f aca="false">I23/O23</f>
        <v>0.0346494675353939</v>
      </c>
      <c r="T23" s="59" t="n">
        <f aca="false">M23-H23</f>
        <v>8549.84629072067</v>
      </c>
      <c r="U23" s="59" t="n">
        <f aca="false">N23-H23</f>
        <v>6426.22999838858</v>
      </c>
      <c r="V23" s="52" t="n">
        <f aca="false">H23/M23</f>
        <v>0.207084679417669</v>
      </c>
      <c r="W23" s="52" t="n">
        <f aca="false">H23/H$8*100</f>
        <v>143.430830012267</v>
      </c>
      <c r="X23" s="52" t="n">
        <f aca="false">N23/N$8*100</f>
        <v>364.52438487032</v>
      </c>
      <c r="Y23" s="60" t="n">
        <f aca="false">'[1]rama-C'!AD22</f>
        <v>0.2327864334912</v>
      </c>
      <c r="Z23" s="62" t="n">
        <f aca="false">T23/Q23</f>
        <v>3.52845109388734</v>
      </c>
      <c r="AA23" s="62" t="n">
        <f aca="false">R23/T23</f>
        <v>0.058018617106413</v>
      </c>
      <c r="AB23" s="62" t="n">
        <f aca="false">Q23/U23</f>
        <v>0.377066491200364</v>
      </c>
      <c r="AC23" s="64" t="n">
        <f aca="false">AVERAGE(AA$9:AA$26)</f>
        <v>0.0342436270657735</v>
      </c>
      <c r="AF23" s="59" t="n">
        <f aca="false">$J23*K23</f>
        <v>3409.69953178063</v>
      </c>
      <c r="AG23" s="59" t="n">
        <f aca="false">$J23*L23</f>
        <v>4616.41755747927</v>
      </c>
      <c r="AH23" s="59" t="n">
        <f aca="false">AG23-AF23</f>
        <v>1206.71802569864</v>
      </c>
      <c r="AI23" s="62" t="n">
        <f aca="false">AH23/(F23/1000000)</f>
        <v>0.0110364338556793</v>
      </c>
      <c r="AK23" s="63" t="n">
        <f aca="false">(AF23*1000000)/F23</f>
        <v>0.0311845207818545</v>
      </c>
    </row>
    <row r="24" customFormat="false" ht="15" hidden="false" customHeight="false" outlineLevel="0" collapsed="false">
      <c r="A24" s="52" t="n">
        <v>2022</v>
      </c>
      <c r="B24" s="57" t="n">
        <v>887448109461.119</v>
      </c>
      <c r="C24" s="57" t="n">
        <v>507413899940.416</v>
      </c>
      <c r="D24" s="57" t="n">
        <v>392603477898.926</v>
      </c>
      <c r="E24" s="57" t="n">
        <v>456462007528.555</v>
      </c>
      <c r="F24" s="57" t="n">
        <v>110876730077.231</v>
      </c>
      <c r="G24" s="57" t="n">
        <v>69687013752.2493</v>
      </c>
      <c r="H24" s="61" t="n">
        <v>2453.24612718674</v>
      </c>
      <c r="I24" s="61" t="n">
        <v>113.81052630549</v>
      </c>
      <c r="J24" s="61" t="n">
        <f aca="false">I24*0.9</f>
        <v>102.429473674941</v>
      </c>
      <c r="K24" s="58" t="n">
        <v>41.3</v>
      </c>
      <c r="L24" s="52" t="n">
        <v>58.134197</v>
      </c>
      <c r="M24" s="59" t="n">
        <f aca="false">C24/K24/1000000</f>
        <v>12286.0508460149</v>
      </c>
      <c r="N24" s="59" t="n">
        <f aca="false">D24/K24/1000000</f>
        <v>9506.13747939288</v>
      </c>
      <c r="O24" s="59" t="n">
        <f aca="false">F24/K24/1000000</f>
        <v>2684.66658782641</v>
      </c>
      <c r="P24" s="59" t="n">
        <f aca="false">G24/K24/1000000</f>
        <v>1687.33689472759</v>
      </c>
      <c r="Q24" s="59" t="n">
        <f aca="false">O24-I24</f>
        <v>2570.85606152092</v>
      </c>
      <c r="R24" s="59" t="n">
        <f aca="false">Q24-P24</f>
        <v>883.519166793337</v>
      </c>
      <c r="S24" s="62" t="n">
        <f aca="false">I24/O24</f>
        <v>0.0423927972365592</v>
      </c>
      <c r="T24" s="59" t="n">
        <f aca="false">M24-H24</f>
        <v>9832.80471882817</v>
      </c>
      <c r="U24" s="59" t="n">
        <f aca="false">N24-H24</f>
        <v>7052.89135220614</v>
      </c>
      <c r="V24" s="52" t="n">
        <f aca="false">H24/M24</f>
        <v>0.199677354255983</v>
      </c>
      <c r="W24" s="52" t="n">
        <f aca="false">H24/H$8*100</f>
        <v>157.581113793961</v>
      </c>
      <c r="X24" s="52" t="n">
        <f aca="false">N24/N$8*100</f>
        <v>400.178533335815</v>
      </c>
      <c r="Y24" s="60" t="n">
        <f aca="false">'[1]rama-C'!AD23</f>
        <v>0.21851338737518</v>
      </c>
      <c r="Z24" s="62" t="n">
        <f aca="false">T24/Q24</f>
        <v>3.82472004792484</v>
      </c>
      <c r="AA24" s="62" t="n">
        <f aca="false">R24/T24</f>
        <v>0.0898542371233658</v>
      </c>
      <c r="AB24" s="62" t="n">
        <f aca="false">Q24/U24</f>
        <v>0.364510940710403</v>
      </c>
      <c r="AC24" s="64" t="n">
        <f aca="false">AVERAGE(AA$9:AA$26)</f>
        <v>0.0342436270657735</v>
      </c>
      <c r="AF24" s="59" t="n">
        <f aca="false">$J24*K24</f>
        <v>4230.33726277508</v>
      </c>
      <c r="AG24" s="59" t="n">
        <f aca="false">$J24*L24</f>
        <v>5954.65520122535</v>
      </c>
      <c r="AH24" s="59" t="n">
        <f aca="false">AG24-AF24</f>
        <v>1724.31793845028</v>
      </c>
      <c r="AI24" s="62" t="n">
        <f aca="false">AH24/(F24/1000000)</f>
        <v>0.0155516665872921</v>
      </c>
      <c r="AK24" s="63" t="n">
        <f aca="false">(AF24*1000000)/F24</f>
        <v>0.0381535175129033</v>
      </c>
    </row>
    <row r="25" customFormat="false" ht="15" hidden="false" customHeight="false" outlineLevel="0" collapsed="false">
      <c r="A25" s="52" t="n">
        <v>2023</v>
      </c>
      <c r="B25" s="57" t="n">
        <v>809592502649.113</v>
      </c>
      <c r="C25" s="57" t="n">
        <v>510913341922.446</v>
      </c>
      <c r="D25" s="57" t="n">
        <v>402462792005.253</v>
      </c>
      <c r="E25" s="57" t="n">
        <v>465889304287.645</v>
      </c>
      <c r="F25" s="57" t="n">
        <v>71043588447.2146</v>
      </c>
      <c r="G25" s="57" t="n">
        <v>56457788625.3757</v>
      </c>
      <c r="H25" s="61" t="n">
        <v>2596.65529872038</v>
      </c>
      <c r="I25" s="61" t="n">
        <v>160.272757774754</v>
      </c>
      <c r="J25" s="61" t="n">
        <f aca="false">I25*0.9</f>
        <v>144.245481997278</v>
      </c>
      <c r="K25" s="58" t="n">
        <v>38.695</v>
      </c>
      <c r="L25" s="52" t="n">
        <v>60.006461</v>
      </c>
      <c r="M25" s="59" t="n">
        <f aca="false">C25/K25/1000000</f>
        <v>13203.601031721</v>
      </c>
      <c r="N25" s="59" t="n">
        <f aca="false">D25/K25/1000000</f>
        <v>10400.8991343908</v>
      </c>
      <c r="O25" s="59" t="n">
        <f aca="false">F25/K25/1000000</f>
        <v>1835.98884732432</v>
      </c>
      <c r="P25" s="59" t="n">
        <f aca="false">G25/K25/1000000</f>
        <v>1459.04609446636</v>
      </c>
      <c r="Q25" s="59" t="n">
        <f aca="false">O25-I25</f>
        <v>1675.71608954957</v>
      </c>
      <c r="R25" s="59" t="n">
        <f aca="false">Q25-P25</f>
        <v>216.669995083211</v>
      </c>
      <c r="S25" s="62" t="n">
        <f aca="false">I25/O25</f>
        <v>0.0872950606471968</v>
      </c>
      <c r="T25" s="59" t="n">
        <f aca="false">M25-H25</f>
        <v>10606.9457330007</v>
      </c>
      <c r="U25" s="59" t="n">
        <f aca="false">N25-H25</f>
        <v>7804.24383567045</v>
      </c>
      <c r="V25" s="52" t="n">
        <f aca="false">H25/M25</f>
        <v>0.196662659866959</v>
      </c>
      <c r="W25" s="52" t="n">
        <f aca="false">H25/H$8*100</f>
        <v>166.792817718856</v>
      </c>
      <c r="X25" s="52" t="n">
        <f aca="false">N25/N$8*100</f>
        <v>437.845188963129</v>
      </c>
      <c r="Y25" s="60" t="n">
        <f aca="false">'[1]rama-C'!AD24</f>
        <v>0.139052130014641</v>
      </c>
      <c r="Z25" s="62" t="n">
        <f aca="false">T25/Q25</f>
        <v>6.32979882400712</v>
      </c>
      <c r="AA25" s="62" t="n">
        <f aca="false">R25/T25</f>
        <v>0.0204271805039126</v>
      </c>
      <c r="AB25" s="62" t="n">
        <f aca="false">Q25/U25</f>
        <v>0.214718571694347</v>
      </c>
      <c r="AC25" s="64" t="n">
        <f aca="false">AVERAGE(AA$9:AA$26)</f>
        <v>0.0342436270657735</v>
      </c>
      <c r="AF25" s="59" t="n">
        <f aca="false">$J25*K25</f>
        <v>5581.57892588468</v>
      </c>
      <c r="AG25" s="59" t="n">
        <f aca="false">$J25*L25</f>
        <v>8655.66088989588</v>
      </c>
      <c r="AH25" s="59" t="n">
        <f aca="false">AG25-AF25</f>
        <v>3074.0819640112</v>
      </c>
      <c r="AI25" s="62" t="n">
        <f aca="false">AH25/(F25/1000000)</f>
        <v>0.0432703644509066</v>
      </c>
      <c r="AK25" s="63" t="n">
        <f aca="false">(AF25*1000000)/F25</f>
        <v>0.0785655545824771</v>
      </c>
    </row>
    <row r="26" customFormat="false" ht="15" hidden="false" customHeight="false" outlineLevel="0" collapsed="false">
      <c r="A26" s="52" t="n">
        <v>2024</v>
      </c>
      <c r="B26" s="57" t="n">
        <v>858071607633.119</v>
      </c>
      <c r="C26" s="57" t="n">
        <v>550965223542.482</v>
      </c>
      <c r="D26" s="57" t="n">
        <v>436965957591.824</v>
      </c>
      <c r="E26" s="57" t="n">
        <v>483989418307.887</v>
      </c>
      <c r="F26" s="57" t="n">
        <v>80163642511.1391</v>
      </c>
      <c r="G26" s="57" t="n">
        <v>43801057524.489</v>
      </c>
      <c r="H26" s="61" t="n">
        <v>2506.69004986838</v>
      </c>
      <c r="I26" s="61" t="n">
        <v>156.51050634763</v>
      </c>
      <c r="J26" s="61" t="n">
        <f aca="false">I26*0.9</f>
        <v>140.859455712867</v>
      </c>
      <c r="K26" s="58" t="n">
        <v>40.235</v>
      </c>
      <c r="L26" s="52" t="n">
        <v>61.848214</v>
      </c>
      <c r="M26" s="59" t="n">
        <f aca="false">C26/K26/1000000</f>
        <v>13693.6802172855</v>
      </c>
      <c r="N26" s="59" t="n">
        <f aca="false">D26/K26/1000000</f>
        <v>10860.3444163495</v>
      </c>
      <c r="O26" s="59" t="n">
        <f aca="false">F26/K26/1000000</f>
        <v>1992.38579622565</v>
      </c>
      <c r="P26" s="59" t="n">
        <f aca="false">G26/K26/1000000</f>
        <v>1088.63073255844</v>
      </c>
      <c r="Q26" s="59" t="n">
        <f aca="false">O26-I26</f>
        <v>1835.87528987802</v>
      </c>
      <c r="R26" s="59" t="n">
        <f aca="false">Q26-P26</f>
        <v>747.244557319577</v>
      </c>
      <c r="S26" s="62" t="n">
        <f aca="false">I26/O26</f>
        <v>0.0785543174640783</v>
      </c>
      <c r="T26" s="59" t="n">
        <f aca="false">M26-H26</f>
        <v>11186.9901674171</v>
      </c>
      <c r="U26" s="59" t="n">
        <f aca="false">N26-H26</f>
        <v>8353.65436648117</v>
      </c>
      <c r="V26" s="52" t="n">
        <f aca="false">H26/M26</f>
        <v>0.183054519317911</v>
      </c>
      <c r="W26" s="52" t="n">
        <f aca="false">H26/H$8*100</f>
        <v>161.014015518888</v>
      </c>
      <c r="X26" s="52" t="n">
        <f aca="false">N26/N$8*100</f>
        <v>457.186392420461</v>
      </c>
      <c r="Y26" s="60" t="n">
        <f aca="false">'[1]rama-C'!AD25</f>
        <v>0.145496737517696</v>
      </c>
      <c r="Z26" s="62" t="n">
        <f aca="false">T26/Q26</f>
        <v>6.09354580297249</v>
      </c>
      <c r="AA26" s="62" t="n">
        <f aca="false">R26/T26</f>
        <v>0.066795853588571</v>
      </c>
      <c r="AB26" s="62" t="n">
        <f aca="false">Q26/U26</f>
        <v>0.219769122510554</v>
      </c>
      <c r="AC26" s="64" t="n">
        <f aca="false">AVERAGE(AA$9:AA$26)</f>
        <v>0.0342436270657735</v>
      </c>
      <c r="AF26" s="59" t="n">
        <f aca="false">$J26*K26</f>
        <v>5667.48020060721</v>
      </c>
      <c r="AG26" s="59" t="n">
        <f aca="false">$J26*L26</f>
        <v>8711.90576085293</v>
      </c>
      <c r="AH26" s="59" t="n">
        <f aca="false">AG26-AF26</f>
        <v>3044.42556024572</v>
      </c>
      <c r="AI26" s="62" t="n">
        <f aca="false">AH26/(F26/1000000)</f>
        <v>0.0379776350584704</v>
      </c>
      <c r="AK26" s="63" t="n">
        <f aca="false">(AF26*1000000)/F26</f>
        <v>0.0706988857176705</v>
      </c>
    </row>
    <row r="27" customFormat="false" ht="15" hidden="false" customHeight="false" outlineLevel="0" collapsed="false">
      <c r="A27" s="52" t="n">
        <v>2025</v>
      </c>
      <c r="H27" s="61" t="n">
        <v>2704.09627387234</v>
      </c>
      <c r="I27" s="61" t="n">
        <v>144.462625693262</v>
      </c>
      <c r="J27" s="61" t="n">
        <f aca="false">I27*0.9</f>
        <v>130.016363123936</v>
      </c>
      <c r="K27" s="58" t="n">
        <v>41.08</v>
      </c>
      <c r="L27" s="52" t="n">
        <v>62.865715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G15" activeCellId="0" sqref="G15"/>
    </sheetView>
  </sheetViews>
  <sheetFormatPr defaultColWidth="11.4296875" defaultRowHeight="12.75" zeroHeight="false" outlineLevelRow="0" outlineLevelCol="0"/>
  <cols>
    <col collapsed="false" customWidth="true" hidden="false" outlineLevel="0" max="1" min="1" style="20" width="11.86"/>
    <col collapsed="false" customWidth="true" hidden="false" outlineLevel="0" max="3" min="2" style="20" width="19"/>
    <col collapsed="false" customWidth="true" hidden="false" outlineLevel="0" max="5" min="4" style="20" width="11"/>
    <col collapsed="false" customWidth="true" hidden="false" outlineLevel="0" max="6" min="6" style="20" width="9"/>
    <col collapsed="false" customWidth="true" hidden="false" outlineLevel="0" max="7" min="7" style="20" width="18.14"/>
    <col collapsed="false" customWidth="true" hidden="false" outlineLevel="0" max="8" min="8" style="20" width="16.72"/>
    <col collapsed="false" customWidth="true" hidden="false" outlineLevel="0" max="9" min="9" style="20" width="30"/>
    <col collapsed="false" customWidth="true" hidden="false" outlineLevel="0" max="10" min="10" style="20" width="16.72"/>
    <col collapsed="false" customWidth="true" hidden="false" outlineLevel="0" max="11" min="11" style="20" width="18"/>
    <col collapsed="false" customWidth="true" hidden="false" outlineLevel="0" max="12" min="12" style="20" width="17.14"/>
    <col collapsed="false" customWidth="false" hidden="false" outlineLevel="0" max="16384" min="13" style="20" width="11.43"/>
  </cols>
  <sheetData>
    <row r="1" customFormat="false" ht="32.25" hidden="false" customHeight="true" outlineLevel="0" collapsed="false">
      <c r="A1" s="65" t="s">
        <v>138</v>
      </c>
    </row>
    <row r="4" customFormat="false" ht="79.5" hidden="false" customHeight="true" outlineLevel="0" collapsed="false">
      <c r="B4" s="18" t="s">
        <v>139</v>
      </c>
      <c r="C4" s="18" t="s">
        <v>140</v>
      </c>
      <c r="D4" s="18" t="s">
        <v>42</v>
      </c>
      <c r="E4" s="18" t="s">
        <v>43</v>
      </c>
      <c r="F4" s="18" t="s">
        <v>141</v>
      </c>
      <c r="G4" s="19" t="s">
        <v>142</v>
      </c>
      <c r="H4" s="19" t="s">
        <v>143</v>
      </c>
      <c r="I4" s="19" t="s">
        <v>144</v>
      </c>
      <c r="J4" s="19" t="s">
        <v>145</v>
      </c>
    </row>
    <row r="5" customFormat="false" ht="17.25" hidden="false" customHeight="true" outlineLevel="0" collapsed="false">
      <c r="A5" s="20" t="n">
        <v>2000</v>
      </c>
      <c r="B5" s="66" t="n">
        <f aca="false">[2]Base!$AU3</f>
        <v>2161817</v>
      </c>
      <c r="C5" s="66" t="n">
        <f aca="false">B5*0.95</f>
        <v>2053726.15</v>
      </c>
      <c r="D5" s="67" t="n">
        <v>12.114925</v>
      </c>
      <c r="E5" s="67" t="n">
        <v>17.830572</v>
      </c>
      <c r="F5" s="67" t="n">
        <v>1.471785587</v>
      </c>
      <c r="G5" s="68" t="n">
        <f aca="false">C5*D5</f>
        <v>24880738.2777887</v>
      </c>
      <c r="H5" s="68" t="n">
        <f aca="false">C5*E5</f>
        <v>36619111.9858578</v>
      </c>
      <c r="I5" s="68" t="n">
        <f aca="false">H5-G5</f>
        <v>11738373.7080691</v>
      </c>
      <c r="J5" s="22" t="n">
        <f aca="false">I5/G5</f>
        <v>0.471785586786547</v>
      </c>
    </row>
    <row r="6" customFormat="false" ht="12.75" hidden="false" customHeight="false" outlineLevel="0" collapsed="false">
      <c r="A6" s="20" t="n">
        <v>2001</v>
      </c>
      <c r="B6" s="66" t="n">
        <f aca="false">[2]Base!$AU4</f>
        <v>1894160</v>
      </c>
      <c r="C6" s="66" t="n">
        <f aca="false">B6*0.95</f>
        <v>1799452</v>
      </c>
      <c r="D6" s="69" t="n">
        <v>13.408852</v>
      </c>
      <c r="E6" s="69" t="n">
        <v>19.078999</v>
      </c>
      <c r="F6" s="69" t="n">
        <v>1.422865955</v>
      </c>
      <c r="G6" s="68" t="n">
        <f aca="false">C6*D6</f>
        <v>24128585.549104</v>
      </c>
      <c r="H6" s="68" t="n">
        <f aca="false">C6*E6</f>
        <v>34331742.908548</v>
      </c>
      <c r="I6" s="68" t="n">
        <f aca="false">H6-G6</f>
        <v>10203157.359444</v>
      </c>
      <c r="J6" s="22" t="n">
        <f aca="false">I6/G6</f>
        <v>0.422865954520193</v>
      </c>
      <c r="K6" s="66" t="n">
        <v>89240215000</v>
      </c>
      <c r="L6" s="68" t="n">
        <f aca="false">G6*1000</f>
        <v>24128585549.104</v>
      </c>
      <c r="M6" s="20" t="n">
        <f aca="false">L6/K6</f>
        <v>0.270377940585464</v>
      </c>
    </row>
    <row r="7" customFormat="false" ht="12.75" hidden="false" customHeight="false" outlineLevel="0" collapsed="false">
      <c r="A7" s="20" t="n">
        <v>2002</v>
      </c>
      <c r="B7" s="66" t="n">
        <f aca="false">[2]Base!$AU5</f>
        <v>1693280</v>
      </c>
      <c r="C7" s="66" t="n">
        <f aca="false">B7*0.95</f>
        <v>1608616</v>
      </c>
      <c r="D7" s="67" t="n">
        <v>21.587268</v>
      </c>
      <c r="E7" s="67" t="n">
        <v>22.652647</v>
      </c>
      <c r="F7" s="70" t="n">
        <v>1.049352192</v>
      </c>
      <c r="G7" s="68" t="n">
        <f aca="false">C7*D7</f>
        <v>34725624.701088</v>
      </c>
      <c r="H7" s="68" t="n">
        <f aca="false">C7*E7</f>
        <v>36439410.406552</v>
      </c>
      <c r="I7" s="68" t="n">
        <f aca="false">H7-G7</f>
        <v>1713785.705464</v>
      </c>
      <c r="J7" s="22" t="n">
        <f aca="false">I7/G7</f>
        <v>0.0493521922273814</v>
      </c>
      <c r="K7" s="66" t="n">
        <v>104934883446</v>
      </c>
      <c r="L7" s="68" t="n">
        <f aca="false">G7*1000</f>
        <v>34725624701.088</v>
      </c>
      <c r="M7" s="20" t="n">
        <f aca="false">L7/K7</f>
        <v>0.330925461207168</v>
      </c>
    </row>
    <row r="8" customFormat="false" ht="12.75" hidden="false" customHeight="false" outlineLevel="0" collapsed="false">
      <c r="A8" s="20" t="n">
        <v>2003</v>
      </c>
      <c r="B8" s="66" t="n">
        <f aca="false">[2]Base!$AU6</f>
        <v>2005751</v>
      </c>
      <c r="C8" s="66" t="n">
        <f aca="false">B8*0.95</f>
        <v>1905463.45</v>
      </c>
      <c r="D8" s="69" t="n">
        <v>28.369939</v>
      </c>
      <c r="E8" s="69" t="n">
        <v>26.367312</v>
      </c>
      <c r="F8" s="70" t="n">
        <v>0.9294102465</v>
      </c>
      <c r="G8" s="68" t="n">
        <f aca="false">C8*D8</f>
        <v>54057881.8432296</v>
      </c>
      <c r="H8" s="68" t="n">
        <f aca="false">C8*E8</f>
        <v>50241949.2907464</v>
      </c>
      <c r="I8" s="68" t="n">
        <f aca="false">H8-G8</f>
        <v>-3815932.55248315</v>
      </c>
      <c r="J8" s="22" t="n">
        <f aca="false">I8/G8</f>
        <v>-0.0705897534710949</v>
      </c>
      <c r="K8" s="66" t="n">
        <v>139349946300</v>
      </c>
      <c r="L8" s="68" t="n">
        <f aca="false">G8*1000</f>
        <v>54057881843.2295</v>
      </c>
      <c r="M8" s="20" t="n">
        <f aca="false">L8/K8</f>
        <v>0.387928975062903</v>
      </c>
    </row>
    <row r="9" customFormat="false" ht="12.75" hidden="false" customHeight="false" outlineLevel="0" collapsed="false">
      <c r="A9" s="20" t="n">
        <v>2004</v>
      </c>
      <c r="B9" s="66" t="n">
        <f aca="false">[2]Base!$AU7</f>
        <v>2752231</v>
      </c>
      <c r="C9" s="66" t="n">
        <f aca="false">B9*0.95</f>
        <v>2614619.45</v>
      </c>
      <c r="D9" s="67" t="n">
        <v>28.703792</v>
      </c>
      <c r="E9" s="67" t="n">
        <v>29.122846</v>
      </c>
      <c r="F9" s="70" t="n">
        <v>1.014599256</v>
      </c>
      <c r="G9" s="68" t="n">
        <f aca="false">C9*D9</f>
        <v>75049492.8519544</v>
      </c>
      <c r="H9" s="68" t="n">
        <f aca="false">C9*E9</f>
        <v>76145159.5909547</v>
      </c>
      <c r="I9" s="68" t="n">
        <f aca="false">H9-G9</f>
        <v>1095666.73900031</v>
      </c>
      <c r="J9" s="22" t="n">
        <f aca="false">I9/G9</f>
        <v>0.0145992557359669</v>
      </c>
      <c r="K9" s="66" t="n">
        <v>179010449525</v>
      </c>
      <c r="L9" s="68" t="n">
        <f aca="false">G9*1000</f>
        <v>75049492851.9544</v>
      </c>
      <c r="M9" s="20" t="n">
        <f aca="false">L9/K9</f>
        <v>0.419246435339928</v>
      </c>
    </row>
    <row r="10" customFormat="false" ht="12.75" hidden="false" customHeight="false" outlineLevel="0" collapsed="false">
      <c r="A10" s="20" t="n">
        <v>2005</v>
      </c>
      <c r="B10" s="66" t="n">
        <f aca="false">[2]Base!$AU8</f>
        <v>3288799</v>
      </c>
      <c r="C10" s="66" t="n">
        <f aca="false">B10*0.95</f>
        <v>3124359.05</v>
      </c>
      <c r="D10" s="69" t="n">
        <v>24.478579</v>
      </c>
      <c r="E10" s="69" t="n">
        <v>28.325217</v>
      </c>
      <c r="F10" s="69" t="n">
        <v>1.157143027</v>
      </c>
      <c r="G10" s="68" t="n">
        <f aca="false">C10*D10</f>
        <v>76479869.82979</v>
      </c>
      <c r="H10" s="68" t="n">
        <f aca="false">C10*E10</f>
        <v>88498148.0771639</v>
      </c>
      <c r="I10" s="68" t="n">
        <f aca="false">H10-G10</f>
        <v>12018278.2473739</v>
      </c>
      <c r="J10" s="22" t="n">
        <f aca="false">I10/G10</f>
        <v>0.157143026970642</v>
      </c>
      <c r="K10" s="66" t="n">
        <v>184862461743</v>
      </c>
      <c r="L10" s="68" t="n">
        <f aca="false">G10*1000</f>
        <v>76479869829.79</v>
      </c>
      <c r="M10" s="20" t="n">
        <f aca="false">L10/K10</f>
        <v>0.413712276190036</v>
      </c>
    </row>
    <row r="11" customFormat="false" ht="12.75" hidden="false" customHeight="false" outlineLevel="0" collapsed="false">
      <c r="A11" s="20" t="n">
        <v>2006</v>
      </c>
      <c r="B11" s="66" t="n">
        <f aca="false">[2]Base!$AU9</f>
        <v>3843115</v>
      </c>
      <c r="C11" s="66" t="n">
        <f aca="false">B11*0.95</f>
        <v>3650959.25</v>
      </c>
      <c r="D11" s="67" t="n">
        <v>24.073374</v>
      </c>
      <c r="E11" s="67" t="n">
        <v>29.954262</v>
      </c>
      <c r="F11" s="67" t="n">
        <v>1.244290144</v>
      </c>
      <c r="G11" s="68" t="n">
        <f aca="false">C11*D11</f>
        <v>87890907.4840095</v>
      </c>
      <c r="H11" s="68" t="n">
        <f aca="false">C11*E11</f>
        <v>109361789.925824</v>
      </c>
      <c r="I11" s="68" t="n">
        <f aca="false">H11-G11</f>
        <v>21470882.441814</v>
      </c>
      <c r="J11" s="22" t="n">
        <f aca="false">I11/G11</f>
        <v>0.244290143957386</v>
      </c>
      <c r="K11" s="66" t="n">
        <v>185039597745.125</v>
      </c>
      <c r="L11" s="68" t="n">
        <f aca="false">G11*1000</f>
        <v>87890907484.0095</v>
      </c>
      <c r="M11" s="20" t="n">
        <f aca="false">L11/K11</f>
        <v>0.474984319870124</v>
      </c>
    </row>
    <row r="12" customFormat="false" ht="12.75" hidden="false" customHeight="false" outlineLevel="0" collapsed="false">
      <c r="A12" s="20" t="n">
        <v>2007</v>
      </c>
      <c r="B12" s="66" t="n">
        <f aca="false">[2]Base!$AU10</f>
        <v>4255335</v>
      </c>
      <c r="C12" s="66" t="n">
        <f aca="false">B12*0.95</f>
        <v>4042568.25</v>
      </c>
      <c r="D12" s="69" t="n">
        <v>23.471036</v>
      </c>
      <c r="E12" s="69" t="n">
        <v>30.861639</v>
      </c>
      <c r="F12" s="69" t="n">
        <v>1.31488184</v>
      </c>
      <c r="G12" s="68" t="n">
        <f aca="false">C12*D12</f>
        <v>94883264.928207</v>
      </c>
      <c r="H12" s="68" t="n">
        <f aca="false">C12*E12</f>
        <v>124760281.964362</v>
      </c>
      <c r="I12" s="68" t="n">
        <f aca="false">H12-G12</f>
        <v>29877017.0361547</v>
      </c>
      <c r="J12" s="22" t="n">
        <f aca="false">I12/G12</f>
        <v>0.314881839898333</v>
      </c>
      <c r="K12" s="66" t="n">
        <v>235394001073.246</v>
      </c>
      <c r="L12" s="68" t="n">
        <f aca="false">G12*1000</f>
        <v>94883264928.207</v>
      </c>
      <c r="M12" s="20" t="n">
        <f aca="false">L12/K12</f>
        <v>0.403082765472357</v>
      </c>
    </row>
    <row r="13" customFormat="false" ht="12.75" hidden="false" customHeight="false" outlineLevel="0" collapsed="false">
      <c r="A13" s="20" t="n">
        <v>2008</v>
      </c>
      <c r="B13" s="66" t="n">
        <f aca="false">[2]Base!$AU11</f>
        <v>5966085</v>
      </c>
      <c r="C13" s="66" t="n">
        <f aca="false">B13*0.95</f>
        <v>5667780.75</v>
      </c>
      <c r="D13" s="67" t="n">
        <v>20.949345</v>
      </c>
      <c r="E13" s="67" t="n">
        <v>30.471964</v>
      </c>
      <c r="F13" s="67" t="n">
        <v>1.454554498</v>
      </c>
      <c r="G13" s="68" t="n">
        <f aca="false">C13*D13</f>
        <v>118736294.316109</v>
      </c>
      <c r="H13" s="68" t="n">
        <f aca="false">C13*E13</f>
        <v>172708410.973893</v>
      </c>
      <c r="I13" s="68" t="n">
        <f aca="false">H13-G13</f>
        <v>53972116.6577842</v>
      </c>
      <c r="J13" s="22" t="n">
        <f aca="false">I13/G13</f>
        <v>0.454554498004591</v>
      </c>
      <c r="K13" s="66" t="n">
        <v>284995693319.884</v>
      </c>
      <c r="L13" s="68" t="n">
        <f aca="false">G13*1000</f>
        <v>118736294316.109</v>
      </c>
      <c r="M13" s="20" t="n">
        <f aca="false">L13/K13</f>
        <v>0.416624872232147</v>
      </c>
    </row>
    <row r="14" customFormat="false" ht="12.75" hidden="false" customHeight="false" outlineLevel="0" collapsed="false">
      <c r="A14" s="20" t="n">
        <v>2009</v>
      </c>
      <c r="B14" s="66" t="n">
        <f aca="false">[2]Base!$AU12</f>
        <v>5101669</v>
      </c>
      <c r="C14" s="66" t="n">
        <f aca="false">B14*0.95</f>
        <v>4846585.55</v>
      </c>
      <c r="D14" s="21" t="n">
        <v>22.567971</v>
      </c>
      <c r="E14" s="21" t="n">
        <v>32.276463</v>
      </c>
      <c r="F14" s="21" t="n">
        <v>1.430188961</v>
      </c>
      <c r="G14" s="68" t="n">
        <f aca="false">C14*D14</f>
        <v>109377602.141419</v>
      </c>
      <c r="H14" s="68" t="n">
        <f aca="false">C14*E14</f>
        <v>156430639.18091</v>
      </c>
      <c r="I14" s="68" t="n">
        <f aca="false">H14-G14</f>
        <v>47053037.0394906</v>
      </c>
      <c r="J14" s="22" t="n">
        <f aca="false">I14/G14</f>
        <v>0.43018896116093</v>
      </c>
      <c r="K14" s="66" t="n">
        <v>262347159926.776</v>
      </c>
      <c r="L14" s="68" t="n">
        <f aca="false">G14*1000</f>
        <v>109377602141.419</v>
      </c>
      <c r="M14" s="20" t="n">
        <f aca="false">L14/K14</f>
        <v>0.416919329989879</v>
      </c>
    </row>
    <row r="15" customFormat="false" ht="12.75" hidden="false" customHeight="false" outlineLevel="0" collapsed="false">
      <c r="A15" s="20" t="n">
        <v>2010</v>
      </c>
      <c r="B15" s="66" t="n">
        <f aca="false">[2]Base!$AU13</f>
        <v>6236366</v>
      </c>
      <c r="C15" s="66" t="n">
        <f aca="false">B15*0.95</f>
        <v>5924547.7</v>
      </c>
      <c r="D15" s="21" t="n">
        <v>20.059238</v>
      </c>
      <c r="E15" s="21" t="n">
        <v>32.828748</v>
      </c>
      <c r="F15" s="21" t="n">
        <v>1.636589984</v>
      </c>
      <c r="G15" s="68" t="n">
        <f aca="false">C15*D15</f>
        <v>118841912.356653</v>
      </c>
      <c r="H15" s="68" t="n">
        <f aca="false">C15*E15</f>
        <v>194495483.45728</v>
      </c>
      <c r="I15" s="68" t="n">
        <f aca="false">H15-G15</f>
        <v>75653571.100627</v>
      </c>
      <c r="J15" s="22" t="n">
        <f aca="false">I15/G15</f>
        <v>0.636589984126017</v>
      </c>
      <c r="K15" s="66" t="n">
        <v>298614685114.745</v>
      </c>
      <c r="L15" s="68" t="n">
        <f aca="false">G15*1000</f>
        <v>118841912356.653</v>
      </c>
      <c r="M15" s="20" t="n">
        <f aca="false">L15/K15</f>
        <v>0.397977454829412</v>
      </c>
    </row>
    <row r="16" customFormat="false" ht="12.75" hidden="false" customHeight="false" outlineLevel="0" collapsed="false">
      <c r="A16" s="20" t="n">
        <v>2011</v>
      </c>
      <c r="B16" s="66" t="n">
        <f aca="false">[2]Base!$AU14</f>
        <v>7334170</v>
      </c>
      <c r="C16" s="66" t="n">
        <f aca="false">B16*0.95</f>
        <v>6967461.5</v>
      </c>
      <c r="D16" s="21" t="n">
        <v>19.314209</v>
      </c>
      <c r="E16" s="21" t="n">
        <v>34.651025</v>
      </c>
      <c r="F16" s="21" t="n">
        <v>1.794069071</v>
      </c>
      <c r="G16" s="68" t="n">
        <f aca="false">C16*D16</f>
        <v>134571007.610454</v>
      </c>
      <c r="H16" s="68" t="n">
        <f aca="false">C16*E16</f>
        <v>241429682.623038</v>
      </c>
      <c r="I16" s="68" t="n">
        <f aca="false">H16-G16</f>
        <v>106858675.012584</v>
      </c>
      <c r="J16" s="22" t="n">
        <f aca="false">I16/G16</f>
        <v>0.794069071117538</v>
      </c>
      <c r="K16" s="66" t="n">
        <v>322720110758.961</v>
      </c>
      <c r="L16" s="68" t="n">
        <f aca="false">G16*1000</f>
        <v>134571007610.454</v>
      </c>
      <c r="M16" s="20" t="n">
        <f aca="false">L16/K16</f>
        <v>0.416989840806557</v>
      </c>
    </row>
    <row r="17" customFormat="false" ht="12.75" hidden="false" customHeight="false" outlineLevel="0" collapsed="false">
      <c r="A17" s="20" t="n">
        <v>2012</v>
      </c>
      <c r="B17" s="66" t="n">
        <f aca="false">[2]Base!$AU15</f>
        <v>7387626</v>
      </c>
      <c r="C17" s="66" t="n">
        <f aca="false">B17*0.95</f>
        <v>7018244.7</v>
      </c>
      <c r="D17" s="21" t="n">
        <v>20.310164</v>
      </c>
      <c r="E17" s="21" t="n">
        <v>35.243068</v>
      </c>
      <c r="F17" s="21" t="n">
        <v>1.735242906</v>
      </c>
      <c r="G17" s="68" t="n">
        <f aca="false">C17*D17</f>
        <v>142541700.849131</v>
      </c>
      <c r="H17" s="68" t="n">
        <f aca="false">C17*E17</f>
        <v>247344475.20274</v>
      </c>
      <c r="I17" s="68" t="n">
        <f aca="false">H17-G17</f>
        <v>104802774.353609</v>
      </c>
      <c r="J17" s="22" t="n">
        <f aca="false">I17/G17</f>
        <v>0.735242905965703</v>
      </c>
      <c r="K17" s="66" t="n">
        <v>366495477250.288</v>
      </c>
      <c r="L17" s="68" t="n">
        <f aca="false">G17*1000</f>
        <v>142541700849.131</v>
      </c>
      <c r="M17" s="20" t="n">
        <f aca="false">L17/K17</f>
        <v>0.388931677734691</v>
      </c>
    </row>
    <row r="18" customFormat="false" ht="12.75" hidden="false" customHeight="false" outlineLevel="0" collapsed="false">
      <c r="A18" s="20" t="n">
        <v>2013</v>
      </c>
      <c r="B18" s="66" t="n">
        <f aca="false">[2]Base!$AU16</f>
        <v>7440534</v>
      </c>
      <c r="C18" s="66" t="n">
        <f aca="false">B18*0.95</f>
        <v>7068507.3</v>
      </c>
      <c r="D18" s="21" t="n">
        <v>20.481618</v>
      </c>
      <c r="E18" s="21" t="n">
        <v>35.991435</v>
      </c>
      <c r="F18" s="21" t="n">
        <v>1.757255457</v>
      </c>
      <c r="G18" s="68" t="n">
        <f aca="false">C18*D18</f>
        <v>144774466.348811</v>
      </c>
      <c r="H18" s="68" t="n">
        <f aca="false">C18*E18</f>
        <v>254405721.034976</v>
      </c>
      <c r="I18" s="68" t="n">
        <f aca="false">H18-G18</f>
        <v>109631254.686164</v>
      </c>
      <c r="J18" s="22" t="n">
        <f aca="false">I18/G18</f>
        <v>0.757255457063988</v>
      </c>
      <c r="K18" s="66" t="n">
        <v>393495580200.293</v>
      </c>
      <c r="L18" s="68" t="n">
        <f aca="false">G18*1000</f>
        <v>144774466348.811</v>
      </c>
      <c r="M18" s="20" t="n">
        <f aca="false">L18/K18</f>
        <v>0.367918913536767</v>
      </c>
    </row>
    <row r="19" customFormat="false" ht="12.75" hidden="false" customHeight="false" outlineLevel="0" collapsed="false">
      <c r="A19" s="20" t="n">
        <v>2014</v>
      </c>
      <c r="B19" s="66" t="n">
        <f aca="false">[2]Base!$AU17</f>
        <v>7750681</v>
      </c>
      <c r="C19" s="66" t="n">
        <f aca="false">B19*0.95</f>
        <v>7363146.95</v>
      </c>
      <c r="D19" s="21" t="n">
        <v>23.246061</v>
      </c>
      <c r="E19" s="21" t="n">
        <v>38.372773</v>
      </c>
      <c r="F19" s="21" t="n">
        <v>1.650721514</v>
      </c>
      <c r="G19" s="68" t="n">
        <f aca="false">C19*D19</f>
        <v>171164163.151664</v>
      </c>
      <c r="H19" s="68" t="n">
        <f aca="false">C19*E19</f>
        <v>282544366.477992</v>
      </c>
      <c r="I19" s="68" t="n">
        <f aca="false">H19-G19</f>
        <v>111380203.326328</v>
      </c>
      <c r="J19" s="22" t="n">
        <f aca="false">I19/G19</f>
        <v>0.650721513636224</v>
      </c>
      <c r="K19" s="66" t="n">
        <v>453640919223.416</v>
      </c>
      <c r="L19" s="68" t="n">
        <f aca="false">G19*1000</f>
        <v>171164163151.664</v>
      </c>
      <c r="M19" s="20" t="n">
        <f aca="false">L19/K19</f>
        <v>0.377312001405602</v>
      </c>
    </row>
    <row r="20" customFormat="false" ht="12.75" hidden="false" customHeight="false" outlineLevel="0" collapsed="false">
      <c r="A20" s="20" t="n">
        <v>2015</v>
      </c>
      <c r="B20" s="66" t="n">
        <f aca="false">[2]Base!$AU18</f>
        <v>7332807</v>
      </c>
      <c r="C20" s="66" t="n">
        <f aca="false">B20*0.95</f>
        <v>6966166.65</v>
      </c>
      <c r="D20" s="21" t="n">
        <v>27.327226</v>
      </c>
      <c r="E20" s="21" t="n">
        <v>41.149156</v>
      </c>
      <c r="F20" s="21" t="n">
        <v>1.50579338</v>
      </c>
      <c r="G20" s="68" t="n">
        <f aca="false">C20*D20</f>
        <v>190366010.398213</v>
      </c>
      <c r="H20" s="68" t="n">
        <f aca="false">C20*E20</f>
        <v>286651878.202847</v>
      </c>
      <c r="I20" s="68" t="n">
        <f aca="false">H20-G20</f>
        <v>96285867.8046345</v>
      </c>
      <c r="J20" s="22" t="n">
        <f aca="false">I20/G20</f>
        <v>0.505793379832991</v>
      </c>
      <c r="K20" s="66" t="n">
        <v>478094966223.237</v>
      </c>
      <c r="L20" s="68" t="n">
        <f aca="false">G20*1000</f>
        <v>190366010398.213</v>
      </c>
      <c r="M20" s="20" t="n">
        <f aca="false">L20/K20</f>
        <v>0.398176144589076</v>
      </c>
    </row>
    <row r="21" customFormat="false" ht="12.75" hidden="false" customHeight="false" outlineLevel="0" collapsed="false">
      <c r="A21" s="20" t="n">
        <v>2016</v>
      </c>
      <c r="B21" s="66" t="n">
        <f aca="false">[2]Base!$AU19</f>
        <v>6881861</v>
      </c>
      <c r="C21" s="66" t="n">
        <f aca="false">B21*0.95</f>
        <v>6537767.95</v>
      </c>
      <c r="D21" s="21" t="n">
        <v>30.1626</v>
      </c>
      <c r="E21" s="21" t="n">
        <v>44.043941</v>
      </c>
      <c r="F21" s="21" t="n">
        <v>1.460216991</v>
      </c>
      <c r="G21" s="68" t="n">
        <f aca="false">C21*D21</f>
        <v>197196079.56867</v>
      </c>
      <c r="H21" s="68" t="n">
        <f aca="false">C21*E21</f>
        <v>287949065.861491</v>
      </c>
      <c r="I21" s="68" t="n">
        <f aca="false">H21-G21</f>
        <v>90752986.2928209</v>
      </c>
      <c r="J21" s="22" t="n">
        <f aca="false">I21/G21</f>
        <v>0.460216990577735</v>
      </c>
      <c r="K21" s="66" t="n">
        <v>488282856955.128</v>
      </c>
      <c r="L21" s="68" t="n">
        <f aca="false">G21*1000</f>
        <v>197196079568.67</v>
      </c>
      <c r="M21" s="20" t="n">
        <f aca="false">L21/K21</f>
        <v>0.403856241847933</v>
      </c>
    </row>
    <row r="22" customFormat="false" ht="12.75" hidden="false" customHeight="false" outlineLevel="0" collapsed="false">
      <c r="A22" s="20" t="n">
        <v>2017</v>
      </c>
      <c r="B22" s="66" t="n">
        <f aca="false">[2]Base!$AU20</f>
        <v>7269212</v>
      </c>
      <c r="C22" s="66" t="n">
        <f aca="false">B22*0.95</f>
        <v>6905751.4</v>
      </c>
      <c r="D22" s="21" t="n">
        <v>28.65</v>
      </c>
      <c r="E22" s="21" t="n">
        <v>44.520022</v>
      </c>
      <c r="F22" s="21" t="n">
        <v>1.553927469</v>
      </c>
      <c r="G22" s="68" t="n">
        <f aca="false">C22*D22</f>
        <v>197849777.61</v>
      </c>
      <c r="H22" s="68" t="n">
        <f aca="false">C22*E22</f>
        <v>307444204.254531</v>
      </c>
      <c r="I22" s="68" t="n">
        <f aca="false">H22-G22</f>
        <v>109594426.644531</v>
      </c>
      <c r="J22" s="22" t="n">
        <f aca="false">I22/G22</f>
        <v>0.553927469458988</v>
      </c>
      <c r="K22" s="66" t="n">
        <v>484141525416.436</v>
      </c>
      <c r="L22" s="68" t="n">
        <f aca="false">G22*1000</f>
        <v>197849777610</v>
      </c>
      <c r="M22" s="20" t="n">
        <f aca="false">L22/K22</f>
        <v>0.408661036542608</v>
      </c>
    </row>
    <row r="23" customFormat="false" ht="12.75" hidden="false" customHeight="false" outlineLevel="0" collapsed="false">
      <c r="A23" s="20" t="n">
        <v>2018</v>
      </c>
      <c r="B23" s="66" t="n">
        <f aca="false">[2]Base!$AU21</f>
        <v>7870612</v>
      </c>
      <c r="C23" s="66" t="n">
        <f aca="false">B23*0.95</f>
        <v>7477081.4</v>
      </c>
      <c r="D23" s="21" t="n">
        <v>30.77</v>
      </c>
      <c r="E23" s="21" t="n">
        <v>47.58936</v>
      </c>
      <c r="F23" s="21" t="n">
        <v>1.546615535</v>
      </c>
      <c r="G23" s="68" t="n">
        <f aca="false">C23*D23</f>
        <v>230069794.678</v>
      </c>
      <c r="H23" s="68" t="n">
        <f aca="false">C23*E23</f>
        <v>355829518.493904</v>
      </c>
      <c r="I23" s="68" t="n">
        <f aca="false">H23-G23</f>
        <v>125759723.815904</v>
      </c>
      <c r="J23" s="22" t="n">
        <f aca="false">I23/G23</f>
        <v>0.546615534611635</v>
      </c>
      <c r="K23" s="66" t="n">
        <v>570036849535.363</v>
      </c>
      <c r="L23" s="68" t="n">
        <f aca="false">G23*1000</f>
        <v>230069794678</v>
      </c>
      <c r="M23" s="20" t="n">
        <f aca="false">L23/K23</f>
        <v>0.403605126344954</v>
      </c>
    </row>
    <row r="24" customFormat="false" ht="12.75" hidden="false" customHeight="false" outlineLevel="0" collapsed="false">
      <c r="A24" s="20" t="n">
        <v>2019</v>
      </c>
      <c r="B24" s="66" t="n">
        <f aca="false">[2]Base!$AU22</f>
        <v>7619202</v>
      </c>
      <c r="C24" s="66" t="n">
        <f aca="false">B24*0.95</f>
        <v>7238241.9</v>
      </c>
      <c r="D24" s="21" t="n">
        <v>35.3</v>
      </c>
      <c r="E24" s="21" t="n">
        <v>50.391059</v>
      </c>
      <c r="F24" s="21" t="n">
        <v>1.427508754</v>
      </c>
      <c r="G24" s="68" t="n">
        <f aca="false">C24*D24</f>
        <v>255509939.07</v>
      </c>
      <c r="H24" s="68" t="n">
        <f aca="false">C24*E24</f>
        <v>364742674.639172</v>
      </c>
      <c r="I24" s="68" t="n">
        <f aca="false">H24-G24</f>
        <v>109232735.569172</v>
      </c>
      <c r="J24" s="22" t="n">
        <f aca="false">I24/G24</f>
        <v>0.427508753541077</v>
      </c>
      <c r="K24" s="66" t="n">
        <v>601651424497</v>
      </c>
      <c r="L24" s="68" t="n">
        <f aca="false">G24*1000</f>
        <v>255509939070</v>
      </c>
      <c r="M24" s="20" t="n">
        <f aca="false">L24/K24</f>
        <v>0.424681017390783</v>
      </c>
    </row>
    <row r="25" customFormat="false" ht="12.75" hidden="false" customHeight="false" outlineLevel="0" collapsed="false">
      <c r="A25" s="20" t="n">
        <v>2020</v>
      </c>
      <c r="B25" s="66" t="n">
        <f aca="false">[2]Base!$AU23</f>
        <v>6584112</v>
      </c>
      <c r="C25" s="66" t="n">
        <f aca="false">B25*0.95</f>
        <v>6254906.4</v>
      </c>
      <c r="D25" s="21" t="n">
        <v>42</v>
      </c>
      <c r="E25" s="21" t="n">
        <v>57.605681</v>
      </c>
      <c r="F25" s="21" t="n">
        <v>1.371563833</v>
      </c>
      <c r="G25" s="68" t="n">
        <f aca="false">C25*D25</f>
        <v>262706068.8</v>
      </c>
      <c r="H25" s="68" t="n">
        <f aca="false">C25*E25</f>
        <v>360318142.763258</v>
      </c>
      <c r="I25" s="68" t="n">
        <f aca="false">H25-G25</f>
        <v>97612073.9632584</v>
      </c>
      <c r="J25" s="22" t="n">
        <f aca="false">I25/G25</f>
        <v>0.371563833333333</v>
      </c>
      <c r="K25" s="66" t="n">
        <v>600817528391.498</v>
      </c>
      <c r="L25" s="68" t="n">
        <f aca="false">G25*1000</f>
        <v>262706068800</v>
      </c>
      <c r="M25" s="20" t="n">
        <f aca="false">L25/K25</f>
        <v>0.437247677349417</v>
      </c>
    </row>
    <row r="26" customFormat="false" ht="12.75" hidden="false" customHeight="false" outlineLevel="0" collapsed="false">
      <c r="A26" s="20" t="n">
        <v>2021</v>
      </c>
      <c r="B26" s="66" t="n">
        <f aca="false">[2]Base!$AU24</f>
        <v>8900035</v>
      </c>
      <c r="C26" s="66" t="n">
        <f aca="false">B26*0.95</f>
        <v>8455033.25</v>
      </c>
      <c r="D26" s="21" t="n">
        <v>43.56</v>
      </c>
      <c r="E26" s="21" t="n">
        <v>58.976208</v>
      </c>
      <c r="F26" s="21" t="n">
        <v>1.353907438</v>
      </c>
      <c r="G26" s="68" t="n">
        <f aca="false">C26*D26</f>
        <v>368301248.37</v>
      </c>
      <c r="H26" s="68" t="n">
        <f aca="false">C26*E26</f>
        <v>498645799.598916</v>
      </c>
      <c r="I26" s="68" t="n">
        <f aca="false">H26-G26</f>
        <v>130344551.228916</v>
      </c>
      <c r="J26" s="22" t="n">
        <f aca="false">I26/G26</f>
        <v>0.353907438016529</v>
      </c>
      <c r="K26" s="66" t="n">
        <v>740451400483.521</v>
      </c>
      <c r="L26" s="68" t="n">
        <f aca="false">G26*1000</f>
        <v>368301248370</v>
      </c>
      <c r="M26" s="20" t="n">
        <f aca="false">L26/K26</f>
        <v>0.497400974769575</v>
      </c>
    </row>
    <row r="27" customFormat="false" ht="12.75" hidden="false" customHeight="false" outlineLevel="0" collapsed="false">
      <c r="A27" s="20" t="n">
        <v>2022</v>
      </c>
      <c r="B27" s="66" t="n">
        <f aca="false">[2]Base!$AU25</f>
        <v>10237765</v>
      </c>
      <c r="C27" s="66" t="n">
        <f aca="false">B27*0.95</f>
        <v>9725876.75</v>
      </c>
      <c r="D27" s="21" t="n">
        <v>41.3</v>
      </c>
      <c r="E27" s="21" t="n">
        <v>58.134197</v>
      </c>
      <c r="F27" s="21" t="n">
        <v>1.407607676</v>
      </c>
      <c r="G27" s="68" t="n">
        <f aca="false">C27*D27</f>
        <v>401678709.775</v>
      </c>
      <c r="H27" s="68" t="n">
        <f aca="false">C27*E27</f>
        <v>565406034.98222</v>
      </c>
      <c r="I27" s="68" t="n">
        <f aca="false">H27-G27</f>
        <v>163727325.20722</v>
      </c>
      <c r="J27" s="22" t="n">
        <f aca="false">I27/G27</f>
        <v>0.407607675544794</v>
      </c>
      <c r="K27" s="66" t="n">
        <v>887448109461.119</v>
      </c>
      <c r="L27" s="68" t="n">
        <f aca="false">G27*1000</f>
        <v>401678709775</v>
      </c>
      <c r="M27" s="20" t="n">
        <f aca="false">L27/K27</f>
        <v>0.452622193334672</v>
      </c>
    </row>
    <row r="28" customFormat="false" ht="12.75" hidden="false" customHeight="false" outlineLevel="0" collapsed="false">
      <c r="A28" s="20" t="n">
        <v>2023</v>
      </c>
      <c r="B28" s="66" t="n">
        <f aca="false">[2]Base!$AU26</f>
        <v>9667693</v>
      </c>
      <c r="C28" s="66" t="n">
        <f aca="false">B28*0.95</f>
        <v>9184308.35</v>
      </c>
      <c r="D28" s="21" t="n">
        <v>38.695</v>
      </c>
      <c r="E28" s="21" t="n">
        <v>60.006461</v>
      </c>
      <c r="F28" s="21" t="n">
        <v>1.550754904</v>
      </c>
      <c r="G28" s="68" t="n">
        <f aca="false">C28*D28</f>
        <v>355386811.60325</v>
      </c>
      <c r="H28" s="68" t="n">
        <f aca="false">C28*E28</f>
        <v>551117840.816249</v>
      </c>
      <c r="I28" s="68" t="n">
        <f aca="false">H28-G28</f>
        <v>195731029.212999</v>
      </c>
      <c r="J28" s="22" t="n">
        <f aca="false">I28/G28</f>
        <v>0.550754903734333</v>
      </c>
      <c r="K28" s="66" t="n">
        <v>809592502649.113</v>
      </c>
      <c r="L28" s="68" t="n">
        <f aca="false">G28*1000</f>
        <v>355386811603.25</v>
      </c>
      <c r="M28" s="20" t="n">
        <f aca="false">L28/K28</f>
        <v>0.438969988531723</v>
      </c>
    </row>
    <row r="29" customFormat="false" ht="12.75" hidden="false" customHeight="false" outlineLevel="0" collapsed="false">
      <c r="A29" s="20" t="n">
        <v>2024</v>
      </c>
      <c r="B29" s="66" t="n">
        <f aca="false">[2]Base!$AU27</f>
        <v>10308558</v>
      </c>
      <c r="C29" s="66" t="n">
        <f aca="false">B29*0.95</f>
        <v>9793130.1</v>
      </c>
      <c r="D29" s="21" t="n">
        <v>40.235</v>
      </c>
      <c r="E29" s="21" t="n">
        <v>61.848214</v>
      </c>
      <c r="F29" s="21" t="n">
        <v>1.53717445</v>
      </c>
      <c r="G29" s="68" t="n">
        <f aca="false">C29*D29</f>
        <v>394026589.5735</v>
      </c>
      <c r="H29" s="68" t="n">
        <f aca="false">C29*E29</f>
        <v>605687606.154641</v>
      </c>
      <c r="I29" s="68" t="n">
        <f aca="false">H29-G29</f>
        <v>211661016.581141</v>
      </c>
      <c r="J29" s="22" t="n">
        <f aca="false">I29/G29</f>
        <v>0.53717445010563</v>
      </c>
      <c r="K29" s="66" t="n">
        <v>858071607633.119</v>
      </c>
      <c r="L29" s="68" t="n">
        <f aca="false">G29*1000</f>
        <v>394026589573.5</v>
      </c>
      <c r="M29" s="20" t="n">
        <f aca="false">L29/K29</f>
        <v>0.459200125104211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P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E10" activePane="bottomRight" state="frozen"/>
      <selection pane="topLeft" activeCell="A1" activeCellId="0" sqref="A1"/>
      <selection pane="topRight" activeCell="E1" activeCellId="0" sqref="E1"/>
      <selection pane="bottomLeft" activeCell="A10" activeCellId="0" sqref="A10"/>
      <selection pane="bottomRight" activeCell="K17" activeCellId="0" sqref="K17"/>
    </sheetView>
  </sheetViews>
  <sheetFormatPr defaultColWidth="10.50390625" defaultRowHeight="15" zeroHeight="false" outlineLevelRow="0" outlineLevelCol="0"/>
  <cols>
    <col collapsed="false" customWidth="true" hidden="false" outlineLevel="0" max="2" min="2" style="0" width="15"/>
    <col collapsed="false" customWidth="true" hidden="false" outlineLevel="0" max="3" min="3" style="0" width="19.28"/>
    <col collapsed="false" customWidth="true" hidden="false" outlineLevel="0" max="4" min="4" style="0" width="18"/>
    <col collapsed="false" customWidth="true" hidden="false" outlineLevel="0" max="9" min="9" style="0" width="14.14"/>
    <col collapsed="false" customWidth="true" hidden="false" outlineLevel="0" max="10" min="10" style="0" width="16.72"/>
    <col collapsed="false" customWidth="true" hidden="false" outlineLevel="0" max="11" min="11" style="0" width="18.14"/>
    <col collapsed="false" customWidth="true" hidden="false" outlineLevel="0" max="12" min="12" style="0" width="19.86"/>
    <col collapsed="false" customWidth="true" hidden="false" outlineLevel="0" max="13" min="13" style="0" width="16.57"/>
  </cols>
  <sheetData>
    <row r="3" customFormat="false" ht="42.5" hidden="false" customHeight="false" outlineLevel="0" collapsed="false">
      <c r="B3" s="18" t="s">
        <v>146</v>
      </c>
      <c r="C3" s="18" t="s">
        <v>147</v>
      </c>
      <c r="D3" s="18" t="s">
        <v>148</v>
      </c>
      <c r="F3" s="18" t="s">
        <v>42</v>
      </c>
      <c r="G3" s="18" t="s">
        <v>43</v>
      </c>
      <c r="J3" s="18" t="s">
        <v>149</v>
      </c>
      <c r="K3" s="18" t="s">
        <v>150</v>
      </c>
      <c r="L3" s="18" t="s">
        <v>151</v>
      </c>
      <c r="M3" s="71" t="s">
        <v>152</v>
      </c>
      <c r="N3" s="71" t="s">
        <v>153</v>
      </c>
    </row>
    <row r="4" customFormat="false" ht="15" hidden="false" customHeight="false" outlineLevel="0" collapsed="false">
      <c r="A4" s="72" t="n">
        <v>2004</v>
      </c>
      <c r="B4" s="66" t="n">
        <v>3342782345</v>
      </c>
      <c r="C4" s="66" t="n">
        <v>5136920717</v>
      </c>
      <c r="D4" s="24" t="n">
        <v>28622363000</v>
      </c>
      <c r="F4" s="21" t="n">
        <v>12.114925</v>
      </c>
      <c r="G4" s="21" t="n">
        <v>17.830572</v>
      </c>
      <c r="J4" s="66" t="n">
        <f aca="false">B4/F4</f>
        <v>275922661.097778</v>
      </c>
      <c r="K4" s="66" t="n">
        <f aca="false">J4*G4</f>
        <v>4919858875.13553</v>
      </c>
      <c r="L4" s="66" t="n">
        <f aca="false">K4-B4</f>
        <v>1577076530.13553</v>
      </c>
      <c r="M4" s="66" t="n">
        <f aca="false">L4/20</f>
        <v>78853826.5067766</v>
      </c>
      <c r="N4" s="73" t="n">
        <f aca="false">M4/C4</f>
        <v>0.0153504075400307</v>
      </c>
      <c r="P4" s="73" t="n">
        <f aca="false">L4/D4</f>
        <v>0.0550994524853008</v>
      </c>
    </row>
    <row r="5" customFormat="false" ht="15" hidden="false" customHeight="false" outlineLevel="0" collapsed="false">
      <c r="A5" s="72" t="n">
        <v>2005</v>
      </c>
      <c r="B5" s="66" t="n">
        <v>4227502762</v>
      </c>
      <c r="C5" s="66" t="n">
        <v>5058292667</v>
      </c>
      <c r="D5" s="0" t="n">
        <v>38087990148.781</v>
      </c>
      <c r="F5" s="21" t="n">
        <v>13.408852</v>
      </c>
      <c r="G5" s="21" t="n">
        <v>19.078999</v>
      </c>
      <c r="J5" s="66" t="n">
        <f aca="false">B5/F5</f>
        <v>315277009.69479</v>
      </c>
      <c r="K5" s="66" t="n">
        <f aca="false">J5*G5</f>
        <v>6015169752.68988</v>
      </c>
      <c r="L5" s="66" t="n">
        <f aca="false">K5-B5</f>
        <v>1787666990.68988</v>
      </c>
      <c r="M5" s="66" t="n">
        <f aca="false">L5/20</f>
        <v>89383349.5344942</v>
      </c>
      <c r="N5" s="73" t="n">
        <f aca="false">M5/C5</f>
        <v>0.0176706559740257</v>
      </c>
      <c r="P5" s="73" t="n">
        <f aca="false">L5/D5</f>
        <v>0.0469351883285734</v>
      </c>
    </row>
    <row r="6" customFormat="false" ht="15" hidden="false" customHeight="false" outlineLevel="0" collapsed="false">
      <c r="A6" s="72" t="n">
        <v>2006</v>
      </c>
      <c r="B6" s="66" t="n">
        <v>3608627314.51584</v>
      </c>
      <c r="C6" s="66" t="n">
        <v>4256913615.71668</v>
      </c>
      <c r="D6" s="0" t="n">
        <v>48103564060</v>
      </c>
      <c r="F6" s="21" t="n">
        <v>21.587268</v>
      </c>
      <c r="G6" s="21" t="n">
        <v>22.652647</v>
      </c>
      <c r="J6" s="66" t="n">
        <f aca="false">B6/F6</f>
        <v>167164613.628544</v>
      </c>
      <c r="K6" s="66" t="n">
        <f aca="false">J6*G6</f>
        <v>3786720983.4188</v>
      </c>
      <c r="L6" s="66" t="n">
        <f aca="false">K6-B6</f>
        <v>178093668.902965</v>
      </c>
      <c r="M6" s="66" t="n">
        <f aca="false">L6/20</f>
        <v>8904683.44514823</v>
      </c>
      <c r="N6" s="73" t="n">
        <f aca="false">M6/C6</f>
        <v>0.00209181680649375</v>
      </c>
      <c r="P6" s="73" t="n">
        <f aca="false">L6/D6</f>
        <v>0.00370229675042013</v>
      </c>
    </row>
    <row r="7" customFormat="false" ht="15" hidden="false" customHeight="false" outlineLevel="0" collapsed="false">
      <c r="A7" s="72" t="n">
        <v>2007</v>
      </c>
      <c r="B7" s="66" t="n">
        <v>4610474178.1201</v>
      </c>
      <c r="C7" s="66" t="n">
        <v>5934830945.59986</v>
      </c>
      <c r="D7" s="0" t="n">
        <v>50525577181</v>
      </c>
      <c r="F7" s="21" t="n">
        <v>28.369939</v>
      </c>
      <c r="G7" s="21" t="n">
        <v>26.367312</v>
      </c>
      <c r="J7" s="66" t="n">
        <f aca="false">B7/F7</f>
        <v>162512657.433634</v>
      </c>
      <c r="K7" s="66" t="n">
        <f aca="false">J7*G7</f>
        <v>4285021942.50175</v>
      </c>
      <c r="L7" s="66" t="n">
        <f aca="false">K7-B7</f>
        <v>-325452235.618347</v>
      </c>
      <c r="M7" s="66" t="n">
        <f aca="false">L7/20</f>
        <v>-16272611.7809173</v>
      </c>
      <c r="N7" s="73" t="n">
        <f aca="false">M7/C7</f>
        <v>-0.00274188295000753</v>
      </c>
      <c r="P7" s="73" t="n">
        <f aca="false">L7/D7</f>
        <v>-0.0064413363246196</v>
      </c>
    </row>
    <row r="8" customFormat="false" ht="15" hidden="false" customHeight="false" outlineLevel="0" collapsed="false">
      <c r="A8" s="72" t="n">
        <v>2008</v>
      </c>
      <c r="B8" s="66" t="n">
        <v>7401223864.0304</v>
      </c>
      <c r="C8" s="66" t="n">
        <v>8098413006.68778</v>
      </c>
      <c r="D8" s="0" t="n">
        <v>52418214093</v>
      </c>
      <c r="F8" s="21" t="n">
        <v>28.703792</v>
      </c>
      <c r="G8" s="21" t="n">
        <v>29.122846</v>
      </c>
      <c r="J8" s="66" t="n">
        <f aca="false">B8/F8</f>
        <v>257848296.281913</v>
      </c>
      <c r="K8" s="66" t="n">
        <f aca="false">J8*G8</f>
        <v>7509276223.98052</v>
      </c>
      <c r="L8" s="66" t="n">
        <f aca="false">K8-B8</f>
        <v>108052359.95012</v>
      </c>
      <c r="M8" s="66" t="n">
        <f aca="false">L8/20</f>
        <v>5402617.997506</v>
      </c>
      <c r="N8" s="73" t="n">
        <f aca="false">M8/C8</f>
        <v>0.000667120581902213</v>
      </c>
      <c r="P8" s="73" t="n">
        <f aca="false">L8/D8</f>
        <v>0.00206135141800929</v>
      </c>
    </row>
    <row r="9" customFormat="false" ht="15" hidden="false" customHeight="false" outlineLevel="0" collapsed="false">
      <c r="A9" s="72" t="n">
        <v>2009</v>
      </c>
      <c r="B9" s="66" t="n">
        <v>3893703667.00868</v>
      </c>
      <c r="C9" s="66" t="n">
        <v>7803216717.64234</v>
      </c>
      <c r="D9" s="0" t="n">
        <v>57185676835.0951</v>
      </c>
      <c r="F9" s="21" t="n">
        <v>24.478579</v>
      </c>
      <c r="G9" s="21" t="n">
        <v>28.325217</v>
      </c>
      <c r="J9" s="66" t="n">
        <f aca="false">B9/F9</f>
        <v>159065755.696386</v>
      </c>
      <c r="K9" s="66" t="n">
        <f aca="false">J9*G9</f>
        <v>4505572047.36911</v>
      </c>
      <c r="L9" s="66" t="n">
        <f aca="false">K9-B9</f>
        <v>611868380.360434</v>
      </c>
      <c r="M9" s="66" t="n">
        <f aca="false">L9/20</f>
        <v>30593419.0180217</v>
      </c>
      <c r="N9" s="73" t="n">
        <f aca="false">M9/C9</f>
        <v>0.00392061634644247</v>
      </c>
      <c r="P9" s="73" t="n">
        <f aca="false">L9/D9</f>
        <v>0.0106996789095434</v>
      </c>
    </row>
    <row r="10" customFormat="false" ht="15" hidden="false" customHeight="false" outlineLevel="0" collapsed="false">
      <c r="A10" s="72" t="n">
        <v>2010</v>
      </c>
      <c r="B10" s="66" t="n">
        <v>4455950049.94205</v>
      </c>
      <c r="C10" s="66" t="n">
        <v>8154845648.11994</v>
      </c>
      <c r="D10" s="0" t="n">
        <v>88288212567.6234</v>
      </c>
      <c r="F10" s="21" t="n">
        <v>24.073374</v>
      </c>
      <c r="G10" s="21" t="n">
        <v>29.954262</v>
      </c>
      <c r="J10" s="66" t="n">
        <f aca="false">B10/F10</f>
        <v>185098692.4368</v>
      </c>
      <c r="K10" s="66" t="n">
        <f aca="false">J10*G10</f>
        <v>5544494729.10932</v>
      </c>
      <c r="L10" s="66" t="n">
        <f aca="false">K10-B10</f>
        <v>1088544679.16727</v>
      </c>
      <c r="M10" s="66" t="n">
        <f aca="false">L10/20</f>
        <v>54427233.9583633</v>
      </c>
      <c r="N10" s="73" t="n">
        <f aca="false">M10/C10</f>
        <v>0.00667422000450876</v>
      </c>
      <c r="P10" s="73" t="n">
        <f aca="false">L10/D10</f>
        <v>0.012329445205763</v>
      </c>
    </row>
    <row r="11" customFormat="false" ht="15" hidden="false" customHeight="false" outlineLevel="0" collapsed="false">
      <c r="A11" s="72" t="n">
        <v>2011</v>
      </c>
      <c r="B11" s="66"/>
      <c r="C11" s="66" t="n">
        <v>8184811603.98002</v>
      </c>
      <c r="D11" s="0" t="n">
        <v>107971212345.296</v>
      </c>
      <c r="F11" s="21" t="n">
        <v>23.471036</v>
      </c>
      <c r="G11" s="21" t="n">
        <v>30.861639</v>
      </c>
      <c r="J11" s="66"/>
      <c r="K11" s="66"/>
      <c r="L11" s="66"/>
      <c r="M11" s="66"/>
      <c r="N11" s="73" t="n">
        <f aca="false">M11/C11</f>
        <v>0</v>
      </c>
      <c r="P11" s="73"/>
    </row>
    <row r="12" customFormat="false" ht="15" hidden="false" customHeight="false" outlineLevel="0" collapsed="false">
      <c r="A12" s="72" t="n">
        <v>2012</v>
      </c>
      <c r="B12" s="66" t="n">
        <v>9126800103.25207</v>
      </c>
      <c r="C12" s="66" t="n">
        <v>9200641100.65636</v>
      </c>
      <c r="D12" s="0" t="n">
        <v>93192117548.196</v>
      </c>
      <c r="F12" s="21" t="n">
        <v>20.949345</v>
      </c>
      <c r="G12" s="21" t="n">
        <v>30.471964</v>
      </c>
      <c r="J12" s="66" t="n">
        <f aca="false">B12/F12</f>
        <v>435660403.857594</v>
      </c>
      <c r="K12" s="66" t="n">
        <f aca="false">J12*G12</f>
        <v>13275428142.5741</v>
      </c>
      <c r="L12" s="66" t="n">
        <f aca="false">K12-B12</f>
        <v>4148628039.322</v>
      </c>
      <c r="M12" s="66" t="n">
        <f aca="false">L12/20</f>
        <v>207431401.9661</v>
      </c>
      <c r="N12" s="73" t="n">
        <f aca="false">M12/C12</f>
        <v>0.0225453204506914</v>
      </c>
      <c r="P12" s="73" t="n">
        <f aca="false">L12/D12</f>
        <v>0.0445169414374178</v>
      </c>
    </row>
    <row r="13" customFormat="false" ht="15" hidden="false" customHeight="false" outlineLevel="0" collapsed="false">
      <c r="A13" s="72" t="n">
        <v>2013</v>
      </c>
      <c r="B13" s="66" t="n">
        <v>18778604279.4333</v>
      </c>
      <c r="C13" s="66" t="n">
        <v>9634456614.28344</v>
      </c>
      <c r="D13" s="0" t="n">
        <v>99737810059.4515</v>
      </c>
      <c r="F13" s="21" t="n">
        <v>22.567971</v>
      </c>
      <c r="G13" s="21" t="n">
        <v>32.276463</v>
      </c>
      <c r="J13" s="66" t="n">
        <f aca="false">B13/F13</f>
        <v>832090943.374276</v>
      </c>
      <c r="K13" s="66" t="n">
        <f aca="false">J13*G13</f>
        <v>26856952546.4549</v>
      </c>
      <c r="L13" s="66" t="n">
        <f aca="false">K13-B13</f>
        <v>8078348267.02161</v>
      </c>
      <c r="M13" s="66" t="n">
        <f aca="false">L13/20</f>
        <v>403917413.351081</v>
      </c>
      <c r="N13" s="73" t="n">
        <f aca="false">M13/C13</f>
        <v>0.0419242547371336</v>
      </c>
      <c r="P13" s="73" t="n">
        <f aca="false">L13/D13</f>
        <v>0.0809958456297194</v>
      </c>
    </row>
    <row r="14" customFormat="false" ht="15" hidden="false" customHeight="false" outlineLevel="0" collapsed="false">
      <c r="A14" s="72" t="n">
        <v>2014</v>
      </c>
      <c r="B14" s="66" t="n">
        <v>50361030100.8792</v>
      </c>
      <c r="C14" s="66" t="n">
        <v>12235321829.4487</v>
      </c>
      <c r="D14" s="0" t="n">
        <v>122150149877.437</v>
      </c>
      <c r="F14" s="21" t="n">
        <v>20.059238</v>
      </c>
      <c r="G14" s="21" t="n">
        <v>32.828748</v>
      </c>
      <c r="J14" s="66" t="n">
        <f aca="false">B14/F14</f>
        <v>2510615313.54677</v>
      </c>
      <c r="K14" s="66" t="n">
        <f aca="false">J14*G14</f>
        <v>82420357453.3678</v>
      </c>
      <c r="L14" s="66" t="n">
        <f aca="false">K14-B14</f>
        <v>32059327352.4886</v>
      </c>
      <c r="M14" s="66" t="n">
        <f aca="false">L14/20</f>
        <v>1602966367.62443</v>
      </c>
      <c r="N14" s="73" t="n">
        <f aca="false">M14/C14</f>
        <v>0.131011377548428</v>
      </c>
      <c r="P14" s="73" t="n">
        <f aca="false">L14/D14</f>
        <v>0.262458354612387</v>
      </c>
    </row>
    <row r="15" customFormat="false" ht="15" hidden="false" customHeight="false" outlineLevel="0" collapsed="false">
      <c r="A15" s="72" t="n">
        <v>2015</v>
      </c>
      <c r="B15" s="66" t="n">
        <v>7676001006.92175</v>
      </c>
      <c r="C15" s="66" t="n">
        <v>14988600854.6759</v>
      </c>
      <c r="D15" s="0" t="n">
        <v>118070224347.511</v>
      </c>
      <c r="F15" s="21" t="n">
        <v>19.314209</v>
      </c>
      <c r="G15" s="21" t="n">
        <v>34.651025</v>
      </c>
      <c r="J15" s="66" t="n">
        <f aca="false">B15/F15</f>
        <v>397427666.176842</v>
      </c>
      <c r="K15" s="66" t="n">
        <f aca="false">J15*G15</f>
        <v>13771275996.3854</v>
      </c>
      <c r="L15" s="66" t="n">
        <f aca="false">K15-B15</f>
        <v>6095274989.46364</v>
      </c>
      <c r="M15" s="66" t="n">
        <f aca="false">L15/20</f>
        <v>304763749.473182</v>
      </c>
      <c r="N15" s="73" t="n">
        <f aca="false">M15/C15</f>
        <v>0.0203330352464558</v>
      </c>
      <c r="P15" s="73" t="n">
        <f aca="false">L15/D15</f>
        <v>0.0516241501457953</v>
      </c>
    </row>
    <row r="16" customFormat="false" ht="15" hidden="false" customHeight="false" outlineLevel="0" collapsed="false">
      <c r="A16" s="72" t="n">
        <v>2016</v>
      </c>
      <c r="B16" s="66" t="n">
        <v>6004619667.45501</v>
      </c>
      <c r="C16" s="66" t="n">
        <v>16145911799.0432</v>
      </c>
      <c r="D16" s="0" t="n">
        <v>130303268121.312</v>
      </c>
      <c r="F16" s="21" t="n">
        <v>20.310164</v>
      </c>
      <c r="G16" s="21" t="n">
        <v>35.243068</v>
      </c>
      <c r="J16" s="66" t="n">
        <f aca="false">B16/F16</f>
        <v>295646045.371914</v>
      </c>
      <c r="K16" s="66" t="n">
        <f aca="false">J16*G16</f>
        <v>10419473680.9734</v>
      </c>
      <c r="L16" s="66" t="n">
        <f aca="false">K16-B16</f>
        <v>4414854013.51843</v>
      </c>
      <c r="M16" s="66" t="n">
        <f aca="false">L16/20</f>
        <v>220742700.675922</v>
      </c>
      <c r="N16" s="73" t="n">
        <f aca="false">M16/C16</f>
        <v>0.0136717395352675</v>
      </c>
      <c r="P16" s="73" t="n">
        <f aca="false">L16/D16</f>
        <v>0.033881375940688</v>
      </c>
    </row>
    <row r="17" customFormat="false" ht="15" hidden="false" customHeight="false" outlineLevel="0" collapsed="false">
      <c r="A17" s="72" t="n">
        <v>2017</v>
      </c>
      <c r="B17" s="66" t="n">
        <v>4623456010.36</v>
      </c>
      <c r="C17" s="66" t="n">
        <v>15918676560.87</v>
      </c>
      <c r="D17" s="0" t="n">
        <v>198429417562.734</v>
      </c>
      <c r="F17" s="21" t="n">
        <v>20.481618</v>
      </c>
      <c r="G17" s="21" t="n">
        <v>35.991435</v>
      </c>
      <c r="J17" s="66" t="n">
        <f aca="false">B17/F17</f>
        <v>225736853.912616</v>
      </c>
      <c r="K17" s="66" t="n">
        <f aca="false">J17*G17</f>
        <v>8124593304.7004</v>
      </c>
      <c r="L17" s="66" t="n">
        <f aca="false">K17-B17</f>
        <v>3501137294.3404</v>
      </c>
      <c r="M17" s="66" t="n">
        <f aca="false">L17/20</f>
        <v>175056864.71702</v>
      </c>
      <c r="N17" s="73" t="n">
        <f aca="false">M17/C17</f>
        <v>0.0109969483987966</v>
      </c>
      <c r="P17" s="73" t="n">
        <f aca="false">L17/D17</f>
        <v>0.0176442451796922</v>
      </c>
    </row>
    <row r="18" customFormat="false" ht="15" hidden="false" customHeight="false" outlineLevel="0" collapsed="false">
      <c r="A18" s="72" t="n">
        <v>2018</v>
      </c>
      <c r="B18" s="66" t="n">
        <v>6219895633.84683</v>
      </c>
      <c r="C18" s="66" t="n">
        <v>16454135974.9035</v>
      </c>
      <c r="D18" s="0" t="n">
        <v>207813793849.166</v>
      </c>
      <c r="F18" s="21" t="n">
        <v>23.246061</v>
      </c>
      <c r="G18" s="21" t="n">
        <v>38.372773</v>
      </c>
      <c r="J18" s="66" t="n">
        <f aca="false">B18/F18</f>
        <v>267567724.004804</v>
      </c>
      <c r="K18" s="66" t="n">
        <f aca="false">J18*G18</f>
        <v>10267315535.363</v>
      </c>
      <c r="L18" s="66" t="n">
        <f aca="false">K18-B18</f>
        <v>4047419901.51615</v>
      </c>
      <c r="M18" s="66" t="n">
        <f aca="false">L18/20</f>
        <v>202370995.075808</v>
      </c>
      <c r="N18" s="73" t="n">
        <f aca="false">M18/C18</f>
        <v>0.0122990958251756</v>
      </c>
      <c r="P18" s="73" t="n">
        <f aca="false">L18/D18</f>
        <v>0.0194761850334816</v>
      </c>
    </row>
    <row r="19" customFormat="false" ht="15" hidden="false" customHeight="false" outlineLevel="0" collapsed="false">
      <c r="A19" s="72" t="n">
        <v>2019</v>
      </c>
      <c r="B19" s="66" t="n">
        <v>14632306785</v>
      </c>
      <c r="C19" s="66" t="n">
        <v>18470370583.3076</v>
      </c>
      <c r="D19" s="0" t="n">
        <v>218824498043.52</v>
      </c>
      <c r="F19" s="21" t="n">
        <v>27.327226</v>
      </c>
      <c r="G19" s="21" t="n">
        <v>41.149156</v>
      </c>
      <c r="J19" s="66" t="n">
        <f aca="false">B19/F19</f>
        <v>535447936.976845</v>
      </c>
      <c r="K19" s="66" t="n">
        <f aca="false">J19*G19</f>
        <v>22033230688.5384</v>
      </c>
      <c r="L19" s="66" t="n">
        <f aca="false">K19-B19</f>
        <v>7400923903.53836</v>
      </c>
      <c r="M19" s="66" t="n">
        <f aca="false">L19/20</f>
        <v>370046195.176918</v>
      </c>
      <c r="N19" s="73" t="n">
        <f aca="false">M19/C19</f>
        <v>0.020034584228177</v>
      </c>
      <c r="P19" s="73" t="n">
        <f aca="false">L19/D19</f>
        <v>0.0338212767295665</v>
      </c>
    </row>
    <row r="20" customFormat="false" ht="15" hidden="false" customHeight="false" outlineLevel="0" collapsed="false">
      <c r="A20" s="72" t="n">
        <v>2020</v>
      </c>
      <c r="B20" s="66" t="n">
        <v>5984800540.90305</v>
      </c>
      <c r="C20" s="66" t="n">
        <v>19749525803.3465</v>
      </c>
      <c r="D20" s="0" t="n">
        <v>209773097223.24</v>
      </c>
      <c r="F20" s="21" t="n">
        <v>30.1626</v>
      </c>
      <c r="G20" s="21" t="n">
        <v>44.043941</v>
      </c>
      <c r="J20" s="66" t="n">
        <f aca="false">B20/F20</f>
        <v>198417926.203413</v>
      </c>
      <c r="K20" s="66" t="n">
        <f aca="false">J20*G20</f>
        <v>8739107435.04545</v>
      </c>
      <c r="L20" s="66" t="n">
        <f aca="false">K20-B20</f>
        <v>2754306894.1424</v>
      </c>
      <c r="M20" s="66" t="n">
        <f aca="false">L20/20</f>
        <v>137715344.70712</v>
      </c>
      <c r="N20" s="73" t="n">
        <f aca="false">M20/C20</f>
        <v>0.0069730962696727</v>
      </c>
      <c r="P20" s="73" t="n">
        <f aca="false">L20/D20</f>
        <v>0.0131299338695051</v>
      </c>
    </row>
    <row r="21" customFormat="false" ht="15" hidden="false" customHeight="false" outlineLevel="0" collapsed="false">
      <c r="A21" s="72" t="n">
        <v>2021</v>
      </c>
      <c r="B21" s="66" t="n">
        <v>9316153707.07882</v>
      </c>
      <c r="C21" s="66" t="n">
        <v>21739333748.876</v>
      </c>
      <c r="D21" s="0" t="n">
        <v>230944653073.897</v>
      </c>
      <c r="F21" s="21" t="n">
        <v>28.65</v>
      </c>
      <c r="G21" s="21" t="n">
        <v>44.520022</v>
      </c>
      <c r="J21" s="66" t="n">
        <f aca="false">B21/F21</f>
        <v>325171159.060343</v>
      </c>
      <c r="K21" s="66" t="n">
        <f aca="false">J21*G21</f>
        <v>14476627155.132</v>
      </c>
      <c r="L21" s="66" t="n">
        <f aca="false">K21-B21</f>
        <v>5160473448.05314</v>
      </c>
      <c r="M21" s="66" t="n">
        <f aca="false">L21/20</f>
        <v>258023672.402657</v>
      </c>
      <c r="N21" s="73" t="n">
        <f aca="false">M21/C21</f>
        <v>0.0118689779265198</v>
      </c>
      <c r="P21" s="73" t="n">
        <f aca="false">L21/D21</f>
        <v>0.0223450657088904</v>
      </c>
    </row>
    <row r="22" customFormat="false" ht="15" hidden="false" customHeight="false" outlineLevel="0" collapsed="false">
      <c r="A22" s="72" t="n">
        <v>2022</v>
      </c>
      <c r="B22" s="66" t="n">
        <v>9320956981.22225</v>
      </c>
      <c r="C22" s="66" t="n">
        <v>21523441673.284</v>
      </c>
      <c r="D22" s="0" t="n">
        <v>259048160897</v>
      </c>
      <c r="F22" s="21" t="n">
        <v>30.77</v>
      </c>
      <c r="G22" s="21" t="n">
        <v>47.58936</v>
      </c>
      <c r="H22" s="74" t="n">
        <f aca="false">G22/F22-1</f>
        <v>0.546615534611635</v>
      </c>
      <c r="I22" s="75" t="n">
        <f aca="false">B22*H22</f>
        <v>5094979883.38285</v>
      </c>
      <c r="J22" s="66" t="n">
        <f aca="false">B22/F22</f>
        <v>302923528.801503</v>
      </c>
      <c r="K22" s="66" t="n">
        <f aca="false">J22*G22</f>
        <v>14415936864.6051</v>
      </c>
      <c r="L22" s="76" t="n">
        <f aca="false">K22-B22</f>
        <v>5094979883.38285</v>
      </c>
      <c r="M22" s="66" t="n">
        <f aca="false">L22/20</f>
        <v>254748994.169142</v>
      </c>
      <c r="N22" s="73" t="n">
        <f aca="false">M22/C22</f>
        <v>0.011835885637442</v>
      </c>
      <c r="P22" s="73" t="n">
        <f aca="false">L22/D22</f>
        <v>0.0196680797336703</v>
      </c>
    </row>
    <row r="23" customFormat="false" ht="15" hidden="false" customHeight="false" outlineLevel="0" collapsed="false">
      <c r="A23" s="72" t="n">
        <v>2023</v>
      </c>
      <c r="B23" s="66" t="n">
        <v>8039097104.29398</v>
      </c>
      <c r="C23" s="66" t="n">
        <v>24684323791.2756</v>
      </c>
      <c r="D23" s="0" t="n">
        <v>296322600807.052</v>
      </c>
      <c r="F23" s="21" t="n">
        <v>35.3</v>
      </c>
      <c r="G23" s="21" t="n">
        <v>50.391059</v>
      </c>
      <c r="J23" s="66" t="n">
        <f aca="false">B23/F23</f>
        <v>227736461.878016</v>
      </c>
      <c r="K23" s="66" t="n">
        <f aca="false">J23*G23</f>
        <v>11475881486.9464</v>
      </c>
      <c r="L23" s="66" t="n">
        <f aca="false">K23-B23</f>
        <v>3436784382.6524</v>
      </c>
      <c r="M23" s="66" t="n">
        <f aca="false">L23/20</f>
        <v>171839219.13262</v>
      </c>
      <c r="N23" s="73" t="n">
        <f aca="false">M23/C23</f>
        <v>0.00696147160382633</v>
      </c>
      <c r="P23" s="73" t="n">
        <f aca="false">L23/D23</f>
        <v>0.0115981176369677</v>
      </c>
    </row>
    <row r="24" customFormat="false" ht="15" hidden="false" customHeight="false" outlineLevel="0" collapsed="false">
      <c r="A24" s="72" t="n">
        <v>2024</v>
      </c>
      <c r="B24" s="66" t="n">
        <v>8404064819.0453</v>
      </c>
      <c r="C24" s="66" t="n">
        <v>27515759179.2441</v>
      </c>
      <c r="D24" s="0" t="n">
        <v>377193985828.289</v>
      </c>
      <c r="F24" s="21" t="n">
        <v>42</v>
      </c>
      <c r="G24" s="21" t="n">
        <v>57.605681</v>
      </c>
      <c r="J24" s="66" t="n">
        <f aca="false">B24/F24</f>
        <v>200096781.40584</v>
      </c>
      <c r="K24" s="66" t="n">
        <f aca="false">J24*G24</f>
        <v>11526711358.7916</v>
      </c>
      <c r="L24" s="66" t="n">
        <f aca="false">K24-B24</f>
        <v>3122646539.74628</v>
      </c>
      <c r="M24" s="66" t="n">
        <f aca="false">L24/20</f>
        <v>156132326.987314</v>
      </c>
      <c r="N24" s="73" t="n">
        <f aca="false">M24/C24</f>
        <v>0.00567428744997481</v>
      </c>
      <c r="P24" s="73" t="n">
        <f aca="false">L24/D24</f>
        <v>0.00827862229268896</v>
      </c>
    </row>
    <row r="25" customFormat="false" ht="15" hidden="false" customHeight="false" outlineLevel="0" collapsed="false">
      <c r="D25" s="0" t="n">
        <v>392603477898.926</v>
      </c>
      <c r="F25" s="21" t="n">
        <v>43.56</v>
      </c>
      <c r="G25" s="21" t="n">
        <v>58.976208</v>
      </c>
    </row>
    <row r="26" customFormat="false" ht="15" hidden="false" customHeight="false" outlineLevel="0" collapsed="false">
      <c r="D26" s="0" t="n">
        <v>402462792005.253</v>
      </c>
      <c r="F26" s="21" t="n">
        <v>41.3</v>
      </c>
      <c r="G26" s="21" t="n">
        <v>58.134197</v>
      </c>
    </row>
    <row r="27" customFormat="false" ht="15" hidden="false" customHeight="false" outlineLevel="0" collapsed="false">
      <c r="D27" s="0" t="n">
        <v>436965957591.824</v>
      </c>
      <c r="F27" s="21" t="n">
        <v>38.695</v>
      </c>
      <c r="G27" s="21" t="n">
        <v>60.006461</v>
      </c>
    </row>
    <row r="28" customFormat="false" ht="15" hidden="false" customHeight="false" outlineLevel="0" collapsed="false">
      <c r="F28" s="21" t="n">
        <v>40.235</v>
      </c>
      <c r="G28" s="21" t="n">
        <v>61.848214</v>
      </c>
    </row>
    <row r="30" customFormat="false" ht="15" hidden="false" customHeight="false" outlineLevel="0" collapsed="false">
      <c r="A30" s="0" t="s">
        <v>8</v>
      </c>
      <c r="B30" s="0" t="s">
        <v>154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7" activePane="bottomLeft" state="frozen"/>
      <selection pane="topLeft" activeCell="A1" activeCellId="0" sqref="A1"/>
      <selection pane="bottomLeft" activeCell="K29" activeCellId="0" sqref="K29"/>
    </sheetView>
  </sheetViews>
  <sheetFormatPr defaultColWidth="11.4296875" defaultRowHeight="15" zeroHeight="false" outlineLevelRow="0" outlineLevelCol="0"/>
  <cols>
    <col collapsed="false" customWidth="false" hidden="false" outlineLevel="0" max="1" min="1" style="72" width="11.43"/>
    <col collapsed="false" customWidth="true" hidden="false" outlineLevel="0" max="2" min="2" style="72" width="3.86"/>
    <col collapsed="false" customWidth="false" hidden="false" outlineLevel="0" max="3" min="3" style="72" width="11.43"/>
    <col collapsed="false" customWidth="true" hidden="false" outlineLevel="0" max="4" min="4" style="72" width="7.86"/>
    <col collapsed="false" customWidth="false" hidden="false" outlineLevel="0" max="5" min="5" style="72" width="11.43"/>
    <col collapsed="false" customWidth="true" hidden="false" outlineLevel="0" max="6" min="6" style="72" width="10"/>
    <col collapsed="false" customWidth="false" hidden="false" outlineLevel="0" max="10" min="7" style="72" width="11.43"/>
    <col collapsed="false" customWidth="true" hidden="false" outlineLevel="0" max="11" min="11" style="72" width="13.43"/>
    <col collapsed="false" customWidth="false" hidden="false" outlineLevel="0" max="19" min="12" style="72" width="11.43"/>
    <col collapsed="false" customWidth="true" hidden="false" outlineLevel="0" max="20" min="20" style="72" width="17.86"/>
    <col collapsed="false" customWidth="false" hidden="false" outlineLevel="0" max="24" min="21" style="72" width="11.43"/>
    <col collapsed="false" customWidth="true" hidden="false" outlineLevel="0" max="25" min="25" style="72" width="24.29"/>
    <col collapsed="false" customWidth="false" hidden="false" outlineLevel="0" max="28" min="26" style="72" width="11.43"/>
    <col collapsed="false" customWidth="true" hidden="false" outlineLevel="0" max="29" min="29" style="72" width="17.86"/>
    <col collapsed="false" customWidth="false" hidden="false" outlineLevel="0" max="16384" min="30" style="72" width="11.43"/>
  </cols>
  <sheetData>
    <row r="1" s="55" customFormat="true" ht="46.25" hidden="false" customHeight="false" outlineLevel="0" collapsed="false">
      <c r="A1" s="55" t="s">
        <v>155</v>
      </c>
      <c r="B1" s="55" t="s">
        <v>156</v>
      </c>
      <c r="C1" s="55" t="s">
        <v>157</v>
      </c>
      <c r="D1" s="55" t="s">
        <v>158</v>
      </c>
      <c r="E1" s="55" t="s">
        <v>159</v>
      </c>
      <c r="F1" s="55" t="s">
        <v>160</v>
      </c>
      <c r="G1" s="55" t="s">
        <v>161</v>
      </c>
      <c r="H1" s="55" t="s">
        <v>162</v>
      </c>
      <c r="I1" s="55" t="s">
        <v>163</v>
      </c>
      <c r="J1" s="55" t="s">
        <v>164</v>
      </c>
      <c r="K1" s="55" t="s">
        <v>165</v>
      </c>
      <c r="L1" s="55" t="s">
        <v>166</v>
      </c>
      <c r="M1" s="55" t="s">
        <v>167</v>
      </c>
      <c r="N1" s="55" t="s">
        <v>168</v>
      </c>
      <c r="O1" s="55" t="s">
        <v>169</v>
      </c>
      <c r="P1" s="55" t="s">
        <v>113</v>
      </c>
      <c r="Q1" s="55" t="s">
        <v>170</v>
      </c>
      <c r="R1" s="55" t="s">
        <v>171</v>
      </c>
      <c r="S1" s="55" t="s">
        <v>172</v>
      </c>
      <c r="T1" s="55" t="s">
        <v>146</v>
      </c>
      <c r="U1" s="55" t="s">
        <v>147</v>
      </c>
      <c r="V1" s="55" t="s">
        <v>173</v>
      </c>
      <c r="W1" s="55" t="s">
        <v>111</v>
      </c>
      <c r="X1" s="55" t="s">
        <v>174</v>
      </c>
      <c r="Y1" s="55" t="s">
        <v>110</v>
      </c>
      <c r="Z1" s="55" t="s">
        <v>175</v>
      </c>
      <c r="AA1" s="55" t="s">
        <v>176</v>
      </c>
      <c r="AB1" s="55" t="s">
        <v>177</v>
      </c>
      <c r="AC1" s="55" t="s">
        <v>112</v>
      </c>
    </row>
    <row r="2" customFormat="false" ht="15" hidden="false" customHeight="false" outlineLevel="0" collapsed="false">
      <c r="A2" s="72" t="n">
        <v>2001</v>
      </c>
      <c r="B2" s="72" t="s">
        <v>178</v>
      </c>
      <c r="C2" s="72" t="n">
        <v>1</v>
      </c>
      <c r="D2" s="72" t="s">
        <v>179</v>
      </c>
      <c r="E2" s="72" t="n">
        <v>89240215000</v>
      </c>
      <c r="G2" s="72" t="n">
        <v>32030854000</v>
      </c>
      <c r="I2" s="72" t="n">
        <v>26506272680.6166</v>
      </c>
      <c r="J2" s="72" t="n">
        <v>62733942319.3833</v>
      </c>
      <c r="K2" s="72" t="n">
        <v>9505142775.66414</v>
      </c>
      <c r="L2" s="72" t="n">
        <v>11462459000</v>
      </c>
      <c r="M2" s="72" t="n">
        <v>1736736212.12121</v>
      </c>
      <c r="N2" s="72" t="n">
        <v>113817</v>
      </c>
      <c r="O2" s="72" t="n">
        <v>12367</v>
      </c>
      <c r="P2" s="72" t="n">
        <v>3539644000</v>
      </c>
      <c r="Q2" s="72" t="n">
        <v>2057120000</v>
      </c>
      <c r="R2" s="72" t="n">
        <v>1075519000</v>
      </c>
      <c r="U2" s="72" t="n">
        <v>3127411000</v>
      </c>
      <c r="V2" s="72" t="n">
        <v>6829485000</v>
      </c>
      <c r="W2" s="72" t="n">
        <v>28622363000</v>
      </c>
      <c r="X2" s="72" t="n">
        <v>28622363000</v>
      </c>
      <c r="Y2" s="77" t="n">
        <v>39864241987.7854</v>
      </c>
      <c r="Z2" s="72" t="n">
        <v>20568395000</v>
      </c>
      <c r="AA2" s="72" t="n">
        <v>0.357856802694052</v>
      </c>
      <c r="AB2" s="72" t="n">
        <v>281424.163349939</v>
      </c>
      <c r="AC2" s="77" t="n">
        <f aca="false">I2-L2-U2-V2</f>
        <v>5086917680.6166</v>
      </c>
      <c r="AD2" s="72" t="n">
        <f aca="false">AC2/Y2</f>
        <v>0.127606030541739</v>
      </c>
    </row>
    <row r="3" customFormat="false" ht="15" hidden="false" customHeight="false" outlineLevel="0" collapsed="false">
      <c r="A3" s="72" t="n">
        <v>2002</v>
      </c>
      <c r="B3" s="72" t="s">
        <v>178</v>
      </c>
      <c r="C3" s="72" t="n">
        <v>2</v>
      </c>
      <c r="D3" s="72" t="s">
        <v>179</v>
      </c>
      <c r="E3" s="72" t="n">
        <v>104934883446</v>
      </c>
      <c r="G3" s="72" t="n">
        <v>39381506784</v>
      </c>
      <c r="I3" s="72" t="n">
        <v>32589107907.9646</v>
      </c>
      <c r="J3" s="72" t="n">
        <v>72345775538.0354</v>
      </c>
      <c r="K3" s="72" t="n">
        <v>10961481142.1266</v>
      </c>
      <c r="L3" s="72" t="n">
        <v>9421078355</v>
      </c>
      <c r="M3" s="72" t="n">
        <v>1427436114.39394</v>
      </c>
      <c r="N3" s="72" t="n">
        <v>76575</v>
      </c>
      <c r="O3" s="72" t="n">
        <v>2884</v>
      </c>
      <c r="U3" s="72" t="n">
        <v>3758469943</v>
      </c>
      <c r="V3" s="72" t="n">
        <v>5924169665</v>
      </c>
      <c r="X3" s="72" t="n">
        <v>38087990148.781</v>
      </c>
      <c r="Y3" s="77" t="n">
        <v>50476907405.3015</v>
      </c>
      <c r="Z3" s="72" t="n">
        <v>29960428429</v>
      </c>
      <c r="AA3" s="72" t="n">
        <v>0.239225949547152</v>
      </c>
      <c r="AB3" s="72" t="n">
        <v>514286.735670911</v>
      </c>
      <c r="AC3" s="77" t="n">
        <f aca="false">I3-L3-U3-V3</f>
        <v>13485389944.9646</v>
      </c>
      <c r="AD3" s="72" t="n">
        <f aca="false">AC3/Y3</f>
        <v>0.267159591150948</v>
      </c>
    </row>
    <row r="4" customFormat="false" ht="15" hidden="false" customHeight="false" outlineLevel="0" collapsed="false">
      <c r="A4" s="72" t="n">
        <v>2003</v>
      </c>
      <c r="B4" s="72" t="s">
        <v>178</v>
      </c>
      <c r="C4" s="72" t="n">
        <v>2</v>
      </c>
      <c r="D4" s="72" t="s">
        <v>179</v>
      </c>
      <c r="E4" s="72" t="n">
        <v>139349946300</v>
      </c>
      <c r="G4" s="72" t="n">
        <v>41497361974</v>
      </c>
      <c r="I4" s="72" t="n">
        <v>34340027025.4766</v>
      </c>
      <c r="J4" s="72" t="n">
        <v>105009919274.523</v>
      </c>
      <c r="K4" s="72" t="n">
        <v>15910593829.4732</v>
      </c>
      <c r="L4" s="72" t="n">
        <v>10878789626</v>
      </c>
      <c r="M4" s="72" t="n">
        <v>1648301458.48485</v>
      </c>
      <c r="N4" s="72" t="n">
        <v>83356</v>
      </c>
      <c r="O4" s="72" t="n">
        <v>2884</v>
      </c>
      <c r="P4" s="72" t="n">
        <v>6899547696</v>
      </c>
      <c r="Q4" s="72" t="n">
        <v>5558448986</v>
      </c>
      <c r="R4" s="72" t="n">
        <v>5256351292</v>
      </c>
      <c r="U4" s="72" t="n">
        <v>4714590576</v>
      </c>
      <c r="V4" s="72" t="n">
        <v>6090823735</v>
      </c>
      <c r="W4" s="72" t="n">
        <v>48103564060</v>
      </c>
      <c r="X4" s="72" t="n">
        <v>48103564060</v>
      </c>
      <c r="Y4" s="77" t="n">
        <v>65662459347.9581</v>
      </c>
      <c r="Z4" s="72" t="n">
        <v>30618572348</v>
      </c>
      <c r="AA4" s="72" t="n">
        <v>0.262156173513296</v>
      </c>
      <c r="AB4" s="72" t="n">
        <v>497832.933130189</v>
      </c>
      <c r="AC4" s="77" t="n">
        <f aca="false">I4-L4-U4-V4</f>
        <v>12655823088.4766</v>
      </c>
      <c r="AD4" s="72" t="n">
        <f aca="false">AC4/Y4</f>
        <v>0.192740619436914</v>
      </c>
    </row>
    <row r="5" s="78" customFormat="true" ht="15" hidden="false" customHeight="false" outlineLevel="0" collapsed="false">
      <c r="A5" s="78" t="n">
        <v>2004</v>
      </c>
      <c r="B5" s="78" t="s">
        <v>178</v>
      </c>
      <c r="C5" s="78" t="n">
        <v>2</v>
      </c>
      <c r="D5" s="78" t="s">
        <v>179</v>
      </c>
      <c r="E5" s="78" t="n">
        <v>179010449525</v>
      </c>
      <c r="G5" s="78" t="n">
        <v>52621053735</v>
      </c>
      <c r="I5" s="78" t="n">
        <v>43545139291.0502</v>
      </c>
      <c r="J5" s="78" t="n">
        <v>135465310233.95</v>
      </c>
      <c r="K5" s="78" t="n">
        <v>20525047005.1439</v>
      </c>
      <c r="L5" s="78" t="n">
        <v>12139435357</v>
      </c>
      <c r="M5" s="78" t="n">
        <v>1839308387.42424</v>
      </c>
      <c r="N5" s="78" t="n">
        <v>88653</v>
      </c>
      <c r="O5" s="78" t="n">
        <v>3252</v>
      </c>
      <c r="P5" s="78" t="n">
        <v>6396127195</v>
      </c>
      <c r="Q5" s="78" t="n">
        <v>3154522472</v>
      </c>
      <c r="R5" s="78" t="n">
        <v>1599697016</v>
      </c>
      <c r="S5" s="78" t="n">
        <v>1743085329</v>
      </c>
      <c r="T5" s="79" t="n">
        <v>3342782345</v>
      </c>
      <c r="U5" s="78" t="n">
        <v>5136920717</v>
      </c>
      <c r="V5" s="78" t="n">
        <v>7039185004</v>
      </c>
      <c r="W5" s="78" t="n">
        <v>50525577181</v>
      </c>
      <c r="X5" s="78" t="n">
        <v>50525577181</v>
      </c>
      <c r="Y5" s="80" t="n">
        <v>72889932573.5682</v>
      </c>
      <c r="Z5" s="78" t="n">
        <v>40481618378</v>
      </c>
      <c r="AA5" s="78" t="n">
        <v>0.230695406027676</v>
      </c>
      <c r="AB5" s="78" t="n">
        <v>593562.019728605</v>
      </c>
      <c r="AC5" s="80" t="n">
        <f aca="false">I5-L5-U5-V5</f>
        <v>19229598213.0502</v>
      </c>
      <c r="AD5" s="78" t="n">
        <f aca="false">AC5/Y5</f>
        <v>0.263816929637597</v>
      </c>
    </row>
    <row r="6" customFormat="false" ht="15" hidden="false" customHeight="false" outlineLevel="0" collapsed="false">
      <c r="A6" s="72" t="n">
        <v>2005</v>
      </c>
      <c r="B6" s="72" t="s">
        <v>178</v>
      </c>
      <c r="C6" s="72" t="n">
        <v>2</v>
      </c>
      <c r="D6" s="72" t="s">
        <v>179</v>
      </c>
      <c r="E6" s="72" t="n">
        <v>184862461743</v>
      </c>
      <c r="G6" s="72" t="n">
        <v>53991760706</v>
      </c>
      <c r="I6" s="72" t="n">
        <v>44679431019.2241</v>
      </c>
      <c r="J6" s="72" t="n">
        <v>140183030723.776</v>
      </c>
      <c r="K6" s="72" t="n">
        <v>21239853139.966</v>
      </c>
      <c r="L6" s="72" t="n">
        <v>14615233399</v>
      </c>
      <c r="M6" s="72" t="n">
        <v>2214429302.87879</v>
      </c>
      <c r="N6" s="72" t="n">
        <v>102414</v>
      </c>
      <c r="O6" s="72" t="n">
        <v>3445</v>
      </c>
      <c r="P6" s="72" t="n">
        <v>6464007473</v>
      </c>
      <c r="Q6" s="72" t="n">
        <v>2747259075</v>
      </c>
      <c r="R6" s="72" t="n">
        <v>2116008436</v>
      </c>
      <c r="S6" s="72" t="n">
        <v>2111494326</v>
      </c>
      <c r="T6" s="81" t="n">
        <v>4227502762</v>
      </c>
      <c r="U6" s="72" t="n">
        <v>5058292667</v>
      </c>
      <c r="V6" s="72" t="n">
        <v>7651885206</v>
      </c>
      <c r="W6" s="72" t="n">
        <v>52418214093</v>
      </c>
      <c r="X6" s="72" t="n">
        <v>52418214093</v>
      </c>
      <c r="Y6" s="77" t="n">
        <v>75872496535.8448</v>
      </c>
      <c r="Z6" s="72" t="n">
        <v>39376527307</v>
      </c>
      <c r="AA6" s="72" t="n">
        <v>0.270693772677353</v>
      </c>
      <c r="AB6" s="72" t="n">
        <v>527191.211221122</v>
      </c>
      <c r="AC6" s="77" t="n">
        <f aca="false">I6-L6-U6-V6</f>
        <v>17354019747.2241</v>
      </c>
      <c r="AD6" s="72" t="n">
        <f aca="false">AC6/Y6</f>
        <v>0.228726093638232</v>
      </c>
    </row>
    <row r="7" customFormat="false" ht="15" hidden="false" customHeight="false" outlineLevel="0" collapsed="false">
      <c r="A7" s="72" t="n">
        <v>2006</v>
      </c>
      <c r="B7" s="72" t="s">
        <v>178</v>
      </c>
      <c r="C7" s="72" t="n">
        <v>3</v>
      </c>
      <c r="D7" s="72" t="s">
        <v>179</v>
      </c>
      <c r="E7" s="72" t="n">
        <v>185039597745.125</v>
      </c>
      <c r="G7" s="72" t="n">
        <v>54017527699.0724</v>
      </c>
      <c r="I7" s="72" t="n">
        <v>44700753802.0802</v>
      </c>
      <c r="J7" s="72" t="n">
        <v>140338843943.045</v>
      </c>
      <c r="K7" s="72" t="n">
        <v>21263461203.4916</v>
      </c>
      <c r="L7" s="72" t="n">
        <v>13982311018.7924</v>
      </c>
      <c r="M7" s="72" t="n">
        <v>2118531972.54431</v>
      </c>
      <c r="N7" s="72" t="n">
        <v>63928.8527653802</v>
      </c>
      <c r="P7" s="72" t="n">
        <v>6516136919.59274</v>
      </c>
      <c r="Q7" s="72" t="n">
        <v>4227827579.78766</v>
      </c>
      <c r="R7" s="72" t="n">
        <v>2182756205.91033</v>
      </c>
      <c r="S7" s="72" t="n">
        <v>1425871108.60551</v>
      </c>
      <c r="T7" s="81" t="n">
        <v>3608627314.51584</v>
      </c>
      <c r="U7" s="72" t="n">
        <v>4256913615.71668</v>
      </c>
      <c r="V7" s="72" t="n">
        <v>8466464545.55182</v>
      </c>
      <c r="W7" s="72" t="n">
        <v>57185676835.0951</v>
      </c>
      <c r="X7" s="72" t="n">
        <v>57185676835.0951</v>
      </c>
      <c r="Y7" s="77" t="n">
        <v>80567670011.131</v>
      </c>
      <c r="Z7" s="72" t="n">
        <v>40035216680.28</v>
      </c>
      <c r="AA7" s="72" t="n">
        <v>0.258847666940384</v>
      </c>
      <c r="AB7" s="72" t="n">
        <v>844963.195215118</v>
      </c>
      <c r="AC7" s="77" t="n">
        <f aca="false">I7-L7-U7-V7</f>
        <v>17995064622.0193</v>
      </c>
      <c r="AD7" s="72" t="n">
        <f aca="false">AC7/Y7</f>
        <v>0.223353419796466</v>
      </c>
    </row>
    <row r="8" customFormat="false" ht="15" hidden="false" customHeight="false" outlineLevel="0" collapsed="false">
      <c r="A8" s="72" t="n">
        <v>2007</v>
      </c>
      <c r="B8" s="72" t="s">
        <v>178</v>
      </c>
      <c r="C8" s="72" t="n">
        <v>3</v>
      </c>
      <c r="D8" s="72" t="s">
        <v>179</v>
      </c>
      <c r="E8" s="72" t="n">
        <v>235394001073.246</v>
      </c>
      <c r="G8" s="72" t="n">
        <v>70661648001.256</v>
      </c>
      <c r="I8" s="72" t="n">
        <v>58474148394.0154</v>
      </c>
      <c r="J8" s="72" t="n">
        <v>176919852679.23</v>
      </c>
      <c r="K8" s="72" t="n">
        <v>26806038284.7319</v>
      </c>
      <c r="L8" s="72" t="n">
        <v>19975832217.4233</v>
      </c>
      <c r="M8" s="72" t="n">
        <v>3026641245.06414</v>
      </c>
      <c r="N8" s="72" t="n">
        <v>100576.012248596</v>
      </c>
      <c r="P8" s="72" t="n">
        <v>17359289524.5189</v>
      </c>
      <c r="Q8" s="72" t="n">
        <v>5954778083.05058</v>
      </c>
      <c r="R8" s="72" t="n">
        <v>2050142695.55975</v>
      </c>
      <c r="S8" s="72" t="n">
        <v>2560331482.56035</v>
      </c>
      <c r="T8" s="81" t="n">
        <v>4610474178.1201</v>
      </c>
      <c r="U8" s="72" t="n">
        <v>5934830945.59986</v>
      </c>
      <c r="V8" s="72" t="n">
        <v>8452985175.97896</v>
      </c>
      <c r="W8" s="72" t="n">
        <v>88288212567.6234</v>
      </c>
      <c r="X8" s="72" t="n">
        <v>88288212567.6234</v>
      </c>
      <c r="Y8" s="77" t="n">
        <v>118120892097.419</v>
      </c>
      <c r="Z8" s="72" t="n">
        <v>50685815783.8327</v>
      </c>
      <c r="AA8" s="72" t="n">
        <v>0.282696947813448</v>
      </c>
      <c r="AB8" s="72" t="n">
        <v>702569.593101381</v>
      </c>
      <c r="AC8" s="77" t="n">
        <f aca="false">I8-L8-U8-V8</f>
        <v>24110500055.0133</v>
      </c>
      <c r="AD8" s="72" t="n">
        <f aca="false">AC8/Y8</f>
        <v>0.204117151732383</v>
      </c>
    </row>
    <row r="9" customFormat="false" ht="15" hidden="false" customHeight="false" outlineLevel="0" collapsed="false">
      <c r="A9" s="72" t="n">
        <v>2008</v>
      </c>
      <c r="B9" s="72" t="s">
        <v>178</v>
      </c>
      <c r="C9" s="72" t="n">
        <v>4</v>
      </c>
      <c r="D9" s="72" t="s">
        <v>180</v>
      </c>
      <c r="E9" s="72" t="n">
        <v>284995693319.884</v>
      </c>
      <c r="G9" s="72" t="n">
        <v>80292211343.2356</v>
      </c>
      <c r="I9" s="72" t="n">
        <v>66443662351.1039</v>
      </c>
      <c r="J9" s="72" t="n">
        <v>218552030968.78</v>
      </c>
      <c r="K9" s="72" t="n">
        <v>33113944086.1788</v>
      </c>
      <c r="L9" s="72" t="n">
        <v>24291156273.8742</v>
      </c>
      <c r="M9" s="72" t="n">
        <v>3680478223.31427</v>
      </c>
      <c r="N9" s="72" t="n">
        <v>103902.68580704</v>
      </c>
      <c r="P9" s="72" t="n">
        <v>17442926160.2144</v>
      </c>
      <c r="Q9" s="72" t="n">
        <v>10194336167.0143</v>
      </c>
      <c r="R9" s="72" t="n">
        <v>3655133361.76916</v>
      </c>
      <c r="S9" s="72" t="n">
        <v>3746090502.26123</v>
      </c>
      <c r="T9" s="81" t="n">
        <v>7401223864.0304</v>
      </c>
      <c r="U9" s="72" t="n">
        <v>8098413006.68778</v>
      </c>
      <c r="V9" s="72" t="n">
        <v>7355810016.85636</v>
      </c>
      <c r="W9" s="72" t="n">
        <v>107971212345.296</v>
      </c>
      <c r="X9" s="72" t="n">
        <v>107971212345.296</v>
      </c>
      <c r="Y9" s="77" t="n">
        <v>144765634654.789</v>
      </c>
      <c r="Z9" s="72" t="n">
        <v>56001055069.3615</v>
      </c>
      <c r="AA9" s="72" t="n">
        <v>0.302534403617726</v>
      </c>
      <c r="AB9" s="72" t="n">
        <v>772763.578916025</v>
      </c>
      <c r="AC9" s="77" t="n">
        <f aca="false">I9-L9-U9-V9</f>
        <v>26698283053.6856</v>
      </c>
      <c r="AD9" s="72" t="n">
        <f aca="false">AC9/Y9</f>
        <v>0.184424177169884</v>
      </c>
    </row>
    <row r="10" customFormat="false" ht="15" hidden="false" customHeight="false" outlineLevel="0" collapsed="false">
      <c r="A10" s="72" t="n">
        <v>2009</v>
      </c>
      <c r="B10" s="72" t="s">
        <v>178</v>
      </c>
      <c r="C10" s="72" t="n">
        <v>4</v>
      </c>
      <c r="D10" s="72" t="s">
        <v>180</v>
      </c>
      <c r="E10" s="72" t="n">
        <v>262347159926.776</v>
      </c>
      <c r="G10" s="72" t="n">
        <v>78234883877.8204</v>
      </c>
      <c r="I10" s="72" t="n">
        <v>64741176279.6548</v>
      </c>
      <c r="J10" s="72" t="n">
        <v>197605983647.122</v>
      </c>
      <c r="K10" s="72" t="n">
        <v>29940300552.5942</v>
      </c>
      <c r="L10" s="72" t="n">
        <v>29743370612.9925</v>
      </c>
      <c r="M10" s="72" t="n">
        <v>4506571304.99886</v>
      </c>
      <c r="N10" s="72" t="n">
        <v>104036.647790835</v>
      </c>
      <c r="P10" s="72" t="n">
        <v>7961085386.42427</v>
      </c>
      <c r="Q10" s="72" t="n">
        <v>5801409600.97941</v>
      </c>
      <c r="R10" s="72" t="n">
        <v>2415847160.2104</v>
      </c>
      <c r="S10" s="72" t="n">
        <v>1477856506.79828</v>
      </c>
      <c r="T10" s="81" t="n">
        <v>3893703667.00868</v>
      </c>
      <c r="U10" s="72" t="n">
        <v>7803216717.64234</v>
      </c>
      <c r="V10" s="72" t="n">
        <v>9175908840.98326</v>
      </c>
      <c r="W10" s="72" t="n">
        <v>93192117548.196</v>
      </c>
      <c r="X10" s="72" t="n">
        <v>93192117548.196</v>
      </c>
      <c r="Y10" s="77" t="n">
        <v>127638989405.789</v>
      </c>
      <c r="Z10" s="72" t="n">
        <v>48491513264.8279</v>
      </c>
      <c r="AA10" s="72" t="n">
        <v>0.380180414908556</v>
      </c>
      <c r="AB10" s="72" t="n">
        <v>751993.509394024</v>
      </c>
      <c r="AC10" s="77" t="n">
        <f aca="false">I10-L10-U10-V10</f>
        <v>18018680108.0367</v>
      </c>
      <c r="AD10" s="72" t="n">
        <f aca="false">AC10/Y10</f>
        <v>0.141169090980122</v>
      </c>
    </row>
    <row r="11" customFormat="false" ht="15" hidden="false" customHeight="false" outlineLevel="0" collapsed="false">
      <c r="A11" s="72" t="n">
        <v>2010</v>
      </c>
      <c r="B11" s="72" t="s">
        <v>178</v>
      </c>
      <c r="C11" s="72" t="n">
        <v>4</v>
      </c>
      <c r="D11" s="72" t="s">
        <v>180</v>
      </c>
      <c r="E11" s="72" t="n">
        <v>298614685114.745</v>
      </c>
      <c r="G11" s="72" t="n">
        <v>95564090931.2523</v>
      </c>
      <c r="I11" s="72" t="n">
        <v>79081496006.9132</v>
      </c>
      <c r="J11" s="72" t="n">
        <v>219533189107.831</v>
      </c>
      <c r="K11" s="72" t="n">
        <v>33262604410.2775</v>
      </c>
      <c r="L11" s="72" t="n">
        <v>34131850283.3496</v>
      </c>
      <c r="M11" s="72" t="n">
        <v>5171492467.17419</v>
      </c>
      <c r="N11" s="72" t="n">
        <v>112274.193929867</v>
      </c>
      <c r="P11" s="72" t="n">
        <v>10581328732.3151</v>
      </c>
      <c r="Q11" s="72" t="n">
        <v>6527266606.34314</v>
      </c>
      <c r="R11" s="72" t="n">
        <v>2632960238.70079</v>
      </c>
      <c r="S11" s="72" t="n">
        <v>1822989811.24126</v>
      </c>
      <c r="T11" s="81" t="n">
        <v>4455950049.94205</v>
      </c>
      <c r="U11" s="72" t="n">
        <v>8154845648.11994</v>
      </c>
      <c r="V11" s="72" t="n">
        <v>12317165605.5467</v>
      </c>
      <c r="W11" s="72" t="n">
        <v>99737810059.4515</v>
      </c>
      <c r="X11" s="72" t="n">
        <v>99737810059.4515</v>
      </c>
      <c r="Y11" s="77" t="n">
        <v>138171906936.903</v>
      </c>
      <c r="Z11" s="72" t="n">
        <v>61432240647.9027</v>
      </c>
      <c r="AA11" s="72" t="n">
        <v>0.357161879014824</v>
      </c>
      <c r="AB11" s="72" t="n">
        <v>851167.018762544</v>
      </c>
      <c r="AC11" s="77" t="n">
        <f aca="false">I11-L11-U11-V11</f>
        <v>24477634469.897</v>
      </c>
      <c r="AD11" s="72" t="n">
        <f aca="false">AC11/Y11</f>
        <v>0.17715348229995</v>
      </c>
    </row>
    <row r="12" customFormat="false" ht="15" hidden="false" customHeight="false" outlineLevel="0" collapsed="false">
      <c r="A12" s="72" t="n">
        <v>2011</v>
      </c>
      <c r="B12" s="72" t="s">
        <v>178</v>
      </c>
      <c r="C12" s="72" t="n">
        <v>4</v>
      </c>
      <c r="D12" s="72" t="s">
        <v>180</v>
      </c>
      <c r="E12" s="72" t="n">
        <v>322720110758.961</v>
      </c>
      <c r="G12" s="72" t="n">
        <v>97706590220.2346</v>
      </c>
      <c r="I12" s="72" t="n">
        <v>80854463732.7126</v>
      </c>
      <c r="J12" s="72" t="n">
        <v>241865647026.249</v>
      </c>
      <c r="K12" s="72" t="n">
        <v>36646310155.4922</v>
      </c>
      <c r="L12" s="72" t="n">
        <v>38240756792.5859</v>
      </c>
      <c r="M12" s="72" t="n">
        <v>5794054059.48271</v>
      </c>
      <c r="N12" s="72" t="n">
        <v>109399.623065035</v>
      </c>
      <c r="O12" s="72" t="n">
        <v>2202</v>
      </c>
      <c r="T12" s="81"/>
      <c r="U12" s="72" t="n">
        <v>8184811603.98002</v>
      </c>
      <c r="V12" s="72" t="n">
        <v>18825379389.4866</v>
      </c>
      <c r="X12" s="72" t="n">
        <v>122150149877.437</v>
      </c>
      <c r="Y12" s="77" t="n">
        <v>164590514092.412</v>
      </c>
      <c r="Z12" s="72" t="n">
        <v>59465833427.6488</v>
      </c>
      <c r="AA12" s="72" t="n">
        <v>0.39138359763031</v>
      </c>
      <c r="AB12" s="72" t="n">
        <v>893116.333336454</v>
      </c>
      <c r="AC12" s="77" t="n">
        <f aca="false">I12-L12-U12-V12</f>
        <v>15603515946.6601</v>
      </c>
      <c r="AD12" s="72" t="n">
        <f aca="false">AC12/Y12</f>
        <v>0.0948020366343788</v>
      </c>
    </row>
    <row r="13" customFormat="false" ht="15" hidden="false" customHeight="false" outlineLevel="0" collapsed="false">
      <c r="A13" s="72" t="n">
        <v>2012</v>
      </c>
      <c r="B13" s="72" t="s">
        <v>178</v>
      </c>
      <c r="C13" s="72" t="n">
        <v>4</v>
      </c>
      <c r="D13" s="72" t="s">
        <v>180</v>
      </c>
      <c r="E13" s="72" t="n">
        <v>366495477250.288</v>
      </c>
      <c r="G13" s="72" t="n">
        <v>99292174533.5738</v>
      </c>
      <c r="I13" s="72" t="n">
        <v>82166571432.6033</v>
      </c>
      <c r="J13" s="72" t="n">
        <v>284328905817.684</v>
      </c>
      <c r="K13" s="72" t="n">
        <v>43080137245.1037</v>
      </c>
      <c r="L13" s="72" t="n">
        <v>43787874689.4251</v>
      </c>
      <c r="M13" s="72" t="n">
        <v>6634526468.09472</v>
      </c>
      <c r="N13" s="72" t="n">
        <v>110138.749533575</v>
      </c>
      <c r="P13" s="72" t="n">
        <v>17144628448.139</v>
      </c>
      <c r="Q13" s="72" t="n">
        <v>11867620456.3477</v>
      </c>
      <c r="R13" s="72" t="n">
        <v>5974186587.40513</v>
      </c>
      <c r="S13" s="72" t="n">
        <v>3152613515.84694</v>
      </c>
      <c r="T13" s="81" t="n">
        <v>9126800103.25207</v>
      </c>
      <c r="U13" s="72" t="n">
        <v>9200641100.65636</v>
      </c>
      <c r="V13" s="72" t="n">
        <v>16525006971.0191</v>
      </c>
      <c r="W13" s="72" t="n">
        <v>118070224347.511</v>
      </c>
      <c r="X13" s="72" t="n">
        <v>118070224347.511</v>
      </c>
      <c r="Y13" s="77" t="n">
        <v>167784888060.709</v>
      </c>
      <c r="Z13" s="72" t="n">
        <v>55504299844.1487</v>
      </c>
      <c r="AA13" s="72" t="n">
        <v>0.441000259034704</v>
      </c>
      <c r="AB13" s="72" t="n">
        <v>901518.992671195</v>
      </c>
      <c r="AC13" s="77" t="n">
        <f aca="false">I13-L13-U13-V13</f>
        <v>12653048671.5027</v>
      </c>
      <c r="AD13" s="72" t="n">
        <f aca="false">AC13/Y13</f>
        <v>0.0754123259713624</v>
      </c>
    </row>
    <row r="14" customFormat="false" ht="15" hidden="false" customHeight="false" outlineLevel="0" collapsed="false">
      <c r="A14" s="72" t="n">
        <v>2013</v>
      </c>
      <c r="B14" s="72" t="s">
        <v>178</v>
      </c>
      <c r="C14" s="72" t="n">
        <v>4</v>
      </c>
      <c r="D14" s="72" t="s">
        <v>180</v>
      </c>
      <c r="E14" s="72" t="n">
        <v>393495580200.293</v>
      </c>
      <c r="G14" s="72" t="n">
        <v>111896035273.734</v>
      </c>
      <c r="I14" s="72" t="n">
        <v>92596557770.3767</v>
      </c>
      <c r="J14" s="72" t="n">
        <v>300899022429.916</v>
      </c>
      <c r="K14" s="72" t="n">
        <v>45590760974.2297</v>
      </c>
      <c r="L14" s="72" t="n">
        <v>50186679222.5088</v>
      </c>
      <c r="M14" s="72" t="n">
        <v>7604042306.44073</v>
      </c>
      <c r="N14" s="72" t="n">
        <v>109797.749814658</v>
      </c>
      <c r="P14" s="72" t="n">
        <v>28790672811.2985</v>
      </c>
      <c r="Q14" s="72" t="n">
        <v>18295653366.8584</v>
      </c>
      <c r="R14" s="72" t="n">
        <v>2479792576.57471</v>
      </c>
      <c r="S14" s="72" t="n">
        <v>16298811702.8586</v>
      </c>
      <c r="T14" s="81" t="n">
        <v>18778604279.4333</v>
      </c>
      <c r="U14" s="72" t="n">
        <v>9634456614.28344</v>
      </c>
      <c r="V14" s="72" t="n">
        <v>20496674468.1147</v>
      </c>
      <c r="W14" s="72" t="n">
        <v>130303268121.312</v>
      </c>
      <c r="X14" s="72" t="n">
        <v>130303268121.312</v>
      </c>
      <c r="Y14" s="77" t="n">
        <v>183498071401.983</v>
      </c>
      <c r="Z14" s="72" t="n">
        <v>61709356051.2255</v>
      </c>
      <c r="AA14" s="72" t="n">
        <v>0.4485116840801</v>
      </c>
      <c r="AB14" s="72" t="n">
        <v>1019110.45957334</v>
      </c>
      <c r="AC14" s="77" t="n">
        <f aca="false">I14-L14-U14-V14</f>
        <v>12278747465.4698</v>
      </c>
      <c r="AD14" s="72" t="n">
        <f aca="false">AC14/Y14</f>
        <v>0.0669148584050844</v>
      </c>
    </row>
    <row r="15" customFormat="false" ht="15" hidden="false" customHeight="false" outlineLevel="0" collapsed="false">
      <c r="A15" s="72" t="n">
        <v>2014</v>
      </c>
      <c r="B15" s="72" t="s">
        <v>178</v>
      </c>
      <c r="C15" s="72" t="n">
        <v>4</v>
      </c>
      <c r="D15" s="72" t="s">
        <v>180</v>
      </c>
      <c r="E15" s="72" t="n">
        <v>453640919223.416</v>
      </c>
      <c r="G15" s="72" t="n">
        <v>130780131947.159</v>
      </c>
      <c r="I15" s="72" t="n">
        <v>108223584628.696</v>
      </c>
      <c r="J15" s="72" t="n">
        <v>345417334594.719</v>
      </c>
      <c r="K15" s="72" t="n">
        <v>52335959787.0787</v>
      </c>
      <c r="L15" s="72" t="n">
        <v>56837646365.6924</v>
      </c>
      <c r="M15" s="72" t="n">
        <v>8611764600.86248</v>
      </c>
      <c r="N15" s="72" t="n">
        <v>107700.426949954</v>
      </c>
      <c r="P15" s="72" t="n">
        <v>78176629453.8231</v>
      </c>
      <c r="Q15" s="72" t="n">
        <v>52611954747.577</v>
      </c>
      <c r="R15" s="72" t="n">
        <v>2217119087.20402</v>
      </c>
      <c r="S15" s="72" t="n">
        <v>48143911013.6752</v>
      </c>
      <c r="T15" s="81" t="n">
        <v>50361030100.8792</v>
      </c>
      <c r="U15" s="72" t="n">
        <v>12235321829.4487</v>
      </c>
      <c r="V15" s="72" t="n">
        <v>22082788548.337</v>
      </c>
      <c r="W15" s="72" t="n">
        <v>198429417562.734</v>
      </c>
      <c r="X15" s="72" t="n">
        <v>198429417562.734</v>
      </c>
      <c r="Y15" s="77" t="n">
        <v>259377141950.675</v>
      </c>
      <c r="Z15" s="72" t="n">
        <v>73942485581.4665</v>
      </c>
      <c r="AA15" s="72" t="n">
        <v>0.434604595663333</v>
      </c>
      <c r="AB15" s="72" t="n">
        <v>1214295.39000741</v>
      </c>
      <c r="AC15" s="77" t="n">
        <f aca="false">I15-L15-U15-V15</f>
        <v>17067827885.2179</v>
      </c>
      <c r="AD15" s="72" t="n">
        <f aca="false">AC15/Y15</f>
        <v>0.0658031303639842</v>
      </c>
    </row>
    <row r="16" customFormat="false" ht="15" hidden="false" customHeight="false" outlineLevel="0" collapsed="false">
      <c r="A16" s="72" t="n">
        <v>2015</v>
      </c>
      <c r="B16" s="72" t="s">
        <v>178</v>
      </c>
      <c r="C16" s="72" t="n">
        <v>4</v>
      </c>
      <c r="D16" s="72" t="s">
        <v>180</v>
      </c>
      <c r="E16" s="72" t="n">
        <v>478094966223.237</v>
      </c>
      <c r="G16" s="72" t="n">
        <v>151939673902.592</v>
      </c>
      <c r="I16" s="72" t="n">
        <v>125733595097.592</v>
      </c>
      <c r="J16" s="72" t="n">
        <v>352361371125.645</v>
      </c>
      <c r="K16" s="72" t="n">
        <v>53388086534.1887</v>
      </c>
      <c r="L16" s="72" t="n">
        <v>61103872632.9691</v>
      </c>
      <c r="M16" s="72" t="n">
        <v>9258162520.14684</v>
      </c>
      <c r="N16" s="72" t="n">
        <v>103791.208900956</v>
      </c>
      <c r="P16" s="72" t="n">
        <v>26806672376.5168</v>
      </c>
      <c r="Q16" s="72" t="n">
        <v>16410900596.9536</v>
      </c>
      <c r="R16" s="72" t="n">
        <v>1393260740.63695</v>
      </c>
      <c r="S16" s="72" t="n">
        <v>6282740266.2848</v>
      </c>
      <c r="T16" s="81" t="n">
        <v>7676001006.92175</v>
      </c>
      <c r="U16" s="72" t="n">
        <v>14988600854.6759</v>
      </c>
      <c r="V16" s="72" t="n">
        <v>24800676496.6772</v>
      </c>
      <c r="W16" s="72" t="n">
        <v>207813793849.166</v>
      </c>
      <c r="X16" s="72" t="n">
        <v>207813793849.166</v>
      </c>
      <c r="Y16" s="77" t="n">
        <v>270460042903.502</v>
      </c>
      <c r="Z16" s="72" t="n">
        <v>90835801269.6229</v>
      </c>
      <c r="AA16" s="72" t="n">
        <v>0.402158771725037</v>
      </c>
      <c r="AB16" s="72" t="n">
        <v>1463897.33303503</v>
      </c>
      <c r="AC16" s="77" t="n">
        <f aca="false">I16-L16-U16-V16</f>
        <v>24840445113.2698</v>
      </c>
      <c r="AD16" s="72" t="n">
        <f aca="false">AC16/Y16</f>
        <v>0.0918451570390849</v>
      </c>
    </row>
    <row r="17" customFormat="false" ht="15" hidden="false" customHeight="false" outlineLevel="0" collapsed="false">
      <c r="A17" s="72" t="n">
        <v>2016</v>
      </c>
      <c r="B17" s="72" t="s">
        <v>178</v>
      </c>
      <c r="C17" s="72" t="n">
        <v>4</v>
      </c>
      <c r="D17" s="72" t="s">
        <v>180</v>
      </c>
      <c r="E17" s="72" t="n">
        <v>488282856955.128</v>
      </c>
      <c r="G17" s="72" t="n">
        <v>155382839152.649</v>
      </c>
      <c r="I17" s="72" t="n">
        <v>128582893995.537</v>
      </c>
      <c r="J17" s="72" t="n">
        <v>359699962959.592</v>
      </c>
      <c r="K17" s="72" t="n">
        <v>54499994387.8169</v>
      </c>
      <c r="L17" s="72" t="n">
        <v>65854041864.7401</v>
      </c>
      <c r="M17" s="72" t="n">
        <v>9977885131.02123</v>
      </c>
      <c r="N17" s="72" t="n">
        <v>100240.446716766</v>
      </c>
      <c r="P17" s="72" t="n">
        <v>17409371770.145</v>
      </c>
      <c r="Q17" s="72" t="n">
        <v>7957401871.30048</v>
      </c>
      <c r="R17" s="72" t="n">
        <v>1694713789.38442</v>
      </c>
      <c r="S17" s="72" t="n">
        <v>4309905878.07058</v>
      </c>
      <c r="T17" s="81" t="n">
        <v>6004619667.45501</v>
      </c>
      <c r="U17" s="72" t="n">
        <v>16145911799.0432</v>
      </c>
      <c r="V17" s="72" t="n">
        <v>26902000893.9114</v>
      </c>
      <c r="W17" s="72" t="n">
        <v>218824498043.52</v>
      </c>
      <c r="X17" s="72" t="n">
        <v>218824498043.52</v>
      </c>
      <c r="Y17" s="77" t="n">
        <v>283302377562.358</v>
      </c>
      <c r="Z17" s="72" t="n">
        <v>89528797287.9089</v>
      </c>
      <c r="AA17" s="72" t="n">
        <v>0.423817985460059</v>
      </c>
      <c r="AB17" s="72" t="n">
        <v>1550101.22402678</v>
      </c>
      <c r="AC17" s="77" t="n">
        <f aca="false">I17-L17-U17-V17</f>
        <v>19680939437.8423</v>
      </c>
      <c r="AD17" s="72" t="n">
        <f aca="false">AC17/Y17</f>
        <v>0.0694697291536507</v>
      </c>
    </row>
    <row r="18" customFormat="false" ht="15" hidden="false" customHeight="false" outlineLevel="0" collapsed="false">
      <c r="A18" s="72" t="n">
        <v>2017</v>
      </c>
      <c r="B18" s="72" t="s">
        <v>178</v>
      </c>
      <c r="C18" s="72" t="n">
        <v>5</v>
      </c>
      <c r="D18" s="72" t="s">
        <v>180</v>
      </c>
      <c r="E18" s="72" t="n">
        <v>484141525416.436</v>
      </c>
      <c r="F18" s="72" t="n">
        <v>455782090534.62</v>
      </c>
      <c r="G18" s="72" t="n">
        <v>164424571873.861</v>
      </c>
      <c r="H18" s="72" t="n">
        <v>136065136992.046</v>
      </c>
      <c r="I18" s="72" t="n">
        <v>136065136992.046</v>
      </c>
      <c r="J18" s="72" t="n">
        <v>348076388424.39</v>
      </c>
      <c r="K18" s="72" t="n">
        <v>52738846730.9681</v>
      </c>
      <c r="L18" s="72" t="n">
        <v>70584977309.7717</v>
      </c>
      <c r="M18" s="72" t="n">
        <v>10694693531.7836</v>
      </c>
      <c r="N18" s="72" t="n">
        <v>97466.9972261083</v>
      </c>
      <c r="P18" s="72" t="n">
        <v>17036239960.98</v>
      </c>
      <c r="Q18" s="72" t="n">
        <v>8481037478.92</v>
      </c>
      <c r="R18" s="72" t="n">
        <v>1726303402.3</v>
      </c>
      <c r="S18" s="72" t="n">
        <v>2897152608.06</v>
      </c>
      <c r="T18" s="81" t="n">
        <v>4623456010.36</v>
      </c>
      <c r="U18" s="72" t="n">
        <v>15918676560.87</v>
      </c>
      <c r="V18" s="72" t="n">
        <v>1963308432.45</v>
      </c>
      <c r="W18" s="72" t="n">
        <v>209773097223.24</v>
      </c>
      <c r="X18" s="72" t="n">
        <v>209773097223.24</v>
      </c>
      <c r="Y18" s="77" t="n">
        <v>273206637485.992</v>
      </c>
      <c r="Z18" s="72" t="n">
        <v>93839594564.0896</v>
      </c>
      <c r="AA18" s="72" t="n">
        <v>0.429284847789789</v>
      </c>
      <c r="AB18" s="72" t="n">
        <v>1686976.89016131</v>
      </c>
      <c r="AC18" s="77" t="n">
        <f aca="false">I18-L18-U18-V18</f>
        <v>47598174688.9543</v>
      </c>
      <c r="AD18" s="72" t="n">
        <f aca="false">AC18/Y18</f>
        <v>0.174220418387144</v>
      </c>
    </row>
    <row r="19" customFormat="false" ht="15" hidden="false" customHeight="false" outlineLevel="0" collapsed="false">
      <c r="A19" s="72" t="n">
        <v>2018</v>
      </c>
      <c r="B19" s="72" t="s">
        <v>178</v>
      </c>
      <c r="C19" s="72" t="n">
        <v>5</v>
      </c>
      <c r="D19" s="72" t="s">
        <v>180</v>
      </c>
      <c r="E19" s="72" t="n">
        <v>570036849535.363</v>
      </c>
      <c r="F19" s="72" t="n">
        <v>539642243987.483</v>
      </c>
      <c r="G19" s="72" t="n">
        <v>197885329971.676</v>
      </c>
      <c r="H19" s="72" t="n">
        <v>167490724423.796</v>
      </c>
      <c r="I19" s="72" t="n">
        <v>167490724423.796</v>
      </c>
      <c r="J19" s="72" t="n">
        <v>402546125111.567</v>
      </c>
      <c r="K19" s="72" t="n">
        <v>60991837138.1162</v>
      </c>
      <c r="L19" s="72" t="n">
        <v>76120684622.3108</v>
      </c>
      <c r="M19" s="72" t="n">
        <v>11533437063.9865</v>
      </c>
      <c r="N19" s="72" t="n">
        <v>94566.085657076</v>
      </c>
      <c r="P19" s="72" t="n">
        <v>21403883661.2124</v>
      </c>
      <c r="Q19" s="72" t="n">
        <v>9398761236.76361</v>
      </c>
      <c r="R19" s="72" t="n">
        <v>2344301120.11455</v>
      </c>
      <c r="S19" s="72" t="n">
        <v>3875594513.73228</v>
      </c>
      <c r="T19" s="81" t="n">
        <v>6219895633.84683</v>
      </c>
      <c r="U19" s="72" t="n">
        <v>16454135974.9035</v>
      </c>
      <c r="V19" s="72" t="n">
        <v>1215222874.57822</v>
      </c>
      <c r="W19" s="72" t="n">
        <v>230944653073.897</v>
      </c>
      <c r="X19" s="72" t="n">
        <v>230944653073.897</v>
      </c>
      <c r="Y19" s="77" t="n">
        <v>303469927276</v>
      </c>
      <c r="Z19" s="72" t="n">
        <v>121764645349.366</v>
      </c>
      <c r="AA19" s="72" t="n">
        <v>0.38467068091003</v>
      </c>
      <c r="AB19" s="72" t="n">
        <v>2092561.28766148</v>
      </c>
      <c r="AC19" s="77" t="n">
        <f aca="false">I19-L19-U19-V19</f>
        <v>73700680952.0035</v>
      </c>
      <c r="AD19" s="72" t="n">
        <f aca="false">AC19/Y19</f>
        <v>0.242859915687705</v>
      </c>
    </row>
    <row r="20" customFormat="false" ht="15" hidden="false" customHeight="false" outlineLevel="0" collapsed="false">
      <c r="A20" s="72" t="n">
        <v>2019</v>
      </c>
      <c r="B20" s="72" t="s">
        <v>178</v>
      </c>
      <c r="C20" s="72" t="n">
        <v>5</v>
      </c>
      <c r="D20" s="72" t="s">
        <v>180</v>
      </c>
      <c r="E20" s="72" t="n">
        <v>601651424497</v>
      </c>
      <c r="F20" s="72" t="n">
        <v>569209962569</v>
      </c>
      <c r="G20" s="72" t="n">
        <v>190772526038</v>
      </c>
      <c r="H20" s="72" t="n">
        <v>158331064110</v>
      </c>
      <c r="I20" s="72" t="n">
        <v>158331064110</v>
      </c>
      <c r="J20" s="72" t="n">
        <v>443320360387</v>
      </c>
      <c r="K20" s="72" t="n">
        <v>67169751573.7879</v>
      </c>
      <c r="L20" s="72" t="n">
        <v>80999471228</v>
      </c>
      <c r="M20" s="72" t="n">
        <v>12272647155.7576</v>
      </c>
      <c r="N20" s="72" t="n">
        <v>90481</v>
      </c>
      <c r="P20" s="72" t="n">
        <v>30759048024</v>
      </c>
      <c r="Q20" s="72" t="n">
        <v>10582877554</v>
      </c>
      <c r="R20" s="72" t="n">
        <v>10715087960</v>
      </c>
      <c r="S20" s="72" t="n">
        <v>3917218825</v>
      </c>
      <c r="T20" s="81" t="n">
        <v>14632306785</v>
      </c>
      <c r="U20" s="72" t="n">
        <v>18470370583.3076</v>
      </c>
      <c r="V20" s="72" t="n">
        <v>1701376372.96674</v>
      </c>
      <c r="W20" s="72" t="n">
        <v>259048160897</v>
      </c>
      <c r="X20" s="72" t="n">
        <v>259048160897</v>
      </c>
      <c r="Y20" s="77" t="n">
        <v>338490559626.545</v>
      </c>
      <c r="Z20" s="72" t="n">
        <v>109773054810</v>
      </c>
      <c r="AA20" s="72" t="n">
        <v>0.424586668270387</v>
      </c>
      <c r="AB20" s="72" t="n">
        <v>2108426.36617632</v>
      </c>
      <c r="AC20" s="77" t="n">
        <f aca="false">I20-L20-U20-V20</f>
        <v>57159845925.7257</v>
      </c>
      <c r="AD20" s="72" t="n">
        <f aca="false">AC20/Y20</f>
        <v>0.168866883581007</v>
      </c>
    </row>
    <row r="21" customFormat="false" ht="15" hidden="false" customHeight="false" outlineLevel="0" collapsed="false">
      <c r="A21" s="72" t="n">
        <v>2020</v>
      </c>
      <c r="B21" s="72" t="s">
        <v>178</v>
      </c>
      <c r="C21" s="72" t="n">
        <v>5</v>
      </c>
      <c r="D21" s="72" t="s">
        <v>180</v>
      </c>
      <c r="E21" s="72" t="n">
        <v>600817528391.498</v>
      </c>
      <c r="F21" s="72" t="n">
        <v>569255108499.031</v>
      </c>
      <c r="G21" s="72" t="n">
        <v>182963110731.009</v>
      </c>
      <c r="H21" s="72" t="n">
        <v>151400690838.542</v>
      </c>
      <c r="I21" s="72" t="n">
        <v>151400690838.542</v>
      </c>
      <c r="J21" s="72" t="n">
        <v>449416837552.956</v>
      </c>
      <c r="K21" s="72" t="n">
        <v>68093460235.2964</v>
      </c>
      <c r="L21" s="72" t="n">
        <v>78278216489.3034</v>
      </c>
      <c r="M21" s="72" t="n">
        <v>11860335831.7126</v>
      </c>
      <c r="N21" s="72" t="n">
        <v>84764.4647407208</v>
      </c>
      <c r="O21" s="72" t="n">
        <v>1759</v>
      </c>
      <c r="P21" s="72" t="n">
        <v>40941559983.9069</v>
      </c>
      <c r="Q21" s="72" t="n">
        <v>9808505040.44887</v>
      </c>
      <c r="R21" s="72" t="n">
        <v>3275448937.75238</v>
      </c>
      <c r="S21" s="72" t="n">
        <v>2709351603.15066</v>
      </c>
      <c r="T21" s="81" t="n">
        <v>5984800540.90305</v>
      </c>
      <c r="U21" s="72" t="n">
        <v>19749525803.3465</v>
      </c>
      <c r="V21" s="72" t="n">
        <v>-1827346818.60041</v>
      </c>
      <c r="W21" s="72" t="n">
        <v>296322600807.052</v>
      </c>
      <c r="X21" s="72" t="n">
        <v>296322600807.052</v>
      </c>
      <c r="Y21" s="77" t="n">
        <v>376276396874.061</v>
      </c>
      <c r="Z21" s="72" t="n">
        <v>104684894241.705</v>
      </c>
      <c r="AA21" s="72" t="n">
        <v>0.427836060376059</v>
      </c>
      <c r="AB21" s="72" t="n">
        <v>2158488.36290844</v>
      </c>
      <c r="AC21" s="77" t="n">
        <f aca="false">I21-L21-U21-V21</f>
        <v>55200295364.4925</v>
      </c>
      <c r="AD21" s="72" t="n">
        <f aca="false">AC21/Y21</f>
        <v>0.146701456224925</v>
      </c>
    </row>
    <row r="22" customFormat="false" ht="15" hidden="false" customHeight="false" outlineLevel="0" collapsed="false">
      <c r="A22" s="72" t="n">
        <v>2021</v>
      </c>
      <c r="B22" s="72" t="s">
        <v>178</v>
      </c>
      <c r="C22" s="72" t="n">
        <v>5</v>
      </c>
      <c r="D22" s="72" t="s">
        <v>180</v>
      </c>
      <c r="E22" s="72" t="n">
        <v>740451400483.521</v>
      </c>
      <c r="F22" s="72" t="n">
        <v>729519030143.129</v>
      </c>
      <c r="G22" s="72" t="n">
        <v>224974680121.473</v>
      </c>
      <c r="H22" s="72" t="n">
        <v>214042309781.08</v>
      </c>
      <c r="I22" s="72" t="n">
        <v>214042309781.08</v>
      </c>
      <c r="J22" s="72" t="n">
        <v>526409090702.441</v>
      </c>
      <c r="K22" s="72" t="n">
        <v>79758953136.7334</v>
      </c>
      <c r="L22" s="72" t="n">
        <v>84122098877.8656</v>
      </c>
      <c r="M22" s="72" t="n">
        <v>12745772557.2524</v>
      </c>
      <c r="N22" s="72" t="n">
        <v>86333.0943782653</v>
      </c>
      <c r="P22" s="72" t="n">
        <v>83942983585.5647</v>
      </c>
      <c r="Q22" s="72" t="n">
        <v>18626904296.7775</v>
      </c>
      <c r="R22" s="72" t="n">
        <v>3312365312.69128</v>
      </c>
      <c r="S22" s="72" t="n">
        <v>6003788394.38755</v>
      </c>
      <c r="T22" s="81" t="n">
        <v>9316153707.07882</v>
      </c>
      <c r="U22" s="72" t="n">
        <v>21739333748.876</v>
      </c>
      <c r="V22" s="72" t="n">
        <v>-1158610716.34406</v>
      </c>
      <c r="W22" s="72" t="n">
        <v>377193985828.289</v>
      </c>
      <c r="X22" s="72" t="n">
        <v>377193985828.289</v>
      </c>
      <c r="Y22" s="77" t="n">
        <v>469698711522.275</v>
      </c>
      <c r="Z22" s="72" t="n">
        <v>140852581243.607</v>
      </c>
      <c r="AA22" s="72" t="n">
        <v>0.37391807305802</v>
      </c>
      <c r="AB22" s="72" t="n">
        <v>2605891.5383683</v>
      </c>
      <c r="AC22" s="77" t="n">
        <f aca="false">I22-L22-U22-V22</f>
        <v>109339487870.682</v>
      </c>
      <c r="AD22" s="72" t="n">
        <f aca="false">AC22/Y22</f>
        <v>0.2327864334912</v>
      </c>
    </row>
    <row r="23" customFormat="false" ht="15" hidden="false" customHeight="false" outlineLevel="0" collapsed="false">
      <c r="A23" s="72" t="n">
        <v>2022</v>
      </c>
      <c r="B23" s="72" t="s">
        <v>178</v>
      </c>
      <c r="C23" s="72" t="n">
        <v>5</v>
      </c>
      <c r="D23" s="72" t="s">
        <v>180</v>
      </c>
      <c r="E23" s="72" t="n">
        <v>887448109461.119</v>
      </c>
      <c r="F23" s="72" t="n">
        <v>847221297274.515</v>
      </c>
      <c r="G23" s="72" t="n">
        <v>265536050207.765</v>
      </c>
      <c r="H23" s="72" t="n">
        <v>225309238021.161</v>
      </c>
      <c r="I23" s="72" t="n">
        <v>225309238021.161</v>
      </c>
      <c r="J23" s="72" t="n">
        <v>662138871439.958</v>
      </c>
      <c r="K23" s="72" t="n">
        <v>100324071430.297</v>
      </c>
      <c r="L23" s="72" t="n">
        <v>95609914033.8778</v>
      </c>
      <c r="M23" s="72" t="n">
        <v>14486350611.1936</v>
      </c>
      <c r="N23" s="72" t="n">
        <v>89467.5060887856</v>
      </c>
      <c r="P23" s="72" t="n">
        <v>69687013752.2493</v>
      </c>
      <c r="Q23" s="72" t="n">
        <v>17242949725.5688</v>
      </c>
      <c r="R23" s="72" t="n">
        <v>4140576932.68122</v>
      </c>
      <c r="S23" s="72" t="n">
        <v>5180380048.54103</v>
      </c>
      <c r="T23" s="81" t="n">
        <v>9320956981.22225</v>
      </c>
      <c r="U23" s="72" t="n">
        <v>21523441673.284</v>
      </c>
      <c r="V23" s="72" t="n">
        <v>-2700847763.23168</v>
      </c>
      <c r="W23" s="72" t="n">
        <v>392603477898.926</v>
      </c>
      <c r="X23" s="72" t="n">
        <v>392603477898.926</v>
      </c>
      <c r="Y23" s="77" t="n">
        <v>507413899940.416</v>
      </c>
      <c r="Z23" s="72" t="n">
        <v>169926136173.887</v>
      </c>
      <c r="AA23" s="72" t="n">
        <v>0.360063780262865</v>
      </c>
      <c r="AB23" s="72" t="n">
        <v>2967960.79175665</v>
      </c>
      <c r="AC23" s="77" t="n">
        <f aca="false">I23-L23-U23-V23</f>
        <v>110876730077.231</v>
      </c>
      <c r="AD23" s="72" t="n">
        <f aca="false">AC23/Y23</f>
        <v>0.21851338737518</v>
      </c>
    </row>
    <row r="24" customFormat="false" ht="15" hidden="false" customHeight="false" outlineLevel="0" collapsed="false">
      <c r="A24" s="72" t="n">
        <v>2023</v>
      </c>
      <c r="B24" s="72" t="s">
        <v>178</v>
      </c>
      <c r="C24" s="72" t="n">
        <v>5</v>
      </c>
      <c r="D24" s="72" t="s">
        <v>180</v>
      </c>
      <c r="E24" s="72" t="n">
        <v>809592502649.113</v>
      </c>
      <c r="F24" s="72" t="n">
        <v>767904015950.468</v>
      </c>
      <c r="G24" s="72" t="n">
        <v>240127159755.696</v>
      </c>
      <c r="H24" s="72" t="n">
        <v>198438673057.051</v>
      </c>
      <c r="I24" s="72" t="n">
        <v>198438673057.051</v>
      </c>
      <c r="J24" s="72" t="n">
        <v>611153829592.062</v>
      </c>
      <c r="K24" s="72" t="n">
        <v>92599065089.7064</v>
      </c>
      <c r="L24" s="72" t="n">
        <v>104619799861.406</v>
      </c>
      <c r="M24" s="72" t="n">
        <v>15851484827.4858</v>
      </c>
      <c r="N24" s="72" t="n">
        <v>89501.9413936812</v>
      </c>
      <c r="P24" s="72" t="n">
        <v>56457788625.3757</v>
      </c>
      <c r="Q24" s="72" t="n">
        <v>38688155694.2446</v>
      </c>
      <c r="R24" s="72" t="n">
        <v>3048451859.309</v>
      </c>
      <c r="S24" s="72" t="n">
        <v>4990645244.98498</v>
      </c>
      <c r="T24" s="81" t="n">
        <v>8039097104.29398</v>
      </c>
      <c r="U24" s="72" t="n">
        <v>24684323791.2756</v>
      </c>
      <c r="V24" s="72" t="n">
        <v>-1909039042.84524</v>
      </c>
      <c r="W24" s="72" t="n">
        <v>402462792005.253</v>
      </c>
      <c r="X24" s="72" t="n">
        <v>402462792005.253</v>
      </c>
      <c r="Y24" s="77" t="n">
        <v>510913341922.446</v>
      </c>
      <c r="Z24" s="72" t="n">
        <v>135507359894.29</v>
      </c>
      <c r="AA24" s="72" t="n">
        <v>0.435684992767357</v>
      </c>
      <c r="AB24" s="72" t="n">
        <v>2682926.82836318</v>
      </c>
      <c r="AC24" s="77" t="n">
        <f aca="false">I24-L24-U24-V24</f>
        <v>71043588447.2146</v>
      </c>
      <c r="AD24" s="72" t="n">
        <f aca="false">AC24/Y24</f>
        <v>0.139052130014641</v>
      </c>
    </row>
    <row r="25" customFormat="false" ht="15" hidden="false" customHeight="false" outlineLevel="0" collapsed="false">
      <c r="A25" s="72" t="n">
        <v>2024</v>
      </c>
      <c r="B25" s="72" t="s">
        <v>178</v>
      </c>
      <c r="C25" s="72" t="n">
        <v>5</v>
      </c>
      <c r="D25" s="72" t="s">
        <v>180</v>
      </c>
      <c r="E25" s="72" t="n">
        <v>858071607633.119</v>
      </c>
      <c r="F25" s="72" t="n">
        <v>812702000296.115</v>
      </c>
      <c r="G25" s="72" t="n">
        <v>263970325327.665</v>
      </c>
      <c r="H25" s="72" t="n">
        <v>218600717990.661</v>
      </c>
      <c r="I25" s="72" t="n">
        <v>218600717990.661</v>
      </c>
      <c r="J25" s="72" t="n">
        <v>639470889642.458</v>
      </c>
      <c r="K25" s="72" t="n">
        <v>96889528733.7057</v>
      </c>
      <c r="L25" s="72" t="n">
        <v>112924265631.887</v>
      </c>
      <c r="M25" s="72" t="n">
        <v>17109737216.9526</v>
      </c>
      <c r="N25" s="72" t="n">
        <v>90863.9271580213</v>
      </c>
      <c r="P25" s="72" t="n">
        <v>43801057524.489</v>
      </c>
      <c r="Q25" s="72" t="n">
        <v>22430814377.7307</v>
      </c>
      <c r="R25" s="72" t="n">
        <v>2213301432.99458</v>
      </c>
      <c r="S25" s="72" t="n">
        <v>6190763386.05072</v>
      </c>
      <c r="T25" s="81" t="n">
        <v>8404064819.0453</v>
      </c>
      <c r="U25" s="72" t="n">
        <v>27515759179.2441</v>
      </c>
      <c r="V25" s="72" t="n">
        <v>-2002949331.60915</v>
      </c>
      <c r="W25" s="72" t="n">
        <v>436965957591.824</v>
      </c>
      <c r="X25" s="72" t="n">
        <v>436965957591.824</v>
      </c>
      <c r="Y25" s="77" t="n">
        <v>550965223542.482</v>
      </c>
      <c r="Z25" s="72" t="n">
        <v>151046059695.778</v>
      </c>
      <c r="AA25" s="72" t="n">
        <v>0.427791515927841</v>
      </c>
      <c r="AB25" s="72" t="n">
        <v>2905116.84431815</v>
      </c>
      <c r="AC25" s="77" t="n">
        <f aca="false">I25-L25-U25-V25</f>
        <v>80163642511.1391</v>
      </c>
      <c r="AD25" s="72" t="n">
        <f aca="false">AC25/Y25</f>
        <v>0.145496737517696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2" activePane="bottomLeft" state="frozen"/>
      <selection pane="topLeft" activeCell="A1" activeCellId="0" sqref="A1"/>
      <selection pane="bottomLeft" activeCell="M28" activeCellId="0" sqref="M28"/>
    </sheetView>
  </sheetViews>
  <sheetFormatPr defaultColWidth="11.4296875" defaultRowHeight="15" zeroHeight="false" outlineLevelRow="0" outlineLevelCol="0"/>
  <cols>
    <col collapsed="false" customWidth="false" hidden="false" outlineLevel="0" max="1" min="1" style="72" width="11.43"/>
    <col collapsed="false" customWidth="true" hidden="false" outlineLevel="0" max="2" min="2" style="72" width="3.86"/>
    <col collapsed="false" customWidth="false" hidden="false" outlineLevel="0" max="3" min="3" style="72" width="11.43"/>
    <col collapsed="false" customWidth="true" hidden="false" outlineLevel="0" max="4" min="4" style="72" width="7.86"/>
    <col collapsed="false" customWidth="false" hidden="false" outlineLevel="0" max="5" min="5" style="72" width="11.43"/>
    <col collapsed="false" customWidth="true" hidden="false" outlineLevel="0" max="6" min="6" style="72" width="10"/>
    <col collapsed="false" customWidth="false" hidden="false" outlineLevel="0" max="10" min="7" style="72" width="11.43"/>
    <col collapsed="false" customWidth="true" hidden="false" outlineLevel="0" max="11" min="11" style="82" width="13.43"/>
    <col collapsed="false" customWidth="false" hidden="false" outlineLevel="0" max="19" min="12" style="72" width="11.43"/>
    <col collapsed="false" customWidth="true" hidden="false" outlineLevel="0" max="20" min="20" style="72" width="17.86"/>
    <col collapsed="false" customWidth="false" hidden="false" outlineLevel="0" max="24" min="21" style="72" width="11.43"/>
    <col collapsed="false" customWidth="true" hidden="false" outlineLevel="0" max="25" min="25" style="72" width="24.29"/>
    <col collapsed="false" customWidth="false" hidden="false" outlineLevel="0" max="26" min="26" style="72" width="11.43"/>
    <col collapsed="false" customWidth="true" hidden="false" outlineLevel="0" max="27" min="27" style="72" width="18.29"/>
    <col collapsed="false" customWidth="false" hidden="false" outlineLevel="0" max="28" min="28" style="72" width="11.43"/>
    <col collapsed="false" customWidth="true" hidden="false" outlineLevel="0" max="29" min="29" style="72" width="17.86"/>
    <col collapsed="false" customWidth="false" hidden="false" outlineLevel="0" max="16384" min="30" style="72" width="11.43"/>
  </cols>
  <sheetData>
    <row r="1" s="55" customFormat="true" ht="46.25" hidden="false" customHeight="false" outlineLevel="0" collapsed="false">
      <c r="A1" s="55" t="s">
        <v>155</v>
      </c>
      <c r="B1" s="55" t="s">
        <v>156</v>
      </c>
      <c r="C1" s="55" t="s">
        <v>157</v>
      </c>
      <c r="D1" s="55" t="s">
        <v>158</v>
      </c>
      <c r="E1" s="55" t="s">
        <v>159</v>
      </c>
      <c r="F1" s="55" t="s">
        <v>160</v>
      </c>
      <c r="G1" s="55" t="s">
        <v>161</v>
      </c>
      <c r="H1" s="55" t="s">
        <v>162</v>
      </c>
      <c r="I1" s="55" t="s">
        <v>163</v>
      </c>
      <c r="J1" s="55" t="s">
        <v>164</v>
      </c>
      <c r="K1" s="83" t="s">
        <v>165</v>
      </c>
      <c r="L1" s="55" t="s">
        <v>166</v>
      </c>
      <c r="M1" s="55" t="s">
        <v>167</v>
      </c>
      <c r="N1" s="55" t="s">
        <v>168</v>
      </c>
      <c r="O1" s="55" t="s">
        <v>169</v>
      </c>
      <c r="P1" s="55" t="s">
        <v>113</v>
      </c>
      <c r="Q1" s="55" t="s">
        <v>170</v>
      </c>
      <c r="R1" s="55" t="s">
        <v>171</v>
      </c>
      <c r="S1" s="55" t="s">
        <v>172</v>
      </c>
      <c r="T1" s="55" t="s">
        <v>146</v>
      </c>
      <c r="U1" s="55" t="s">
        <v>147</v>
      </c>
      <c r="V1" s="55" t="s">
        <v>173</v>
      </c>
      <c r="W1" s="55" t="s">
        <v>111</v>
      </c>
      <c r="X1" s="55" t="s">
        <v>174</v>
      </c>
      <c r="Y1" s="55" t="s">
        <v>110</v>
      </c>
      <c r="Z1" s="55" t="s">
        <v>175</v>
      </c>
      <c r="AA1" s="55" t="s">
        <v>176</v>
      </c>
      <c r="AB1" s="55" t="s">
        <v>177</v>
      </c>
      <c r="AC1" s="55" t="s">
        <v>112</v>
      </c>
    </row>
    <row r="2" customFormat="false" ht="15" hidden="false" customHeight="false" outlineLevel="0" collapsed="false">
      <c r="A2" s="72" t="n">
        <v>2001</v>
      </c>
      <c r="B2" s="72" t="s">
        <v>178</v>
      </c>
      <c r="C2" s="72" t="n">
        <v>1</v>
      </c>
      <c r="D2" s="72" t="s">
        <v>179</v>
      </c>
      <c r="E2" s="72" t="n">
        <v>89240215000</v>
      </c>
      <c r="G2" s="72" t="n">
        <v>32030854000</v>
      </c>
      <c r="I2" s="72" t="n">
        <v>26506272680.6166</v>
      </c>
      <c r="J2" s="72" t="n">
        <v>62733942319.3833</v>
      </c>
      <c r="K2" s="82" t="n">
        <v>9505142775.66414</v>
      </c>
      <c r="L2" s="72" t="n">
        <v>11462459000</v>
      </c>
      <c r="M2" s="72" t="n">
        <v>1736736212.12121</v>
      </c>
      <c r="N2" s="84" t="n">
        <v>113817</v>
      </c>
      <c r="O2" s="72" t="n">
        <v>12367</v>
      </c>
      <c r="P2" s="72" t="n">
        <v>3539644000</v>
      </c>
      <c r="Q2" s="72" t="n">
        <v>2057120000</v>
      </c>
      <c r="R2" s="72" t="n">
        <v>1075519000</v>
      </c>
      <c r="U2" s="72" t="n">
        <v>3127411000</v>
      </c>
      <c r="V2" s="72" t="n">
        <v>6829485000</v>
      </c>
      <c r="W2" s="72" t="n">
        <v>28622363000</v>
      </c>
      <c r="X2" s="72" t="n">
        <v>28622363000</v>
      </c>
      <c r="Y2" s="77" t="n">
        <v>39864241987.7854</v>
      </c>
      <c r="Z2" s="72" t="n">
        <v>20568395000</v>
      </c>
      <c r="AA2" s="72" t="n">
        <v>0.357856802694052</v>
      </c>
      <c r="AB2" s="72" t="n">
        <v>281424.163349939</v>
      </c>
      <c r="AC2" s="77" t="n">
        <f aca="false">I2-L2-U2-V2</f>
        <v>5086917680.6166</v>
      </c>
      <c r="AD2" s="72" t="n">
        <f aca="false">AC2/Y2</f>
        <v>0.127606030541739</v>
      </c>
    </row>
    <row r="3" customFormat="false" ht="15" hidden="false" customHeight="false" outlineLevel="0" collapsed="false">
      <c r="A3" s="72" t="n">
        <v>2002</v>
      </c>
      <c r="B3" s="72" t="s">
        <v>178</v>
      </c>
      <c r="C3" s="72" t="n">
        <v>2</v>
      </c>
      <c r="D3" s="72" t="s">
        <v>179</v>
      </c>
      <c r="E3" s="72" t="n">
        <v>104934883446</v>
      </c>
      <c r="G3" s="72" t="n">
        <v>39381506784</v>
      </c>
      <c r="I3" s="72" t="n">
        <v>32589107907.9646</v>
      </c>
      <c r="J3" s="72" t="n">
        <v>72345775538.0354</v>
      </c>
      <c r="K3" s="82" t="n">
        <v>10961481142.1266</v>
      </c>
      <c r="L3" s="72" t="n">
        <v>9421078355</v>
      </c>
      <c r="M3" s="72" t="n">
        <v>1427436114.39394</v>
      </c>
      <c r="N3" s="84" t="n">
        <v>76575</v>
      </c>
      <c r="O3" s="72" t="n">
        <v>2884</v>
      </c>
      <c r="U3" s="72" t="n">
        <v>3758469943</v>
      </c>
      <c r="V3" s="72" t="n">
        <v>5924169665</v>
      </c>
      <c r="X3" s="72" t="n">
        <v>38087990148.781</v>
      </c>
      <c r="Y3" s="77" t="n">
        <v>50476907405.3015</v>
      </c>
      <c r="Z3" s="72" t="n">
        <v>29960428429</v>
      </c>
      <c r="AA3" s="72" t="n">
        <v>0.239225949547152</v>
      </c>
      <c r="AB3" s="72" t="n">
        <v>514286.735670911</v>
      </c>
      <c r="AC3" s="77" t="n">
        <f aca="false">I3-L3-U3-V3</f>
        <v>13485389944.9646</v>
      </c>
      <c r="AD3" s="72" t="n">
        <f aca="false">AC3/Y3</f>
        <v>0.267159591150948</v>
      </c>
    </row>
    <row r="4" customFormat="false" ht="15" hidden="false" customHeight="false" outlineLevel="0" collapsed="false">
      <c r="A4" s="72" t="n">
        <v>2003</v>
      </c>
      <c r="B4" s="72" t="s">
        <v>178</v>
      </c>
      <c r="C4" s="72" t="n">
        <v>2</v>
      </c>
      <c r="D4" s="72" t="s">
        <v>179</v>
      </c>
      <c r="E4" s="72" t="n">
        <v>139349946300</v>
      </c>
      <c r="G4" s="72" t="n">
        <v>41497361974</v>
      </c>
      <c r="I4" s="72" t="n">
        <v>34340027025.4766</v>
      </c>
      <c r="J4" s="72" t="n">
        <v>105009919274.523</v>
      </c>
      <c r="K4" s="82" t="n">
        <v>15910593829.4732</v>
      </c>
      <c r="L4" s="72" t="n">
        <v>10878789626</v>
      </c>
      <c r="M4" s="72" t="n">
        <v>1648301458.48485</v>
      </c>
      <c r="N4" s="84" t="n">
        <v>83356</v>
      </c>
      <c r="O4" s="72" t="n">
        <v>2884</v>
      </c>
      <c r="P4" s="72" t="n">
        <v>6899547696</v>
      </c>
      <c r="Q4" s="72" t="n">
        <v>5558448986</v>
      </c>
      <c r="R4" s="72" t="n">
        <v>5256351292</v>
      </c>
      <c r="U4" s="72" t="n">
        <v>4714590576</v>
      </c>
      <c r="V4" s="72" t="n">
        <v>6090823735</v>
      </c>
      <c r="W4" s="72" t="n">
        <v>48103564060</v>
      </c>
      <c r="X4" s="72" t="n">
        <v>48103564060</v>
      </c>
      <c r="Y4" s="77" t="n">
        <v>65662459347.9581</v>
      </c>
      <c r="Z4" s="72" t="n">
        <v>30618572348</v>
      </c>
      <c r="AA4" s="72" t="n">
        <v>0.262156173513296</v>
      </c>
      <c r="AB4" s="72" t="n">
        <v>497832.933130189</v>
      </c>
      <c r="AC4" s="77" t="n">
        <f aca="false">I4-L4-U4-V4</f>
        <v>12655823088.4766</v>
      </c>
      <c r="AD4" s="72" t="n">
        <f aca="false">AC4/Y4</f>
        <v>0.192740619436914</v>
      </c>
    </row>
    <row r="5" s="78" customFormat="true" ht="15" hidden="false" customHeight="false" outlineLevel="0" collapsed="false">
      <c r="A5" s="78" t="n">
        <v>2004</v>
      </c>
      <c r="B5" s="78" t="s">
        <v>178</v>
      </c>
      <c r="C5" s="78" t="n">
        <v>2</v>
      </c>
      <c r="D5" s="78" t="s">
        <v>179</v>
      </c>
      <c r="E5" s="78" t="n">
        <v>179010449525</v>
      </c>
      <c r="G5" s="78" t="n">
        <v>52621053735</v>
      </c>
      <c r="I5" s="78" t="n">
        <v>43545139291.0502</v>
      </c>
      <c r="J5" s="78" t="n">
        <v>135465310233.95</v>
      </c>
      <c r="K5" s="82" t="n">
        <v>20525047005.1439</v>
      </c>
      <c r="L5" s="78" t="n">
        <v>12139435357</v>
      </c>
      <c r="M5" s="78" t="n">
        <v>1839308387.42424</v>
      </c>
      <c r="N5" s="85" t="n">
        <v>88653</v>
      </c>
      <c r="O5" s="78" t="n">
        <v>3252</v>
      </c>
      <c r="P5" s="78" t="n">
        <v>6396127195</v>
      </c>
      <c r="Q5" s="78" t="n">
        <v>3154522472</v>
      </c>
      <c r="R5" s="78" t="n">
        <v>1599697016</v>
      </c>
      <c r="S5" s="78" t="n">
        <v>1743085329</v>
      </c>
      <c r="T5" s="79" t="n">
        <v>3342782345</v>
      </c>
      <c r="U5" s="78" t="n">
        <v>5136920717</v>
      </c>
      <c r="V5" s="78" t="n">
        <v>7039185004</v>
      </c>
      <c r="W5" s="78" t="n">
        <v>50525577181</v>
      </c>
      <c r="X5" s="78" t="n">
        <v>50525577181</v>
      </c>
      <c r="Y5" s="80" t="n">
        <v>72889932573.5682</v>
      </c>
      <c r="Z5" s="78" t="n">
        <v>40481618378</v>
      </c>
      <c r="AA5" s="78" t="n">
        <v>0.230695406027676</v>
      </c>
      <c r="AB5" s="78" t="n">
        <v>593562.019728605</v>
      </c>
      <c r="AC5" s="80" t="n">
        <f aca="false">I5-L5-U5-V5</f>
        <v>19229598213.0502</v>
      </c>
      <c r="AD5" s="78" t="n">
        <f aca="false">AC5/Y5</f>
        <v>0.263816929637597</v>
      </c>
    </row>
    <row r="6" customFormat="false" ht="15" hidden="false" customHeight="false" outlineLevel="0" collapsed="false">
      <c r="A6" s="72" t="n">
        <v>2005</v>
      </c>
      <c r="B6" s="72" t="s">
        <v>178</v>
      </c>
      <c r="C6" s="72" t="n">
        <v>2</v>
      </c>
      <c r="D6" s="72" t="s">
        <v>179</v>
      </c>
      <c r="E6" s="72" t="n">
        <v>184862461743</v>
      </c>
      <c r="G6" s="72" t="n">
        <v>53991760706</v>
      </c>
      <c r="I6" s="72" t="n">
        <v>44679431019.2241</v>
      </c>
      <c r="J6" s="72" t="n">
        <v>140183030723.776</v>
      </c>
      <c r="K6" s="82" t="n">
        <v>21239853139.966</v>
      </c>
      <c r="L6" s="72" t="n">
        <v>14615233399</v>
      </c>
      <c r="M6" s="72" t="n">
        <v>2214429302.87879</v>
      </c>
      <c r="N6" s="84" t="n">
        <v>102414</v>
      </c>
      <c r="O6" s="72" t="n">
        <v>3445</v>
      </c>
      <c r="P6" s="72" t="n">
        <v>6464007473</v>
      </c>
      <c r="Q6" s="72" t="n">
        <v>2747259075</v>
      </c>
      <c r="R6" s="72" t="n">
        <v>2116008436</v>
      </c>
      <c r="S6" s="72" t="n">
        <v>2111494326</v>
      </c>
      <c r="T6" s="81" t="n">
        <v>4227502762</v>
      </c>
      <c r="U6" s="72" t="n">
        <v>5058292667</v>
      </c>
      <c r="V6" s="72" t="n">
        <v>7651885206</v>
      </c>
      <c r="W6" s="72" t="n">
        <v>52418214093</v>
      </c>
      <c r="X6" s="72" t="n">
        <v>52418214093</v>
      </c>
      <c r="Y6" s="77" t="n">
        <v>75872496535.8448</v>
      </c>
      <c r="Z6" s="72" t="n">
        <v>39376527307</v>
      </c>
      <c r="AA6" s="72" t="n">
        <v>0.270693772677353</v>
      </c>
      <c r="AB6" s="72" t="n">
        <v>527191.211221122</v>
      </c>
      <c r="AC6" s="77" t="n">
        <f aca="false">I6-L6-U6-V6</f>
        <v>17354019747.2241</v>
      </c>
      <c r="AD6" s="72" t="n">
        <f aca="false">AC6/Y6</f>
        <v>0.228726093638232</v>
      </c>
    </row>
    <row r="7" customFormat="false" ht="15" hidden="false" customHeight="false" outlineLevel="0" collapsed="false">
      <c r="A7" s="72" t="n">
        <v>2006</v>
      </c>
      <c r="B7" s="72" t="s">
        <v>178</v>
      </c>
      <c r="C7" s="72" t="n">
        <v>3</v>
      </c>
      <c r="D7" s="72" t="s">
        <v>179</v>
      </c>
      <c r="E7" s="72" t="n">
        <v>185039597745.125</v>
      </c>
      <c r="G7" s="72" t="n">
        <v>54017527699.0724</v>
      </c>
      <c r="I7" s="72" t="n">
        <v>44700753802.0802</v>
      </c>
      <c r="J7" s="72" t="n">
        <v>140338843943.045</v>
      </c>
      <c r="K7" s="82" t="n">
        <v>21263461203.4916</v>
      </c>
      <c r="L7" s="72" t="n">
        <v>13982311018.7924</v>
      </c>
      <c r="M7" s="72" t="n">
        <v>2118531972.54431</v>
      </c>
      <c r="N7" s="84" t="n">
        <v>63928.8527653802</v>
      </c>
      <c r="P7" s="72" t="n">
        <v>6516136919.59274</v>
      </c>
      <c r="Q7" s="72" t="n">
        <v>4227827579.78766</v>
      </c>
      <c r="R7" s="72" t="n">
        <v>2182756205.91033</v>
      </c>
      <c r="S7" s="72" t="n">
        <v>1425871108.60551</v>
      </c>
      <c r="T7" s="81" t="n">
        <v>3608627314.51584</v>
      </c>
      <c r="U7" s="72" t="n">
        <v>4256913615.71668</v>
      </c>
      <c r="V7" s="72" t="n">
        <v>8466464545.55182</v>
      </c>
      <c r="W7" s="72" t="n">
        <v>57185676835.0951</v>
      </c>
      <c r="X7" s="72" t="n">
        <v>57185676835.0951</v>
      </c>
      <c r="Y7" s="77" t="n">
        <v>80567670011.131</v>
      </c>
      <c r="Z7" s="72" t="n">
        <v>40035216680.28</v>
      </c>
      <c r="AA7" s="72" t="n">
        <v>0.258847666940384</v>
      </c>
      <c r="AB7" s="72" t="n">
        <v>844963.195215118</v>
      </c>
      <c r="AC7" s="77" t="n">
        <f aca="false">I7-L7-U7-V7</f>
        <v>17995064622.0193</v>
      </c>
      <c r="AD7" s="72" t="n">
        <f aca="false">AC7/Y7</f>
        <v>0.223353419796466</v>
      </c>
    </row>
    <row r="8" customFormat="false" ht="15" hidden="false" customHeight="false" outlineLevel="0" collapsed="false">
      <c r="A8" s="72" t="n">
        <v>2007</v>
      </c>
      <c r="B8" s="72" t="s">
        <v>178</v>
      </c>
      <c r="C8" s="72" t="n">
        <v>3</v>
      </c>
      <c r="D8" s="72" t="s">
        <v>179</v>
      </c>
      <c r="E8" s="72" t="n">
        <v>235394001073.246</v>
      </c>
      <c r="G8" s="72" t="n">
        <v>70661648001.256</v>
      </c>
      <c r="I8" s="72" t="n">
        <v>58474148394.0154</v>
      </c>
      <c r="J8" s="72" t="n">
        <v>176919852679.23</v>
      </c>
      <c r="K8" s="82" t="n">
        <v>26806038284.7319</v>
      </c>
      <c r="L8" s="72" t="n">
        <v>19975832217.4233</v>
      </c>
      <c r="M8" s="72" t="n">
        <v>3026641245.06414</v>
      </c>
      <c r="N8" s="84" t="n">
        <v>100576.012248596</v>
      </c>
      <c r="P8" s="72" t="n">
        <v>17359289524.5189</v>
      </c>
      <c r="Q8" s="72" t="n">
        <v>5954778083.05058</v>
      </c>
      <c r="R8" s="72" t="n">
        <v>2050142695.55975</v>
      </c>
      <c r="S8" s="72" t="n">
        <v>2560331482.56035</v>
      </c>
      <c r="T8" s="81" t="n">
        <v>4610474178.1201</v>
      </c>
      <c r="U8" s="72" t="n">
        <v>5934830945.59986</v>
      </c>
      <c r="V8" s="72" t="n">
        <v>8452985175.97896</v>
      </c>
      <c r="W8" s="72" t="n">
        <v>88288212567.6234</v>
      </c>
      <c r="X8" s="72" t="n">
        <v>88288212567.6234</v>
      </c>
      <c r="Y8" s="77" t="n">
        <v>118120892097.419</v>
      </c>
      <c r="Z8" s="72" t="n">
        <v>50685815783.8327</v>
      </c>
      <c r="AA8" s="72" t="n">
        <v>0.282696947813448</v>
      </c>
      <c r="AB8" s="72" t="n">
        <v>702569.593101381</v>
      </c>
      <c r="AC8" s="77" t="n">
        <f aca="false">I8-L8-U8-V8</f>
        <v>24110500055.0133</v>
      </c>
      <c r="AD8" s="72" t="n">
        <f aca="false">AC8/Y8</f>
        <v>0.204117151732383</v>
      </c>
    </row>
    <row r="9" customFormat="false" ht="15" hidden="false" customHeight="false" outlineLevel="0" collapsed="false">
      <c r="A9" s="72" t="n">
        <v>2008</v>
      </c>
      <c r="B9" s="72" t="s">
        <v>178</v>
      </c>
      <c r="C9" s="72" t="n">
        <v>4</v>
      </c>
      <c r="D9" s="72" t="s">
        <v>180</v>
      </c>
      <c r="E9" s="72" t="n">
        <v>284995693319.884</v>
      </c>
      <c r="G9" s="72" t="n">
        <v>80292211343.2356</v>
      </c>
      <c r="I9" s="72" t="n">
        <v>66443662351.1039</v>
      </c>
      <c r="J9" s="72" t="n">
        <v>218552030968.78</v>
      </c>
      <c r="K9" s="82" t="n">
        <v>33113944086.1788</v>
      </c>
      <c r="L9" s="72" t="n">
        <v>24291156273.8742</v>
      </c>
      <c r="M9" s="72" t="n">
        <v>3680478223.31427</v>
      </c>
      <c r="N9" s="84" t="n">
        <v>103902.68580704</v>
      </c>
      <c r="P9" s="72" t="n">
        <v>17442926160.2144</v>
      </c>
      <c r="Q9" s="72" t="n">
        <v>10194336167.0143</v>
      </c>
      <c r="R9" s="72" t="n">
        <v>3655133361.76916</v>
      </c>
      <c r="S9" s="72" t="n">
        <v>3746090502.26123</v>
      </c>
      <c r="T9" s="81" t="n">
        <v>7401223864.0304</v>
      </c>
      <c r="U9" s="72" t="n">
        <v>8098413006.68778</v>
      </c>
      <c r="V9" s="72" t="n">
        <v>7355810016.85636</v>
      </c>
      <c r="W9" s="72" t="n">
        <v>107971212345.296</v>
      </c>
      <c r="X9" s="72" t="n">
        <v>107971212345.296</v>
      </c>
      <c r="Y9" s="77" t="n">
        <v>144765634654.789</v>
      </c>
      <c r="Z9" s="72" t="n">
        <v>56001055069.3615</v>
      </c>
      <c r="AA9" s="72" t="n">
        <v>0.302534403617726</v>
      </c>
      <c r="AB9" s="72" t="n">
        <v>772763.578916025</v>
      </c>
      <c r="AC9" s="77" t="n">
        <f aca="false">I9-L9-U9-V9</f>
        <v>26698283053.6856</v>
      </c>
      <c r="AD9" s="72" t="n">
        <f aca="false">AC9/Y9</f>
        <v>0.184424177169884</v>
      </c>
    </row>
    <row r="10" customFormat="false" ht="15" hidden="false" customHeight="false" outlineLevel="0" collapsed="false">
      <c r="A10" s="72" t="n">
        <v>2009</v>
      </c>
      <c r="B10" s="72" t="s">
        <v>178</v>
      </c>
      <c r="C10" s="72" t="n">
        <v>4</v>
      </c>
      <c r="D10" s="72" t="s">
        <v>180</v>
      </c>
      <c r="E10" s="72" t="n">
        <v>262347159926.776</v>
      </c>
      <c r="G10" s="72" t="n">
        <v>78234883877.8204</v>
      </c>
      <c r="I10" s="72" t="n">
        <v>64741176279.6548</v>
      </c>
      <c r="J10" s="72" t="n">
        <v>197605983647.122</v>
      </c>
      <c r="K10" s="82" t="n">
        <v>29940300552.5942</v>
      </c>
      <c r="L10" s="72" t="n">
        <v>29743370612.9925</v>
      </c>
      <c r="M10" s="72" t="n">
        <v>4506571304.99886</v>
      </c>
      <c r="N10" s="84" t="n">
        <v>104036.647790835</v>
      </c>
      <c r="P10" s="72" t="n">
        <v>7961085386.42427</v>
      </c>
      <c r="Q10" s="72" t="n">
        <v>5801409600.97941</v>
      </c>
      <c r="R10" s="72" t="n">
        <v>2415847160.2104</v>
      </c>
      <c r="S10" s="72" t="n">
        <v>1477856506.79828</v>
      </c>
      <c r="T10" s="81" t="n">
        <v>3893703667.00868</v>
      </c>
      <c r="U10" s="72" t="n">
        <v>7803216717.64234</v>
      </c>
      <c r="V10" s="72" t="n">
        <v>9175908840.98326</v>
      </c>
      <c r="W10" s="72" t="n">
        <v>93192117548.196</v>
      </c>
      <c r="X10" s="72" t="n">
        <v>93192117548.196</v>
      </c>
      <c r="Y10" s="77" t="n">
        <v>127638989405.789</v>
      </c>
      <c r="Z10" s="72" t="n">
        <v>48491513264.8279</v>
      </c>
      <c r="AA10" s="72" t="n">
        <v>0.380180414908556</v>
      </c>
      <c r="AB10" s="72" t="n">
        <v>751993.509394024</v>
      </c>
      <c r="AC10" s="77" t="n">
        <f aca="false">I10-L10-U10-V10</f>
        <v>18018680108.0367</v>
      </c>
      <c r="AD10" s="72" t="n">
        <f aca="false">AC10/Y10</f>
        <v>0.141169090980122</v>
      </c>
    </row>
    <row r="11" customFormat="false" ht="15" hidden="false" customHeight="false" outlineLevel="0" collapsed="false">
      <c r="A11" s="72" t="n">
        <v>2010</v>
      </c>
      <c r="B11" s="72" t="s">
        <v>178</v>
      </c>
      <c r="C11" s="72" t="n">
        <v>4</v>
      </c>
      <c r="D11" s="72" t="s">
        <v>180</v>
      </c>
      <c r="E11" s="72" t="n">
        <v>298614685114.745</v>
      </c>
      <c r="G11" s="72" t="n">
        <v>95564090931.2523</v>
      </c>
      <c r="I11" s="72" t="n">
        <v>79081496006.9132</v>
      </c>
      <c r="J11" s="72" t="n">
        <v>219533189107.831</v>
      </c>
      <c r="K11" s="82" t="n">
        <v>33262604410.2775</v>
      </c>
      <c r="L11" s="72" t="n">
        <v>34131850283.3496</v>
      </c>
      <c r="M11" s="72" t="n">
        <v>5171492467.17419</v>
      </c>
      <c r="N11" s="84" t="n">
        <v>112274.193929867</v>
      </c>
      <c r="P11" s="72" t="n">
        <v>10581328732.3151</v>
      </c>
      <c r="Q11" s="72" t="n">
        <v>6527266606.34314</v>
      </c>
      <c r="R11" s="72" t="n">
        <v>2632960238.70079</v>
      </c>
      <c r="S11" s="72" t="n">
        <v>1822989811.24126</v>
      </c>
      <c r="T11" s="81" t="n">
        <v>4455950049.94205</v>
      </c>
      <c r="U11" s="72" t="n">
        <v>8154845648.11994</v>
      </c>
      <c r="V11" s="72" t="n">
        <v>12317165605.5467</v>
      </c>
      <c r="W11" s="72" t="n">
        <v>99737810059.4515</v>
      </c>
      <c r="X11" s="72" t="n">
        <v>99737810059.4515</v>
      </c>
      <c r="Y11" s="77" t="n">
        <v>138171906936.903</v>
      </c>
      <c r="Z11" s="72" t="n">
        <v>61432240647.9027</v>
      </c>
      <c r="AA11" s="72" t="n">
        <v>0.357161879014824</v>
      </c>
      <c r="AB11" s="72" t="n">
        <v>851167.018762544</v>
      </c>
      <c r="AC11" s="77" t="n">
        <f aca="false">I11-L11-U11-V11</f>
        <v>24477634469.897</v>
      </c>
      <c r="AD11" s="72" t="n">
        <f aca="false">AC11/Y11</f>
        <v>0.17715348229995</v>
      </c>
    </row>
    <row r="12" customFormat="false" ht="15" hidden="false" customHeight="false" outlineLevel="0" collapsed="false">
      <c r="A12" s="72" t="n">
        <v>2011</v>
      </c>
      <c r="B12" s="72" t="s">
        <v>178</v>
      </c>
      <c r="C12" s="72" t="n">
        <v>4</v>
      </c>
      <c r="D12" s="72" t="s">
        <v>180</v>
      </c>
      <c r="E12" s="72" t="n">
        <v>322720110758.961</v>
      </c>
      <c r="G12" s="72" t="n">
        <v>97706590220.2346</v>
      </c>
      <c r="I12" s="72" t="n">
        <v>80854463732.7126</v>
      </c>
      <c r="J12" s="72" t="n">
        <v>241865647026.249</v>
      </c>
      <c r="K12" s="82" t="n">
        <v>36646310155.4922</v>
      </c>
      <c r="L12" s="72" t="n">
        <v>38240756792.5859</v>
      </c>
      <c r="M12" s="72" t="n">
        <v>5794054059.48271</v>
      </c>
      <c r="N12" s="84" t="n">
        <v>109399.623065035</v>
      </c>
      <c r="O12" s="72" t="n">
        <v>2202</v>
      </c>
      <c r="T12" s="81"/>
      <c r="U12" s="72" t="n">
        <v>8184811603.98002</v>
      </c>
      <c r="V12" s="72" t="n">
        <v>18825379389.4866</v>
      </c>
      <c r="X12" s="72" t="n">
        <v>122150149877.437</v>
      </c>
      <c r="Y12" s="77" t="n">
        <v>164590514092.412</v>
      </c>
      <c r="Z12" s="72" t="n">
        <v>59465833427.6488</v>
      </c>
      <c r="AA12" s="72" t="n">
        <v>0.39138359763031</v>
      </c>
      <c r="AB12" s="72" t="n">
        <v>893116.333336454</v>
      </c>
      <c r="AC12" s="77" t="n">
        <f aca="false">I12-L12-U12-V12</f>
        <v>15603515946.6601</v>
      </c>
      <c r="AD12" s="72" t="n">
        <f aca="false">AC12/Y12</f>
        <v>0.0948020366343788</v>
      </c>
    </row>
    <row r="13" customFormat="false" ht="15" hidden="false" customHeight="false" outlineLevel="0" collapsed="false">
      <c r="A13" s="72" t="n">
        <v>2012</v>
      </c>
      <c r="B13" s="72" t="s">
        <v>178</v>
      </c>
      <c r="C13" s="72" t="n">
        <v>4</v>
      </c>
      <c r="D13" s="72" t="s">
        <v>180</v>
      </c>
      <c r="E13" s="72" t="n">
        <v>366495477250.288</v>
      </c>
      <c r="G13" s="72" t="n">
        <v>99292174533.5738</v>
      </c>
      <c r="I13" s="72" t="n">
        <v>82166571432.6033</v>
      </c>
      <c r="J13" s="72" t="n">
        <v>284328905817.684</v>
      </c>
      <c r="K13" s="82" t="n">
        <v>43080137245.1037</v>
      </c>
      <c r="L13" s="72" t="n">
        <v>43787874689.4251</v>
      </c>
      <c r="M13" s="72" t="n">
        <v>6634526468.09472</v>
      </c>
      <c r="N13" s="84" t="n">
        <v>110138.749533575</v>
      </c>
      <c r="P13" s="72" t="n">
        <v>17144628448.139</v>
      </c>
      <c r="Q13" s="72" t="n">
        <v>11867620456.3477</v>
      </c>
      <c r="R13" s="72" t="n">
        <v>5974186587.40513</v>
      </c>
      <c r="S13" s="72" t="n">
        <v>3152613515.84694</v>
      </c>
      <c r="T13" s="81" t="n">
        <v>9126800103.25207</v>
      </c>
      <c r="U13" s="72" t="n">
        <v>9200641100.65636</v>
      </c>
      <c r="V13" s="72" t="n">
        <v>16525006971.0191</v>
      </c>
      <c r="W13" s="72" t="n">
        <v>118070224347.511</v>
      </c>
      <c r="X13" s="72" t="n">
        <v>118070224347.511</v>
      </c>
      <c r="Y13" s="77" t="n">
        <v>167784888060.709</v>
      </c>
      <c r="Z13" s="72" t="n">
        <v>55504299844.1487</v>
      </c>
      <c r="AA13" s="72" t="n">
        <v>0.441000259034704</v>
      </c>
      <c r="AB13" s="72" t="n">
        <v>901518.992671195</v>
      </c>
      <c r="AC13" s="77" t="n">
        <f aca="false">I13-L13-U13-V13</f>
        <v>12653048671.5027</v>
      </c>
      <c r="AD13" s="72" t="n">
        <f aca="false">AC13/Y13</f>
        <v>0.0754123259713624</v>
      </c>
    </row>
    <row r="14" customFormat="false" ht="15" hidden="false" customHeight="false" outlineLevel="0" collapsed="false">
      <c r="A14" s="72" t="n">
        <v>2013</v>
      </c>
      <c r="B14" s="72" t="s">
        <v>178</v>
      </c>
      <c r="C14" s="72" t="n">
        <v>4</v>
      </c>
      <c r="D14" s="72" t="s">
        <v>180</v>
      </c>
      <c r="E14" s="72" t="n">
        <v>393495580200.293</v>
      </c>
      <c r="G14" s="72" t="n">
        <v>111896035273.734</v>
      </c>
      <c r="I14" s="72" t="n">
        <v>92596557770.3767</v>
      </c>
      <c r="J14" s="72" t="n">
        <v>300899022429.916</v>
      </c>
      <c r="K14" s="82" t="n">
        <v>45590760974.2297</v>
      </c>
      <c r="L14" s="72" t="n">
        <v>50186679222.5088</v>
      </c>
      <c r="M14" s="72" t="n">
        <v>7604042306.44073</v>
      </c>
      <c r="N14" s="84" t="n">
        <v>109797.749814658</v>
      </c>
      <c r="P14" s="72" t="n">
        <v>28790672811.2985</v>
      </c>
      <c r="Q14" s="72" t="n">
        <v>18295653366.8584</v>
      </c>
      <c r="R14" s="72" t="n">
        <v>2479792576.57471</v>
      </c>
      <c r="S14" s="72" t="n">
        <v>16298811702.8586</v>
      </c>
      <c r="T14" s="81" t="n">
        <v>18778604279.4333</v>
      </c>
      <c r="U14" s="72" t="n">
        <v>9634456614.28344</v>
      </c>
      <c r="V14" s="72" t="n">
        <v>20496674468.1147</v>
      </c>
      <c r="W14" s="72" t="n">
        <v>130303268121.312</v>
      </c>
      <c r="X14" s="72" t="n">
        <v>130303268121.312</v>
      </c>
      <c r="Y14" s="77" t="n">
        <v>183498071401.983</v>
      </c>
      <c r="Z14" s="72" t="n">
        <v>61709356051.2255</v>
      </c>
      <c r="AA14" s="72" t="n">
        <v>0.4485116840801</v>
      </c>
      <c r="AB14" s="72" t="n">
        <v>1019110.45957334</v>
      </c>
      <c r="AC14" s="77" t="n">
        <f aca="false">I14-L14-U14-V14</f>
        <v>12278747465.4698</v>
      </c>
      <c r="AD14" s="72" t="n">
        <f aca="false">AC14/Y14</f>
        <v>0.0669148584050844</v>
      </c>
    </row>
    <row r="15" customFormat="false" ht="15" hidden="false" customHeight="false" outlineLevel="0" collapsed="false">
      <c r="A15" s="72" t="n">
        <v>2014</v>
      </c>
      <c r="B15" s="72" t="s">
        <v>178</v>
      </c>
      <c r="C15" s="72" t="n">
        <v>4</v>
      </c>
      <c r="D15" s="72" t="s">
        <v>180</v>
      </c>
      <c r="E15" s="72" t="n">
        <v>453640919223.416</v>
      </c>
      <c r="G15" s="72" t="n">
        <v>130780131947.159</v>
      </c>
      <c r="I15" s="72" t="n">
        <v>108223584628.696</v>
      </c>
      <c r="J15" s="72" t="n">
        <v>345417334594.719</v>
      </c>
      <c r="K15" s="82" t="n">
        <v>52335959787.0787</v>
      </c>
      <c r="L15" s="72" t="n">
        <v>56837646365.6924</v>
      </c>
      <c r="M15" s="72" t="n">
        <v>8611764600.86248</v>
      </c>
      <c r="N15" s="84" t="n">
        <v>107700.426949954</v>
      </c>
      <c r="P15" s="72" t="n">
        <v>78176629453.8231</v>
      </c>
      <c r="Q15" s="72" t="n">
        <v>52611954747.577</v>
      </c>
      <c r="R15" s="72" t="n">
        <v>2217119087.20402</v>
      </c>
      <c r="S15" s="72" t="n">
        <v>48143911013.6752</v>
      </c>
      <c r="T15" s="81" t="n">
        <v>50361030100.8792</v>
      </c>
      <c r="U15" s="72" t="n">
        <v>12235321829.4487</v>
      </c>
      <c r="V15" s="72" t="n">
        <v>22082788548.337</v>
      </c>
      <c r="W15" s="72" t="n">
        <v>198429417562.734</v>
      </c>
      <c r="X15" s="72" t="n">
        <v>198429417562.734</v>
      </c>
      <c r="Y15" s="77" t="n">
        <v>259377141950.675</v>
      </c>
      <c r="Z15" s="72" t="n">
        <v>73942485581.4665</v>
      </c>
      <c r="AA15" s="72" t="n">
        <v>0.434604595663333</v>
      </c>
      <c r="AB15" s="72" t="n">
        <v>1214295.39000741</v>
      </c>
      <c r="AC15" s="77" t="n">
        <f aca="false">I15-L15-U15-V15</f>
        <v>17067827885.2179</v>
      </c>
      <c r="AD15" s="72" t="n">
        <f aca="false">AC15/Y15</f>
        <v>0.0658031303639842</v>
      </c>
    </row>
    <row r="16" customFormat="false" ht="15" hidden="false" customHeight="false" outlineLevel="0" collapsed="false">
      <c r="A16" s="72" t="n">
        <v>2015</v>
      </c>
      <c r="B16" s="72" t="s">
        <v>178</v>
      </c>
      <c r="C16" s="72" t="n">
        <v>4</v>
      </c>
      <c r="D16" s="72" t="s">
        <v>180</v>
      </c>
      <c r="E16" s="72" t="n">
        <v>478094966223.237</v>
      </c>
      <c r="G16" s="72" t="n">
        <v>151939673902.592</v>
      </c>
      <c r="I16" s="72" t="n">
        <v>125733595097.592</v>
      </c>
      <c r="J16" s="72" t="n">
        <v>352361371125.645</v>
      </c>
      <c r="K16" s="82" t="n">
        <v>53388086534.1887</v>
      </c>
      <c r="L16" s="72" t="n">
        <v>61103872632.9691</v>
      </c>
      <c r="M16" s="72" t="n">
        <v>9258162520.14684</v>
      </c>
      <c r="N16" s="84" t="n">
        <v>103791.208900956</v>
      </c>
      <c r="P16" s="72" t="n">
        <v>26806672376.5168</v>
      </c>
      <c r="Q16" s="72" t="n">
        <v>16410900596.9536</v>
      </c>
      <c r="R16" s="72" t="n">
        <v>1393260740.63695</v>
      </c>
      <c r="S16" s="72" t="n">
        <v>6282740266.2848</v>
      </c>
      <c r="T16" s="81" t="n">
        <v>7676001006.92175</v>
      </c>
      <c r="U16" s="72" t="n">
        <v>14988600854.6759</v>
      </c>
      <c r="V16" s="72" t="n">
        <v>24800676496.6772</v>
      </c>
      <c r="W16" s="72" t="n">
        <v>207813793849.166</v>
      </c>
      <c r="X16" s="72" t="n">
        <v>207813793849.166</v>
      </c>
      <c r="Y16" s="77" t="n">
        <v>270460042903.502</v>
      </c>
      <c r="Z16" s="72" t="n">
        <v>90835801269.6229</v>
      </c>
      <c r="AA16" s="72" t="n">
        <v>0.402158771725037</v>
      </c>
      <c r="AB16" s="72" t="n">
        <v>1463897.33303503</v>
      </c>
      <c r="AC16" s="77" t="n">
        <f aca="false">I16-L16-U16-V16</f>
        <v>24840445113.2698</v>
      </c>
      <c r="AD16" s="72" t="n">
        <f aca="false">AC16/Y16</f>
        <v>0.0918451570390849</v>
      </c>
    </row>
    <row r="17" customFormat="false" ht="15" hidden="false" customHeight="false" outlineLevel="0" collapsed="false">
      <c r="A17" s="72" t="n">
        <v>2016</v>
      </c>
      <c r="B17" s="72" t="s">
        <v>178</v>
      </c>
      <c r="C17" s="72" t="n">
        <v>4</v>
      </c>
      <c r="D17" s="72" t="s">
        <v>180</v>
      </c>
      <c r="E17" s="72" t="n">
        <v>488282856955.128</v>
      </c>
      <c r="G17" s="72" t="n">
        <v>155382839152.649</v>
      </c>
      <c r="I17" s="72" t="n">
        <v>128582893995.537</v>
      </c>
      <c r="J17" s="72" t="n">
        <v>359699962959.592</v>
      </c>
      <c r="K17" s="82" t="n">
        <v>54499994387.8169</v>
      </c>
      <c r="L17" s="72" t="n">
        <v>65854041864.7401</v>
      </c>
      <c r="M17" s="72" t="n">
        <v>9977885131.02123</v>
      </c>
      <c r="N17" s="84" t="n">
        <v>100240.446716766</v>
      </c>
      <c r="P17" s="72" t="n">
        <v>17409371770.145</v>
      </c>
      <c r="Q17" s="72" t="n">
        <v>7957401871.30048</v>
      </c>
      <c r="R17" s="72" t="n">
        <v>1694713789.38442</v>
      </c>
      <c r="S17" s="72" t="n">
        <v>4309905878.07058</v>
      </c>
      <c r="T17" s="81" t="n">
        <v>6004619667.45501</v>
      </c>
      <c r="U17" s="72" t="n">
        <v>16145911799.0432</v>
      </c>
      <c r="V17" s="72" t="n">
        <v>26902000893.9114</v>
      </c>
      <c r="W17" s="72" t="n">
        <v>218824498043.52</v>
      </c>
      <c r="X17" s="72" t="n">
        <v>218824498043.52</v>
      </c>
      <c r="Y17" s="77" t="n">
        <v>283302377562.358</v>
      </c>
      <c r="Z17" s="72" t="n">
        <v>89528797287.9089</v>
      </c>
      <c r="AA17" s="72" t="n">
        <v>0.423817985460059</v>
      </c>
      <c r="AB17" s="72" t="n">
        <v>1550101.22402678</v>
      </c>
      <c r="AC17" s="77" t="n">
        <f aca="false">I17-L17-U17-V17</f>
        <v>19680939437.8423</v>
      </c>
      <c r="AD17" s="72" t="n">
        <f aca="false">AC17/Y17</f>
        <v>0.0694697291536507</v>
      </c>
    </row>
    <row r="18" customFormat="false" ht="15" hidden="false" customHeight="false" outlineLevel="0" collapsed="false">
      <c r="A18" s="72" t="n">
        <v>2017</v>
      </c>
      <c r="B18" s="72" t="s">
        <v>178</v>
      </c>
      <c r="C18" s="72" t="n">
        <v>5</v>
      </c>
      <c r="D18" s="72" t="s">
        <v>180</v>
      </c>
      <c r="E18" s="72" t="n">
        <v>484141525416.436</v>
      </c>
      <c r="F18" s="72" t="n">
        <v>455782090534.62</v>
      </c>
      <c r="G18" s="72" t="n">
        <v>164424571873.861</v>
      </c>
      <c r="H18" s="72" t="n">
        <v>136065136992.046</v>
      </c>
      <c r="I18" s="72" t="n">
        <v>136065136992.046</v>
      </c>
      <c r="J18" s="72" t="n">
        <v>348076388424.39</v>
      </c>
      <c r="K18" s="82" t="n">
        <v>52738846730.9681</v>
      </c>
      <c r="L18" s="72" t="n">
        <v>70584977309.7717</v>
      </c>
      <c r="M18" s="72" t="n">
        <v>10694693531.7836</v>
      </c>
      <c r="N18" s="84" t="n">
        <v>97466.9972261083</v>
      </c>
      <c r="P18" s="72" t="n">
        <v>17036239960.98</v>
      </c>
      <c r="Q18" s="72" t="n">
        <v>8481037478.92</v>
      </c>
      <c r="R18" s="72" t="n">
        <v>1726303402.3</v>
      </c>
      <c r="S18" s="72" t="n">
        <v>2897152608.06</v>
      </c>
      <c r="T18" s="81" t="n">
        <v>4623456010.36</v>
      </c>
      <c r="U18" s="72" t="n">
        <v>15918676560.87</v>
      </c>
      <c r="V18" s="72" t="n">
        <v>1963308432.45</v>
      </c>
      <c r="W18" s="72" t="n">
        <v>209773097223.24</v>
      </c>
      <c r="X18" s="72" t="n">
        <v>209773097223.24</v>
      </c>
      <c r="Y18" s="77" t="n">
        <v>273206637485.992</v>
      </c>
      <c r="Z18" s="72" t="n">
        <v>93839594564.0896</v>
      </c>
      <c r="AA18" s="72" t="n">
        <v>0.429284847789789</v>
      </c>
      <c r="AB18" s="72" t="n">
        <v>1686976.89016131</v>
      </c>
      <c r="AC18" s="77" t="n">
        <f aca="false">I18-L18-U18-V18</f>
        <v>47598174688.9543</v>
      </c>
      <c r="AD18" s="72" t="n">
        <f aca="false">AC18/Y18</f>
        <v>0.174220418387144</v>
      </c>
    </row>
    <row r="19" customFormat="false" ht="15" hidden="false" customHeight="false" outlineLevel="0" collapsed="false">
      <c r="A19" s="72" t="n">
        <v>2018</v>
      </c>
      <c r="B19" s="72" t="s">
        <v>178</v>
      </c>
      <c r="C19" s="72" t="n">
        <v>5</v>
      </c>
      <c r="D19" s="72" t="s">
        <v>180</v>
      </c>
      <c r="E19" s="72" t="n">
        <v>570036849535.363</v>
      </c>
      <c r="F19" s="72" t="n">
        <v>539642243987.483</v>
      </c>
      <c r="G19" s="72" t="n">
        <v>197885329971.676</v>
      </c>
      <c r="H19" s="72" t="n">
        <v>167490724423.796</v>
      </c>
      <c r="I19" s="72" t="n">
        <v>167490724423.796</v>
      </c>
      <c r="J19" s="72" t="n">
        <v>402546125111.567</v>
      </c>
      <c r="K19" s="82" t="n">
        <v>60991837138.1162</v>
      </c>
      <c r="L19" s="72" t="n">
        <v>76120684622.3108</v>
      </c>
      <c r="M19" s="72" t="n">
        <v>11533437063.9865</v>
      </c>
      <c r="N19" s="84" t="n">
        <v>94566.085657076</v>
      </c>
      <c r="P19" s="72" t="n">
        <v>21403883661.2124</v>
      </c>
      <c r="Q19" s="72" t="n">
        <v>9398761236.76361</v>
      </c>
      <c r="R19" s="72" t="n">
        <v>2344301120.11455</v>
      </c>
      <c r="S19" s="72" t="n">
        <v>3875594513.73228</v>
      </c>
      <c r="T19" s="81" t="n">
        <v>6219895633.84683</v>
      </c>
      <c r="U19" s="72" t="n">
        <v>16454135974.9035</v>
      </c>
      <c r="V19" s="72" t="n">
        <v>1215222874.57822</v>
      </c>
      <c r="W19" s="72" t="n">
        <v>230944653073.897</v>
      </c>
      <c r="X19" s="72" t="n">
        <v>230944653073.897</v>
      </c>
      <c r="Y19" s="77" t="n">
        <v>303469927276</v>
      </c>
      <c r="Z19" s="72" t="n">
        <v>121764645349.366</v>
      </c>
      <c r="AA19" s="72" t="n">
        <v>0.38467068091003</v>
      </c>
      <c r="AB19" s="72" t="n">
        <v>2092561.28766148</v>
      </c>
      <c r="AC19" s="77" t="n">
        <f aca="false">I19-L19-U19-V19</f>
        <v>73700680952.0035</v>
      </c>
      <c r="AD19" s="72" t="n">
        <f aca="false">AC19/Y19</f>
        <v>0.242859915687705</v>
      </c>
    </row>
    <row r="20" customFormat="false" ht="15" hidden="false" customHeight="false" outlineLevel="0" collapsed="false">
      <c r="A20" s="72" t="n">
        <v>2019</v>
      </c>
      <c r="B20" s="72" t="s">
        <v>178</v>
      </c>
      <c r="C20" s="72" t="n">
        <v>5</v>
      </c>
      <c r="D20" s="72" t="s">
        <v>180</v>
      </c>
      <c r="E20" s="72" t="n">
        <v>601651424497</v>
      </c>
      <c r="F20" s="72" t="n">
        <v>569209962569</v>
      </c>
      <c r="G20" s="72" t="n">
        <v>190772526038</v>
      </c>
      <c r="H20" s="72" t="n">
        <v>158331064110</v>
      </c>
      <c r="I20" s="72" t="n">
        <v>158331064110</v>
      </c>
      <c r="J20" s="72" t="n">
        <v>443320360387</v>
      </c>
      <c r="K20" s="82" t="n">
        <v>67169751573.7879</v>
      </c>
      <c r="L20" s="72" t="n">
        <v>80999471228</v>
      </c>
      <c r="M20" s="72" t="n">
        <v>12272647155.7576</v>
      </c>
      <c r="N20" s="84" t="n">
        <v>90481</v>
      </c>
      <c r="P20" s="72" t="n">
        <v>30759048024</v>
      </c>
      <c r="Q20" s="72" t="n">
        <v>10582877554</v>
      </c>
      <c r="R20" s="72" t="n">
        <v>10715087960</v>
      </c>
      <c r="S20" s="72" t="n">
        <v>3917218825</v>
      </c>
      <c r="T20" s="81" t="n">
        <v>14632306785</v>
      </c>
      <c r="U20" s="72" t="n">
        <v>18470370583.3076</v>
      </c>
      <c r="V20" s="72" t="n">
        <v>1701376372.96674</v>
      </c>
      <c r="W20" s="72" t="n">
        <v>259048160897</v>
      </c>
      <c r="X20" s="72" t="n">
        <v>259048160897</v>
      </c>
      <c r="Y20" s="77" t="n">
        <v>338490559626.545</v>
      </c>
      <c r="Z20" s="72" t="n">
        <v>109773054810</v>
      </c>
      <c r="AA20" s="72" t="n">
        <v>0.424586668270387</v>
      </c>
      <c r="AB20" s="72" t="n">
        <v>2108426.36617632</v>
      </c>
      <c r="AC20" s="77" t="n">
        <f aca="false">I20-L20-U20-V20</f>
        <v>57159845925.7257</v>
      </c>
      <c r="AD20" s="72" t="n">
        <f aca="false">AC20/Y20</f>
        <v>0.168866883581007</v>
      </c>
    </row>
    <row r="21" customFormat="false" ht="15" hidden="false" customHeight="false" outlineLevel="0" collapsed="false">
      <c r="A21" s="72" t="n">
        <v>2020</v>
      </c>
      <c r="B21" s="72" t="s">
        <v>178</v>
      </c>
      <c r="C21" s="72" t="n">
        <v>5</v>
      </c>
      <c r="D21" s="72" t="s">
        <v>180</v>
      </c>
      <c r="E21" s="72" t="n">
        <v>600817528391.498</v>
      </c>
      <c r="F21" s="72" t="n">
        <v>569255108499.031</v>
      </c>
      <c r="G21" s="72" t="n">
        <v>182963110731.009</v>
      </c>
      <c r="H21" s="72" t="n">
        <v>151400690838.542</v>
      </c>
      <c r="I21" s="72" t="n">
        <v>151400690838.542</v>
      </c>
      <c r="J21" s="72" t="n">
        <v>449416837552.956</v>
      </c>
      <c r="K21" s="82" t="n">
        <v>68093460235.2964</v>
      </c>
      <c r="L21" s="72" t="n">
        <v>78278216489.3034</v>
      </c>
      <c r="M21" s="72" t="n">
        <v>11860335831.7126</v>
      </c>
      <c r="N21" s="84" t="n">
        <v>84764.4647407208</v>
      </c>
      <c r="O21" s="72" t="n">
        <v>1759</v>
      </c>
      <c r="P21" s="72" t="n">
        <v>40941559983.9069</v>
      </c>
      <c r="Q21" s="72" t="n">
        <v>9808505040.44887</v>
      </c>
      <c r="R21" s="72" t="n">
        <v>3275448937.75238</v>
      </c>
      <c r="S21" s="72" t="n">
        <v>2709351603.15066</v>
      </c>
      <c r="T21" s="81" t="n">
        <v>5984800540.90305</v>
      </c>
      <c r="U21" s="72" t="n">
        <v>19749525803.3465</v>
      </c>
      <c r="V21" s="72" t="n">
        <v>-1827346818.60041</v>
      </c>
      <c r="W21" s="72" t="n">
        <v>296322600807.052</v>
      </c>
      <c r="X21" s="72" t="n">
        <v>296322600807.052</v>
      </c>
      <c r="Y21" s="77" t="n">
        <v>376276396874.061</v>
      </c>
      <c r="Z21" s="72" t="n">
        <v>104684894241.705</v>
      </c>
      <c r="AA21" s="72" t="n">
        <v>0.427836060376059</v>
      </c>
      <c r="AB21" s="72" t="n">
        <v>2158488.36290844</v>
      </c>
      <c r="AC21" s="77" t="n">
        <f aca="false">I21-L21-U21-V21</f>
        <v>55200295364.4925</v>
      </c>
      <c r="AD21" s="72" t="n">
        <f aca="false">AC21/Y21</f>
        <v>0.146701456224925</v>
      </c>
    </row>
    <row r="22" customFormat="false" ht="15" hidden="false" customHeight="false" outlineLevel="0" collapsed="false">
      <c r="A22" s="72" t="n">
        <v>2021</v>
      </c>
      <c r="B22" s="72" t="s">
        <v>178</v>
      </c>
      <c r="C22" s="72" t="n">
        <v>5</v>
      </c>
      <c r="D22" s="72" t="s">
        <v>180</v>
      </c>
      <c r="E22" s="72" t="n">
        <v>740451400483.521</v>
      </c>
      <c r="F22" s="72" t="n">
        <v>729519030143.129</v>
      </c>
      <c r="G22" s="72" t="n">
        <v>224974680121.473</v>
      </c>
      <c r="H22" s="72" t="n">
        <v>214042309781.08</v>
      </c>
      <c r="I22" s="72" t="n">
        <v>214042309781.08</v>
      </c>
      <c r="J22" s="72" t="n">
        <v>526409090702.441</v>
      </c>
      <c r="K22" s="82" t="n">
        <v>79758953136.7334</v>
      </c>
      <c r="L22" s="72" t="n">
        <v>84122098877.8656</v>
      </c>
      <c r="M22" s="72" t="n">
        <v>12745772557.2524</v>
      </c>
      <c r="N22" s="84" t="n">
        <v>86333.0943782653</v>
      </c>
      <c r="P22" s="72" t="n">
        <v>83942983585.5647</v>
      </c>
      <c r="Q22" s="72" t="n">
        <v>18626904296.7775</v>
      </c>
      <c r="R22" s="72" t="n">
        <v>3312365312.69128</v>
      </c>
      <c r="S22" s="72" t="n">
        <v>6003788394.38755</v>
      </c>
      <c r="T22" s="81" t="n">
        <v>9316153707.07882</v>
      </c>
      <c r="U22" s="72" t="n">
        <v>21739333748.876</v>
      </c>
      <c r="V22" s="72" t="n">
        <v>-1158610716.34406</v>
      </c>
      <c r="W22" s="72" t="n">
        <v>377193985828.289</v>
      </c>
      <c r="X22" s="72" t="n">
        <v>377193985828.289</v>
      </c>
      <c r="Y22" s="77" t="n">
        <v>469698711522.275</v>
      </c>
      <c r="Z22" s="72" t="n">
        <v>140852581243.607</v>
      </c>
      <c r="AA22" s="72" t="n">
        <v>0.37391807305802</v>
      </c>
      <c r="AB22" s="72" t="n">
        <v>2605891.5383683</v>
      </c>
      <c r="AC22" s="77" t="n">
        <f aca="false">I22-L22-U22-V22</f>
        <v>109339487870.682</v>
      </c>
      <c r="AD22" s="72" t="n">
        <f aca="false">AC22/Y22</f>
        <v>0.2327864334912</v>
      </c>
    </row>
    <row r="23" customFormat="false" ht="15" hidden="false" customHeight="false" outlineLevel="0" collapsed="false">
      <c r="A23" s="72" t="n">
        <v>2022</v>
      </c>
      <c r="B23" s="72" t="s">
        <v>178</v>
      </c>
      <c r="C23" s="72" t="n">
        <v>5</v>
      </c>
      <c r="D23" s="72" t="s">
        <v>180</v>
      </c>
      <c r="E23" s="72" t="n">
        <v>887448109461.119</v>
      </c>
      <c r="F23" s="72" t="n">
        <v>847221297274.515</v>
      </c>
      <c r="G23" s="72" t="n">
        <v>265536050207.765</v>
      </c>
      <c r="H23" s="72" t="n">
        <v>225309238021.161</v>
      </c>
      <c r="I23" s="72" t="n">
        <v>225309238021.161</v>
      </c>
      <c r="J23" s="72" t="n">
        <v>662138871439.958</v>
      </c>
      <c r="K23" s="82" t="n">
        <v>100324071430.297</v>
      </c>
      <c r="L23" s="72" t="n">
        <v>95609914033.8778</v>
      </c>
      <c r="M23" s="72" t="n">
        <v>14486350611.1936</v>
      </c>
      <c r="N23" s="84" t="n">
        <v>89467.5060887856</v>
      </c>
      <c r="P23" s="72" t="n">
        <v>69687013752.2493</v>
      </c>
      <c r="Q23" s="72" t="n">
        <v>17242949725.5688</v>
      </c>
      <c r="R23" s="72" t="n">
        <v>4140576932.68122</v>
      </c>
      <c r="S23" s="72" t="n">
        <v>5180380048.54103</v>
      </c>
      <c r="T23" s="81" t="n">
        <v>9320956981.22225</v>
      </c>
      <c r="U23" s="72" t="n">
        <v>21523441673.284</v>
      </c>
      <c r="V23" s="72" t="n">
        <v>-2700847763.23168</v>
      </c>
      <c r="W23" s="72" t="n">
        <v>392603477898.926</v>
      </c>
      <c r="X23" s="72" t="n">
        <v>392603477898.926</v>
      </c>
      <c r="Y23" s="77" t="n">
        <v>507413899940.416</v>
      </c>
      <c r="Z23" s="72" t="n">
        <v>169926136173.887</v>
      </c>
      <c r="AA23" s="72" t="n">
        <v>0.360063780262865</v>
      </c>
      <c r="AB23" s="72" t="n">
        <v>2967960.79175665</v>
      </c>
      <c r="AC23" s="77" t="n">
        <f aca="false">I23-L23-U23-V23</f>
        <v>110876730077.231</v>
      </c>
      <c r="AD23" s="72" t="n">
        <f aca="false">AC23/Y23</f>
        <v>0.21851338737518</v>
      </c>
    </row>
    <row r="24" customFormat="false" ht="15" hidden="false" customHeight="false" outlineLevel="0" collapsed="false">
      <c r="A24" s="72" t="n">
        <v>2023</v>
      </c>
      <c r="B24" s="72" t="s">
        <v>178</v>
      </c>
      <c r="C24" s="72" t="n">
        <v>5</v>
      </c>
      <c r="D24" s="72" t="s">
        <v>180</v>
      </c>
      <c r="E24" s="72" t="n">
        <v>809592502649.113</v>
      </c>
      <c r="F24" s="72" t="n">
        <v>767904015950.468</v>
      </c>
      <c r="G24" s="72" t="n">
        <v>240127159755.696</v>
      </c>
      <c r="H24" s="72" t="n">
        <v>198438673057.051</v>
      </c>
      <c r="I24" s="72" t="n">
        <v>198438673057.051</v>
      </c>
      <c r="J24" s="72" t="n">
        <v>611153829592.062</v>
      </c>
      <c r="K24" s="82" t="n">
        <v>92599065089.7064</v>
      </c>
      <c r="L24" s="72" t="n">
        <v>104619799861.406</v>
      </c>
      <c r="M24" s="72" t="n">
        <v>15851484827.4858</v>
      </c>
      <c r="N24" s="84" t="n">
        <v>89501.9413936812</v>
      </c>
      <c r="P24" s="72" t="n">
        <v>56457788625.3757</v>
      </c>
      <c r="Q24" s="72" t="n">
        <v>38688155694.2446</v>
      </c>
      <c r="R24" s="72" t="n">
        <v>3048451859.309</v>
      </c>
      <c r="S24" s="72" t="n">
        <v>4990645244.98498</v>
      </c>
      <c r="T24" s="81" t="n">
        <v>8039097104.29398</v>
      </c>
      <c r="U24" s="72" t="n">
        <v>24684323791.2756</v>
      </c>
      <c r="V24" s="72" t="n">
        <v>-1909039042.84524</v>
      </c>
      <c r="W24" s="72" t="n">
        <v>402462792005.253</v>
      </c>
      <c r="X24" s="72" t="n">
        <v>402462792005.253</v>
      </c>
      <c r="Y24" s="77" t="n">
        <v>510913341922.446</v>
      </c>
      <c r="Z24" s="72" t="n">
        <v>135507359894.29</v>
      </c>
      <c r="AA24" s="72" t="n">
        <v>0.435684992767357</v>
      </c>
      <c r="AB24" s="72" t="n">
        <v>2682926.82836318</v>
      </c>
      <c r="AC24" s="77" t="n">
        <f aca="false">I24-L24-U24-V24</f>
        <v>71043588447.2146</v>
      </c>
      <c r="AD24" s="72" t="n">
        <f aca="false">AC24/Y24</f>
        <v>0.139052130014641</v>
      </c>
    </row>
    <row r="25" customFormat="false" ht="15" hidden="false" customHeight="false" outlineLevel="0" collapsed="false">
      <c r="A25" s="72" t="n">
        <v>2024</v>
      </c>
      <c r="B25" s="72" t="s">
        <v>178</v>
      </c>
      <c r="C25" s="72" t="n">
        <v>5</v>
      </c>
      <c r="D25" s="72" t="s">
        <v>180</v>
      </c>
      <c r="E25" s="72" t="n">
        <v>858071607633.119</v>
      </c>
      <c r="F25" s="72" t="n">
        <v>812702000296.115</v>
      </c>
      <c r="G25" s="72" t="n">
        <v>263970325327.665</v>
      </c>
      <c r="H25" s="72" t="n">
        <v>218600717990.661</v>
      </c>
      <c r="I25" s="72" t="n">
        <v>218600717990.661</v>
      </c>
      <c r="J25" s="72" t="n">
        <v>639470889642.458</v>
      </c>
      <c r="K25" s="82" t="n">
        <v>96889528733.7057</v>
      </c>
      <c r="L25" s="72" t="n">
        <v>112924265631.887</v>
      </c>
      <c r="M25" s="72" t="n">
        <v>17109737216.9526</v>
      </c>
      <c r="N25" s="84" t="n">
        <v>90863.9271580213</v>
      </c>
      <c r="P25" s="72" t="n">
        <v>43801057524.489</v>
      </c>
      <c r="Q25" s="72" t="n">
        <v>22430814377.7307</v>
      </c>
      <c r="R25" s="72" t="n">
        <v>2213301432.99458</v>
      </c>
      <c r="S25" s="72" t="n">
        <v>6190763386.05072</v>
      </c>
      <c r="T25" s="81" t="n">
        <v>8404064819.0453</v>
      </c>
      <c r="U25" s="72" t="n">
        <v>27515759179.2441</v>
      </c>
      <c r="V25" s="72" t="n">
        <v>-2002949331.60915</v>
      </c>
      <c r="W25" s="72" t="n">
        <v>436965957591.824</v>
      </c>
      <c r="X25" s="72" t="n">
        <v>436965957591.824</v>
      </c>
      <c r="Y25" s="77" t="n">
        <v>550965223542.482</v>
      </c>
      <c r="Z25" s="72" t="n">
        <v>151046059695.778</v>
      </c>
      <c r="AA25" s="72" t="n">
        <v>0.427791515927841</v>
      </c>
      <c r="AB25" s="72" t="n">
        <v>2905116.84431815</v>
      </c>
      <c r="AC25" s="77" t="n">
        <f aca="false">I25-L25-U25-V25</f>
        <v>80163642511.1391</v>
      </c>
      <c r="AD25" s="72" t="n">
        <f aca="false">AC25/Y25</f>
        <v>0.145496737517696</v>
      </c>
    </row>
    <row r="27" customFormat="false" ht="16.5" hidden="false" customHeight="false" outlineLevel="0" collapsed="false">
      <c r="N27" s="86" t="n">
        <v>161656.784662202</v>
      </c>
      <c r="O27" s="87" t="n">
        <f aca="false">N23/N27</f>
        <v>0.55344108368688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2"/>
  <sheetViews>
    <sheetView showFormulas="false" showGridLines="false" showRowColHeaders="true" showZeros="true" rightToLeft="false" tabSelected="false" showOutlineSymbols="true" defaultGridColor="true" view="normal" topLeftCell="A4" colorId="64" zoomScale="100" zoomScaleNormal="100" zoomScalePageLayoutView="100" workbookViewId="0">
      <selection pane="topLeft" activeCell="H22" activeCellId="0" sqref="H22"/>
    </sheetView>
  </sheetViews>
  <sheetFormatPr defaultColWidth="10.50390625" defaultRowHeight="15" zeroHeight="false" outlineLevelRow="0" outlineLevelCol="0"/>
  <sheetData>
    <row r="1" customFormat="false" ht="61.5" hidden="false" customHeight="true" outlineLevel="0" collapsed="false">
      <c r="B1" s="0" t="s">
        <v>181</v>
      </c>
    </row>
    <row r="2" customFormat="false" ht="409.5" hidden="false" customHeight="true" outlineLevel="0" collapsed="false">
      <c r="B2" s="88" t="s">
        <v>182</v>
      </c>
      <c r="C2" s="88"/>
      <c r="D2" s="88"/>
      <c r="E2" s="88"/>
      <c r="F2" s="88"/>
      <c r="G2" s="88"/>
      <c r="H2" s="88"/>
      <c r="I2" s="88"/>
      <c r="J2" s="88"/>
      <c r="K2" s="88"/>
    </row>
  </sheetData>
  <mergeCells count="1">
    <mergeCell ref="B2:K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2026-08-18T14:50:02Z</dcterms:created>
  <dc:creator>Emiliano Mussi</dc:creator>
  <dc:description/>
  <dc:language>es-AR</dc:language>
  <cp:lastModifiedBy>Emiliano Mussi</cp:lastModifiedBy>
  <dcterms:modified xsi:type="dcterms:W3CDTF">2026-08-27T16:03:41Z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